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5.xml" ContentType="application/vnd.openxmlformats-officedocument.drawing+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66925"/>
  <mc:AlternateContent xmlns:mc="http://schemas.openxmlformats.org/markup-compatibility/2006">
    <mc:Choice Requires="x15">
      <x15ac:absPath xmlns:x15ac="http://schemas.microsoft.com/office/spreadsheetml/2010/11/ac" url="C:\Users\User\Desktop\Doctus\"/>
    </mc:Choice>
  </mc:AlternateContent>
  <xr:revisionPtr revIDLastSave="0" documentId="13_ncr:1_{5282BF16-40E9-4B01-8DC3-C06AD8D79720}" xr6:coauthVersionLast="45" xr6:coauthVersionMax="45" xr10:uidLastSave="{00000000-0000-0000-0000-000000000000}"/>
  <bookViews>
    <workbookView xWindow="-120" yWindow="-120" windowWidth="20730" windowHeight="11160" firstSheet="2" activeTab="7" xr2:uid="{915C7392-BD7A-45D7-A759-B911D8F3035D}"/>
  </bookViews>
  <sheets>
    <sheet name="Inicio " sheetId="1" r:id="rId1"/>
    <sheet name="ListadodeChequeo" sheetId="8" r:id="rId2"/>
    <sheet name="Planeacion" sheetId="2" r:id="rId3"/>
    <sheet name="Diseño" sheetId="3" r:id="rId4"/>
    <sheet name="GestionBug" sheetId="4" r:id="rId5"/>
    <sheet name="MatrizdeRiesgos" sheetId="7" r:id="rId6"/>
    <sheet name="CartadeCertificacion" sheetId="5" r:id="rId7"/>
    <sheet name="ResumenSprint" sheetId="9" r:id="rId8"/>
    <sheet name="Datos" sheetId="6" r:id="rId9"/>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11" i="7" l="1"/>
  <c r="P14" i="6" l="1"/>
  <c r="P9" i="6"/>
  <c r="B175" i="9" l="1"/>
  <c r="B173" i="9"/>
  <c r="D22" i="9"/>
  <c r="D20" i="9"/>
  <c r="D21" i="9"/>
  <c r="D19" i="9"/>
  <c r="D18" i="9"/>
  <c r="D17" i="9"/>
  <c r="N16" i="7" l="1"/>
  <c r="N17" i="7"/>
  <c r="N18" i="7"/>
  <c r="N19" i="7"/>
  <c r="N20" i="7"/>
  <c r="N21" i="7"/>
  <c r="N22" i="7"/>
  <c r="N23" i="7"/>
  <c r="N24" i="7"/>
  <c r="N25" i="7"/>
  <c r="N26" i="7"/>
  <c r="N27" i="7"/>
  <c r="N28" i="7"/>
  <c r="N29" i="7"/>
  <c r="N30" i="7"/>
  <c r="N31" i="7"/>
  <c r="N32" i="7"/>
  <c r="N33" i="7"/>
  <c r="N34" i="7"/>
  <c r="N35" i="7"/>
  <c r="N36" i="7"/>
  <c r="N37" i="7"/>
  <c r="N38" i="7"/>
  <c r="N39" i="7"/>
  <c r="N40" i="7"/>
  <c r="N41" i="7"/>
  <c r="N42" i="7"/>
  <c r="N43" i="7"/>
  <c r="N44" i="7"/>
  <c r="N45" i="7"/>
  <c r="N46" i="7"/>
  <c r="N47" i="7"/>
  <c r="N48" i="7"/>
  <c r="N49" i="7"/>
  <c r="N50" i="7"/>
  <c r="N51" i="7"/>
  <c r="N52" i="7"/>
  <c r="N53" i="7"/>
  <c r="N54" i="7"/>
  <c r="N55" i="7"/>
  <c r="N56" i="7"/>
  <c r="N57" i="7"/>
  <c r="N15" i="7"/>
  <c r="N12" i="7"/>
  <c r="N13" i="7"/>
  <c r="N14" i="7"/>
  <c r="F14" i="4" l="1"/>
  <c r="E139" i="9" s="1"/>
  <c r="F14" i="3"/>
  <c r="E32" i="9" s="1"/>
  <c r="F12" i="3"/>
  <c r="E31" i="9" s="1"/>
  <c r="F10" i="3"/>
  <c r="E30" i="9" s="1"/>
  <c r="T14" i="4"/>
  <c r="E175" i="9" s="1"/>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T12" i="4"/>
  <c r="E173" i="9" s="1"/>
  <c r="Q18" i="4"/>
  <c r="Q17" i="4"/>
  <c r="Q16" i="4"/>
  <c r="E159" i="9" s="1"/>
  <c r="Q15" i="4"/>
  <c r="E158" i="9" s="1"/>
  <c r="Q14" i="4"/>
  <c r="E157" i="9" s="1"/>
  <c r="Q13" i="4"/>
  <c r="E156" i="9" s="1"/>
  <c r="Q12" i="4"/>
  <c r="K16" i="4"/>
  <c r="E123" i="9" s="1"/>
  <c r="K15" i="4"/>
  <c r="E122" i="9" s="1"/>
  <c r="K14" i="4"/>
  <c r="E121" i="9" s="1"/>
  <c r="K13" i="4"/>
  <c r="E120" i="9" s="1"/>
  <c r="K12" i="4"/>
  <c r="E119" i="9" s="1"/>
  <c r="N16" i="4"/>
  <c r="E105" i="9" s="1"/>
  <c r="N15" i="4"/>
  <c r="E104" i="9" s="1"/>
  <c r="N14" i="4"/>
  <c r="E103" i="9" s="1"/>
  <c r="N13" i="4"/>
  <c r="E102" i="9" s="1"/>
  <c r="N12" i="4"/>
  <c r="F15" i="4"/>
  <c r="E140" i="9" s="1"/>
  <c r="F13" i="4"/>
  <c r="E138" i="9" s="1"/>
  <c r="F12" i="4"/>
  <c r="E137" i="9" s="1"/>
  <c r="C16" i="4"/>
  <c r="E87" i="9" s="1"/>
  <c r="C15" i="4"/>
  <c r="E86" i="9" s="1"/>
  <c r="C14" i="4"/>
  <c r="E85" i="9" s="1"/>
  <c r="C13" i="4"/>
  <c r="E84" i="9" s="1"/>
  <c r="C12" i="4"/>
  <c r="E83" i="9" s="1"/>
  <c r="S13" i="4" l="1"/>
  <c r="B174" i="9" s="1"/>
  <c r="E88" i="9"/>
  <c r="E155" i="9"/>
  <c r="Q19" i="4"/>
  <c r="E141" i="9"/>
  <c r="T13" i="4"/>
  <c r="E174" i="9" s="1"/>
  <c r="E161" i="9"/>
  <c r="E160" i="9"/>
  <c r="E33" i="9"/>
  <c r="E124" i="9"/>
  <c r="N17" i="4"/>
  <c r="E101" i="9"/>
  <c r="E106" i="9" s="1"/>
  <c r="C17" i="4"/>
  <c r="F16" i="4"/>
  <c r="K17" i="4"/>
  <c r="N12" i="3"/>
  <c r="D47" i="9" s="1"/>
  <c r="O12" i="3"/>
  <c r="E47" i="9" s="1"/>
  <c r="P12" i="3"/>
  <c r="F47" i="9" s="1"/>
  <c r="Q12" i="3"/>
  <c r="R12" i="3"/>
  <c r="S12" i="3"/>
  <c r="T12" i="3"/>
  <c r="U12" i="3"/>
  <c r="V12" i="3"/>
  <c r="W12" i="3"/>
  <c r="N13" i="3"/>
  <c r="D48" i="9" s="1"/>
  <c r="O13" i="3"/>
  <c r="E48" i="9" s="1"/>
  <c r="P13" i="3"/>
  <c r="F48" i="9" s="1"/>
  <c r="Q13" i="3"/>
  <c r="R13" i="3"/>
  <c r="S13" i="3"/>
  <c r="T13" i="3"/>
  <c r="U13" i="3"/>
  <c r="V13" i="3"/>
  <c r="W13" i="3"/>
  <c r="N14" i="3"/>
  <c r="D49" i="9" s="1"/>
  <c r="O14" i="3"/>
  <c r="E49" i="9" s="1"/>
  <c r="P14" i="3"/>
  <c r="F49" i="9" s="1"/>
  <c r="Q14" i="3"/>
  <c r="R14" i="3"/>
  <c r="S14" i="3"/>
  <c r="T14" i="3"/>
  <c r="U14" i="3"/>
  <c r="V14" i="3"/>
  <c r="W14" i="3"/>
  <c r="N15" i="3"/>
  <c r="O15" i="3"/>
  <c r="E50" i="9" s="1"/>
  <c r="P15" i="3"/>
  <c r="F50" i="9" s="1"/>
  <c r="Q15" i="3"/>
  <c r="R15" i="3"/>
  <c r="S15" i="3"/>
  <c r="T15" i="3"/>
  <c r="U15" i="3"/>
  <c r="V15" i="3"/>
  <c r="W15" i="3"/>
  <c r="N16" i="3"/>
  <c r="D51" i="9" s="1"/>
  <c r="O16" i="3"/>
  <c r="E51" i="9" s="1"/>
  <c r="P16" i="3"/>
  <c r="F51" i="9" s="1"/>
  <c r="Q16" i="3"/>
  <c r="R16" i="3"/>
  <c r="S16" i="3"/>
  <c r="T16" i="3"/>
  <c r="U16" i="3"/>
  <c r="V16" i="3"/>
  <c r="W16" i="3"/>
  <c r="S17" i="3"/>
  <c r="M16" i="3"/>
  <c r="E69" i="9" s="1"/>
  <c r="M15" i="3"/>
  <c r="E68" i="9" s="1"/>
  <c r="M14" i="3"/>
  <c r="E67" i="9" s="1"/>
  <c r="M13" i="3"/>
  <c r="E66" i="9" s="1"/>
  <c r="M12" i="3"/>
  <c r="E65" i="9" s="1"/>
  <c r="F16" i="3"/>
  <c r="T17" i="3" l="1"/>
  <c r="W17" i="3"/>
  <c r="V17" i="3"/>
  <c r="R17" i="3"/>
  <c r="U17" i="3"/>
  <c r="E162" i="9"/>
  <c r="E70" i="9"/>
  <c r="P17" i="3"/>
  <c r="F52" i="9"/>
  <c r="O17" i="3"/>
  <c r="E52" i="9"/>
  <c r="N17" i="3"/>
  <c r="D50" i="9"/>
  <c r="D52" i="9" s="1"/>
  <c r="Q17" i="3"/>
  <c r="M17"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Edison Alberto Correa Berrio</author>
  </authors>
  <commentList>
    <comment ref="B10" authorId="0" shapeId="0" xr:uid="{6FC83CCC-AFDF-4602-BB87-6E0C10264874}">
      <text>
        <r>
          <rPr>
            <b/>
            <sz val="9"/>
            <color indexed="81"/>
            <rFont val="Tahoma"/>
            <charset val="1"/>
          </rPr>
          <t xml:space="preserve">Calidad: </t>
        </r>
        <r>
          <rPr>
            <sz val="9"/>
            <color indexed="81"/>
            <rFont val="Tahoma"/>
            <family val="2"/>
          </rPr>
          <t>Campo Nombre del proyecto: Hace referencia al nombre asignado por la empresa.</t>
        </r>
        <r>
          <rPr>
            <sz val="9"/>
            <color indexed="81"/>
            <rFont val="Tahoma"/>
            <charset val="1"/>
          </rPr>
          <t xml:space="preserve">
</t>
        </r>
      </text>
    </comment>
    <comment ref="B12" authorId="0" shapeId="0" xr:uid="{ADAF166C-E8DA-43A6-8651-1D294688C990}">
      <text>
        <r>
          <rPr>
            <b/>
            <sz val="9"/>
            <color indexed="81"/>
            <rFont val="Tahoma"/>
            <family val="2"/>
          </rPr>
          <t xml:space="preserve">Calidad: </t>
        </r>
        <r>
          <rPr>
            <sz val="9"/>
            <color indexed="81"/>
            <rFont val="Tahoma"/>
            <family val="2"/>
          </rPr>
          <t>Campo Código del Proyecto: Hace referencia al código proyecto asignado por la empresa.</t>
        </r>
        <r>
          <rPr>
            <b/>
            <sz val="9"/>
            <color indexed="81"/>
            <rFont val="Tahoma"/>
            <family val="2"/>
          </rPr>
          <t xml:space="preserve">
</t>
        </r>
        <r>
          <rPr>
            <sz val="9"/>
            <color indexed="81"/>
            <rFont val="Tahoma"/>
            <family val="2"/>
          </rPr>
          <t xml:space="preserve">
</t>
        </r>
      </text>
    </comment>
    <comment ref="B14" authorId="0" shapeId="0" xr:uid="{B256B1CD-4379-4259-A0D4-F4837CACAE7D}">
      <text>
        <r>
          <rPr>
            <b/>
            <sz val="9"/>
            <color indexed="81"/>
            <rFont val="Tahoma"/>
            <family val="2"/>
          </rPr>
          <t xml:space="preserve">Calidad: </t>
        </r>
        <r>
          <rPr>
            <sz val="9"/>
            <color indexed="81"/>
            <rFont val="Tahoma"/>
            <family val="2"/>
          </rPr>
          <t xml:space="preserve">Campo Nombre del Cliente: Hace referencia al nombre del cliente asignado por la empresa.
</t>
        </r>
      </text>
    </comment>
    <comment ref="B16" authorId="0" shapeId="0" xr:uid="{6ADEA860-1678-4707-9FFE-F651931DD446}">
      <text>
        <r>
          <rPr>
            <b/>
            <sz val="9"/>
            <color indexed="81"/>
            <rFont val="Tahoma"/>
            <family val="2"/>
          </rPr>
          <t>Calidad:</t>
        </r>
        <r>
          <rPr>
            <sz val="9"/>
            <color indexed="81"/>
            <rFont val="Tahoma"/>
            <family val="2"/>
          </rPr>
          <t xml:space="preserve"> Cantidad de Sprints que considera el analista de calidad en validar una funcionalidad.
</t>
        </r>
      </text>
    </comment>
    <comment ref="B18" authorId="0" shapeId="0" xr:uid="{E00F00FC-4759-4669-A5A5-E26CA13C1768}">
      <text>
        <r>
          <rPr>
            <b/>
            <sz val="9"/>
            <color indexed="81"/>
            <rFont val="Tahoma"/>
            <family val="2"/>
          </rPr>
          <t>Calidad:</t>
        </r>
        <r>
          <rPr>
            <sz val="9"/>
            <color indexed="81"/>
            <rFont val="Tahoma"/>
            <family val="2"/>
          </rPr>
          <t xml:space="preserve"> Sprint actual de trabajo.
</t>
        </r>
      </text>
    </comment>
    <comment ref="B20" authorId="0" shapeId="0" xr:uid="{D87D71BF-8B84-41CD-9FB4-8CD55DFFFDE9}">
      <text>
        <r>
          <rPr>
            <b/>
            <sz val="9"/>
            <color indexed="81"/>
            <rFont val="Tahoma"/>
            <family val="2"/>
          </rPr>
          <t xml:space="preserve">Calidad: </t>
        </r>
        <r>
          <rPr>
            <sz val="9"/>
            <color indexed="81"/>
            <rFont val="Tahoma"/>
            <family val="2"/>
          </rPr>
          <t xml:space="preserve">Fecha estimada para el inicio del Sprint
</t>
        </r>
      </text>
    </comment>
    <comment ref="I20" authorId="0" shapeId="0" xr:uid="{744B981F-17A2-4795-BD3E-16DA07BCF8F1}">
      <text>
        <r>
          <rPr>
            <b/>
            <sz val="9"/>
            <color indexed="81"/>
            <rFont val="Tahoma"/>
            <family val="2"/>
          </rPr>
          <t xml:space="preserve">Calidad: </t>
        </r>
        <r>
          <rPr>
            <sz val="9"/>
            <color indexed="81"/>
            <rFont val="Tahoma"/>
            <family val="2"/>
          </rPr>
          <t xml:space="preserve">Fecha estimada para el fin del Sprint
</t>
        </r>
      </text>
    </comment>
    <comment ref="B22" authorId="0" shapeId="0" xr:uid="{7D1C332D-A387-4F97-8B1F-207104930189}">
      <text>
        <r>
          <rPr>
            <b/>
            <sz val="9"/>
            <color indexed="81"/>
            <rFont val="Tahoma"/>
            <family val="2"/>
          </rPr>
          <t xml:space="preserve">Calidad: </t>
        </r>
        <r>
          <rPr>
            <sz val="9"/>
            <color indexed="81"/>
            <rFont val="Tahoma"/>
            <family val="2"/>
          </rPr>
          <t xml:space="preserve">Fecha real para el inicio del Sprint
</t>
        </r>
      </text>
    </comment>
    <comment ref="I22" authorId="0" shapeId="0" xr:uid="{5810D595-3532-4ED3-98FE-0A804A76ADA3}">
      <text>
        <r>
          <rPr>
            <b/>
            <sz val="9"/>
            <color indexed="81"/>
            <rFont val="Tahoma"/>
            <family val="2"/>
          </rPr>
          <t xml:space="preserve">Calidad: </t>
        </r>
        <r>
          <rPr>
            <sz val="9"/>
            <color indexed="81"/>
            <rFont val="Tahoma"/>
            <family val="2"/>
          </rPr>
          <t xml:space="preserve">Fecha real para el fin del Sprint
</t>
        </r>
      </text>
    </comment>
    <comment ref="B24" authorId="0" shapeId="0" xr:uid="{1B76493B-3A68-484C-9A5E-894828D2D9EF}">
      <text>
        <r>
          <rPr>
            <b/>
            <sz val="9"/>
            <color indexed="81"/>
            <rFont val="Tahoma"/>
            <family val="2"/>
          </rPr>
          <t xml:space="preserve">Calidad: </t>
        </r>
        <r>
          <rPr>
            <sz val="9"/>
            <color indexed="81"/>
            <rFont val="Tahoma"/>
            <family val="2"/>
          </rPr>
          <t xml:space="preserve">Nombre de la persona encargada de realizar las pruebas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Edison Alberto Correa Berrio</author>
  </authors>
  <commentList>
    <comment ref="G11" authorId="0" shapeId="0" xr:uid="{2809560C-8430-4D1D-84CA-67638ADE6ACC}">
      <text>
        <r>
          <rPr>
            <b/>
            <sz val="9"/>
            <color indexed="81"/>
            <rFont val="Tahoma"/>
            <family val="2"/>
          </rPr>
          <t xml:space="preserve">Calidad: </t>
        </r>
        <r>
          <rPr>
            <sz val="9"/>
            <color indexed="81"/>
            <rFont val="Tahoma"/>
            <family val="2"/>
          </rPr>
          <t xml:space="preserve">Según El tipo de pregunta ubicada en la columna de opción de verificación, seleccionar Si, No, N.A </t>
        </r>
        <r>
          <rPr>
            <i/>
            <sz val="9"/>
            <color indexed="81"/>
            <rFont val="Tahoma"/>
            <family val="2"/>
          </rPr>
          <t>(No aplica)</t>
        </r>
        <r>
          <rPr>
            <sz val="9"/>
            <color indexed="81"/>
            <rFont val="Tahoma"/>
            <family val="2"/>
          </rPr>
          <t>, y si tiene observaciones según su validación escribirlas. Nota: Aplica para todos los Campos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Edison Alberto Correa Berrio</author>
  </authors>
  <commentList>
    <comment ref="B9" authorId="0" shapeId="0" xr:uid="{5EEA1068-F095-4C46-A151-33271484C64E}">
      <text>
        <r>
          <rPr>
            <b/>
            <sz val="9"/>
            <color indexed="81"/>
            <rFont val="Tahoma"/>
            <family val="2"/>
          </rPr>
          <t xml:space="preserve">Calidad: </t>
        </r>
        <r>
          <rPr>
            <sz val="9"/>
            <color indexed="81"/>
            <rFont val="Tahoma"/>
            <family val="2"/>
          </rPr>
          <t xml:space="preserve">Se indica el nombre de la funcionalidad que se probará en el Sprint
</t>
        </r>
      </text>
    </comment>
    <comment ref="B11" authorId="0" shapeId="0" xr:uid="{2BE02D78-F42C-455B-9887-E15D22E82972}">
      <text>
        <r>
          <rPr>
            <b/>
            <sz val="9"/>
            <color indexed="81"/>
            <rFont val="Tahoma"/>
            <family val="2"/>
          </rPr>
          <t xml:space="preserve">Calidad: </t>
        </r>
        <r>
          <rPr>
            <sz val="9"/>
            <color indexed="81"/>
            <rFont val="Tahoma"/>
            <family val="2"/>
          </rPr>
          <t xml:space="preserve">Se debe de ingresar el número de reelese al que pertenece la validación. Producto Mínimo Viable
</t>
        </r>
      </text>
    </comment>
    <comment ref="B13" authorId="0" shapeId="0" xr:uid="{65517871-7099-4306-8D72-16F87C35192F}">
      <text>
        <r>
          <rPr>
            <b/>
            <sz val="9"/>
            <color indexed="81"/>
            <rFont val="Tahoma"/>
            <family val="2"/>
          </rPr>
          <t xml:space="preserve">Calidad: </t>
        </r>
        <r>
          <rPr>
            <sz val="9"/>
            <color indexed="81"/>
            <rFont val="Tahoma"/>
            <family val="2"/>
          </rPr>
          <t>Se describe claramente un pequeño resumen de la funcionalid(es) que se probaran en el sprint.</t>
        </r>
      </text>
    </comment>
    <comment ref="B21" authorId="0" shapeId="0" xr:uid="{BBEE4DE0-26FB-4969-AAF7-802AE52B6365}">
      <text>
        <r>
          <rPr>
            <b/>
            <sz val="9"/>
            <color indexed="81"/>
            <rFont val="Tahoma"/>
            <family val="2"/>
          </rPr>
          <t>Edison Alberto Correa Berrio:</t>
        </r>
        <r>
          <rPr>
            <sz val="9"/>
            <color indexed="81"/>
            <rFont val="Tahoma"/>
            <family val="2"/>
          </rPr>
          <t xml:space="preserve">
Hace referencia al tipo de pruebas que se utilizara(n) durante todo el proceso de validación. Funcionales, Automátizadas, Rendimiento, Carga, Estrés o de
Seguridad. Se llena por campo. Tipo 1.. Tipo 2… Tipo 3...</t>
        </r>
      </text>
    </comment>
    <comment ref="B23" authorId="0" shapeId="0" xr:uid="{0AFC2CA6-5561-46D8-8EE8-C8E630269752}">
      <text>
        <r>
          <rPr>
            <b/>
            <sz val="9"/>
            <color indexed="81"/>
            <rFont val="Tahoma"/>
            <family val="2"/>
          </rPr>
          <t xml:space="preserve">Calidad: </t>
        </r>
        <r>
          <rPr>
            <sz val="9"/>
            <color indexed="81"/>
            <rFont val="Tahoma"/>
            <family val="2"/>
          </rPr>
          <t xml:space="preserve">El Alcance de una prueba determina que funcionalidades del producto y/o software que serán probadas durante el transcurso del Sprint
</t>
        </r>
      </text>
    </comment>
    <comment ref="E23" authorId="0" shapeId="0" xr:uid="{B21B7268-DCFD-4311-A170-911C508BD0DB}">
      <text>
        <r>
          <rPr>
            <b/>
            <sz val="9"/>
            <color indexed="81"/>
            <rFont val="Tahoma"/>
            <family val="2"/>
          </rPr>
          <t xml:space="preserve">Calidad: </t>
        </r>
        <r>
          <rPr>
            <sz val="9"/>
            <color indexed="81"/>
            <rFont val="Tahoma"/>
            <family val="2"/>
          </rPr>
          <t>Criterio de Aceptación: Es el resultado esperado o comportamiento deseado de una función dentro del aplicativo.
Estos campos se debe de llenar según la cantidad de criterios de aceptación.</t>
        </r>
        <r>
          <rPr>
            <b/>
            <sz val="9"/>
            <color indexed="81"/>
            <rFont val="Tahoma"/>
            <family val="2"/>
          </rPr>
          <t xml:space="preserve">
</t>
        </r>
        <r>
          <rPr>
            <sz val="9"/>
            <color indexed="81"/>
            <rFont val="Tahoma"/>
            <family val="2"/>
          </rPr>
          <t xml:space="preserve">
</t>
        </r>
      </text>
    </comment>
    <comment ref="B41" authorId="0" shapeId="0" xr:uid="{C47A56B1-5D69-4282-A0E2-3DCE7E8D5CE5}">
      <text>
        <r>
          <rPr>
            <b/>
            <sz val="9"/>
            <color indexed="81"/>
            <rFont val="Tahoma"/>
            <family val="2"/>
          </rPr>
          <t xml:space="preserve">Calidad: </t>
        </r>
        <r>
          <rPr>
            <sz val="9"/>
            <color indexed="81"/>
            <rFont val="Tahoma"/>
            <family val="2"/>
          </rPr>
          <t xml:space="preserve">Perrequisitos: Es el comportamiento mínimo y necesario que se necesitan para la validación del aplicativo.
Como por ejemplo: permisos de autenticación, ingresos a las bases de datos, componentes hardware si se solicitan, pruebas unitarias Etc. 
</t>
        </r>
      </text>
    </comment>
    <comment ref="E41" authorId="0" shapeId="0" xr:uid="{5B1E538D-95C3-433B-909D-0BDCD085D728}">
      <text>
        <r>
          <rPr>
            <b/>
            <sz val="9"/>
            <color indexed="81"/>
            <rFont val="Tahoma"/>
            <family val="2"/>
          </rPr>
          <t xml:space="preserve">Calidad: </t>
        </r>
        <r>
          <rPr>
            <sz val="9"/>
            <color indexed="81"/>
            <rFont val="Tahoma"/>
            <family val="2"/>
          </rPr>
          <t xml:space="preserve">Este espacio es destinado para el ingreso de los datos Perrequisitos, que el analista de calidad considera necesarios para realizar las pruebas funcionales del aplicativo. Se deben de llenar campo a campo. 
</t>
        </r>
      </text>
    </comment>
    <comment ref="B59" authorId="0" shapeId="0" xr:uid="{DE310A8B-7B2A-4F98-BE16-0EFB2EFEBAB8}">
      <text>
        <r>
          <rPr>
            <b/>
            <sz val="9"/>
            <color indexed="81"/>
            <rFont val="Tahoma"/>
            <family val="2"/>
          </rPr>
          <t xml:space="preserve">Calidad: </t>
        </r>
        <r>
          <rPr>
            <sz val="9"/>
            <color indexed="81"/>
            <rFont val="Tahoma"/>
            <family val="2"/>
          </rPr>
          <t xml:space="preserve">Estrategias de Pruebas: Es la consideración en la secuencia de pasos que el analista de pruebas abordará el proceso de validación del aplicativo y los resultados esperados de cada proceso.
Nota: Una buena estrategia en el diseño de los casos de pruebas, llevarán a una buena evaluación. </t>
        </r>
      </text>
    </comment>
    <comment ref="E59" authorId="0" shapeId="0" xr:uid="{D9BC6B7B-7DFC-4F87-8D30-C69ACAF57311}">
      <text>
        <r>
          <rPr>
            <b/>
            <sz val="9"/>
            <color indexed="81"/>
            <rFont val="Tahoma"/>
            <family val="2"/>
          </rPr>
          <t xml:space="preserve">Calidad: </t>
        </r>
        <r>
          <rPr>
            <sz val="9"/>
            <color indexed="81"/>
            <rFont val="Tahoma"/>
            <family val="2"/>
          </rPr>
          <t xml:space="preserve">Este espacio es destinado para el ingreso de los datos de la estrategia, que el analista de calidad considera necesarios para realizar las pruebas funcionales del aplicativo. Se deben de llenar campo a campo. 
</t>
        </r>
      </text>
    </comment>
    <comment ref="B77" authorId="0" shapeId="0" xr:uid="{B9275392-3B07-46F7-B4E1-A42A1E8763FC}">
      <text>
        <r>
          <rPr>
            <b/>
            <sz val="9"/>
            <color indexed="81"/>
            <rFont val="Tahoma"/>
            <family val="2"/>
          </rPr>
          <t>Calidad:</t>
        </r>
        <r>
          <rPr>
            <sz val="9"/>
            <color indexed="81"/>
            <rFont val="Tahoma"/>
            <family val="2"/>
          </rPr>
          <t xml:space="preserve"> Las funcionalidades son las tareas que se validaran y estan implicitas dentro del alcance de las pruebas. Solo se validará las funcionalidades que esten dentro del criterio de aceptación. Analista de Calidad evite procesos que no hagan parte de las funcionales aprobar.</t>
        </r>
        <r>
          <rPr>
            <b/>
            <sz val="9"/>
            <color indexed="81"/>
            <rFont val="Tahoma"/>
            <family val="2"/>
          </rPr>
          <t xml:space="preserve"> </t>
        </r>
        <r>
          <rPr>
            <sz val="9"/>
            <color indexed="81"/>
            <rFont val="Tahoma"/>
            <family val="2"/>
          </rPr>
          <t xml:space="preserve">
</t>
        </r>
      </text>
    </comment>
    <comment ref="E77" authorId="0" shapeId="0" xr:uid="{849DFCF1-45C6-4E4D-B883-075969E43415}">
      <text>
        <r>
          <rPr>
            <b/>
            <sz val="9"/>
            <color indexed="81"/>
            <rFont val="Tahoma"/>
            <family val="2"/>
          </rPr>
          <t xml:space="preserve">Calidad: </t>
        </r>
        <r>
          <rPr>
            <sz val="9"/>
            <color indexed="81"/>
            <rFont val="Tahoma"/>
            <family val="2"/>
          </rPr>
          <t xml:space="preserve">Este campo esta destinado para ingresar las subtareas o tareas de los alcances ya aprobados.
Nota: Si existen varias funcionalidades describirlas en su totalidad.
</t>
        </r>
      </text>
    </comment>
    <comment ref="B95" authorId="0" shapeId="0" xr:uid="{5CAA2A44-D752-4C6A-AD13-ADFFB1E3D116}">
      <text>
        <r>
          <rPr>
            <b/>
            <sz val="9"/>
            <color indexed="81"/>
            <rFont val="Tahoma"/>
            <family val="2"/>
          </rPr>
          <t xml:space="preserve">Calidad: </t>
        </r>
        <r>
          <rPr>
            <sz val="9"/>
            <color indexed="81"/>
            <rFont val="Tahoma"/>
            <family val="2"/>
          </rPr>
          <t xml:space="preserve">Las funcionalidades fuera del alcance son las tareas que NO se validaran y NO estan implicitas dentro del alcance de las pruebas.  Analista de Calidad evite procesos que NO hagan parte de las funcionales aprobar. 
</t>
        </r>
      </text>
    </comment>
    <comment ref="E95" authorId="0" shapeId="0" xr:uid="{69E83831-DB84-4430-A126-2D5A4CE4AEB1}">
      <text>
        <r>
          <rPr>
            <b/>
            <sz val="9"/>
            <color indexed="81"/>
            <rFont val="Tahoma"/>
            <family val="2"/>
          </rPr>
          <t xml:space="preserve">Calidad: </t>
        </r>
        <r>
          <rPr>
            <sz val="9"/>
            <color indexed="81"/>
            <rFont val="Tahoma"/>
            <family val="2"/>
          </rPr>
          <t xml:space="preserve">Este campo esta destinado para ingresar las subtareas o tareas que NO hacen parte del alcance aprobados.
Nota: Si existen varias funcionalidades que NO hacen parte del alcance describirlas en su totalidad.
</t>
        </r>
      </text>
    </comment>
    <comment ref="B113" authorId="0" shapeId="0" xr:uid="{35B83CBC-3E80-410C-A318-096F3E3BD238}">
      <text>
        <r>
          <rPr>
            <b/>
            <sz val="9"/>
            <color indexed="81"/>
            <rFont val="Tahoma"/>
            <family val="2"/>
          </rPr>
          <t xml:space="preserve">Calidad: </t>
        </r>
        <r>
          <rPr>
            <sz val="9"/>
            <color indexed="81"/>
            <rFont val="Tahoma"/>
            <family val="2"/>
          </rPr>
          <t xml:space="preserve">Funcionalidades fuera del Sprint. Son tareas que por diversas circuntancias no 
se pudieron validar. Nota: se aconseja una breve descripción del impedimento.
</t>
        </r>
      </text>
    </comment>
    <comment ref="E113" authorId="0" shapeId="0" xr:uid="{CC21B408-F2AC-469E-A294-11B0CBE284A0}">
      <text>
        <r>
          <rPr>
            <b/>
            <sz val="9"/>
            <color indexed="81"/>
            <rFont val="Tahoma"/>
            <family val="2"/>
          </rPr>
          <t xml:space="preserve">Calidad: </t>
        </r>
        <r>
          <rPr>
            <sz val="9"/>
            <color indexed="81"/>
            <rFont val="Tahoma"/>
            <family val="2"/>
          </rPr>
          <t>Funcionalidades fuera del Sprint. En este campo se relata brevemente cuales funcionalidades no se pudieron probar.
Nota: se debe de realizar un llenado de la información uno a uno.</t>
        </r>
      </text>
    </comment>
    <comment ref="B131" authorId="0" shapeId="0" xr:uid="{7CF1BB21-E816-4ECB-BE67-187257164864}">
      <text>
        <r>
          <rPr>
            <b/>
            <sz val="9"/>
            <color indexed="81"/>
            <rFont val="Tahoma"/>
            <family val="2"/>
          </rPr>
          <t xml:space="preserve">Calidad:
</t>
        </r>
        <r>
          <rPr>
            <sz val="9"/>
            <color indexed="81"/>
            <rFont val="Tahoma"/>
            <family val="2"/>
          </rPr>
          <t xml:space="preserve">Un supuesto son consideraciones que ya se cumplen en el aplicativo como por ejemplo:
• La aplicación debe estar correctamente instalada en el ambiente de laboratorio/pruebas.
• La aplicación ha sido verificada en el ambiente de pruebas por el desarrollador, previo a su entrega al equipo de calidad.
• En caso de que el aplicativo tenga interacción con otros módulos o aplicaciones la comunicación entre estos estarán disponibles y en un nivel óptimo siempre.
• Se cuenta con la documentación actualizada, siendo esta la última versión y sobre la cual se llevará a cabo el proceso de pruebas.
</t>
        </r>
      </text>
    </comment>
    <comment ref="E131" authorId="0" shapeId="0" xr:uid="{B8973664-E43F-4E5F-BF85-549742751C1D}">
      <text>
        <r>
          <rPr>
            <b/>
            <sz val="9"/>
            <color indexed="81"/>
            <rFont val="Tahoma"/>
            <family val="2"/>
          </rPr>
          <t xml:space="preserve">Calidad: </t>
        </r>
        <r>
          <rPr>
            <sz val="9"/>
            <color indexed="81"/>
            <rFont val="Tahoma"/>
            <family val="2"/>
          </rPr>
          <t>En este campo de Supuestos, son los datos minimos con los que usted cree que el aplicativo debe de funcionar para iniciar las pruebas. 
Nota: Se llena uno a uno.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Edison Alberto Correa Berrio</author>
  </authors>
  <commentList>
    <comment ref="F10" authorId="0" shapeId="0" xr:uid="{8794DBC5-C2DA-44B2-8AA5-F1285E7BBA82}">
      <text>
        <r>
          <rPr>
            <b/>
            <sz val="9"/>
            <color indexed="81"/>
            <rFont val="Tahoma"/>
            <family val="2"/>
          </rPr>
          <t xml:space="preserve">Calidad: </t>
        </r>
        <r>
          <rPr>
            <sz val="9"/>
            <color indexed="81"/>
            <rFont val="Tahoma"/>
            <family val="2"/>
          </rPr>
          <t>Campo</t>
        </r>
        <r>
          <rPr>
            <b/>
            <sz val="9"/>
            <color indexed="81"/>
            <rFont val="Tahoma"/>
            <family val="2"/>
          </rPr>
          <t xml:space="preserve"> </t>
        </r>
        <r>
          <rPr>
            <sz val="9"/>
            <color indexed="81"/>
            <rFont val="Tahoma"/>
            <family val="2"/>
          </rPr>
          <t xml:space="preserve">Casos de prueba de alto Impacto. En este campo se podrá visualizar la sumatoria total de Bugs de alto impacto observadas dentro del aplicativo.
Nota: No modificar las formulas ingresadas.
</t>
        </r>
      </text>
    </comment>
    <comment ref="F12" authorId="0" shapeId="0" xr:uid="{D6940898-7901-4833-8D47-1B2AB3930582}">
      <text>
        <r>
          <rPr>
            <b/>
            <sz val="9"/>
            <color indexed="81"/>
            <rFont val="Tahoma"/>
            <family val="2"/>
          </rPr>
          <t xml:space="preserve">Calidad: </t>
        </r>
        <r>
          <rPr>
            <sz val="9"/>
            <color indexed="81"/>
            <rFont val="Tahoma"/>
            <family val="2"/>
          </rPr>
          <t xml:space="preserve">Campo Casos de prueba de mediano Impacto. En este campo se podrá visualizar la sumatoria total de Bugs de mediano impacto observadas dentro del aplicativo.
Nota: No modificar las formulas ingresadas.
</t>
        </r>
      </text>
    </comment>
    <comment ref="M12" authorId="0" shapeId="0" xr:uid="{2FA2091F-EFF0-4A99-AB02-70CF4140400F}">
      <text>
        <r>
          <rPr>
            <b/>
            <sz val="9"/>
            <color indexed="81"/>
            <rFont val="Tahoma"/>
            <family val="2"/>
          </rPr>
          <t xml:space="preserve">Calidad: </t>
        </r>
        <r>
          <rPr>
            <sz val="9"/>
            <color indexed="81"/>
            <rFont val="Tahoma"/>
            <family val="2"/>
          </rPr>
          <t xml:space="preserve">El campo estado de prueba es la sumatoria de todos los casos de pruebas donde estos salieron con un resultado deseado.
</t>
        </r>
      </text>
    </comment>
    <comment ref="M13" authorId="0" shapeId="0" xr:uid="{C88D0CBC-E3F8-4404-BDD2-6861F2337877}">
      <text>
        <r>
          <rPr>
            <b/>
            <sz val="9"/>
            <color indexed="81"/>
            <rFont val="Tahoma"/>
            <family val="2"/>
          </rPr>
          <t xml:space="preserve">Calidad: </t>
        </r>
        <r>
          <rPr>
            <sz val="9"/>
            <color indexed="81"/>
            <rFont val="Tahoma"/>
            <family val="2"/>
          </rPr>
          <t xml:space="preserve">El campo Fallido de prueba es la sumatoria de todos los casos de pruebas donde estos NO salieron con un resultado deseado.
</t>
        </r>
      </text>
    </comment>
    <comment ref="F14" authorId="0" shapeId="0" xr:uid="{30FFFACA-7B28-4777-9E53-04416FE7EAAB}">
      <text>
        <r>
          <rPr>
            <b/>
            <sz val="9"/>
            <color indexed="81"/>
            <rFont val="Tahoma"/>
            <family val="2"/>
          </rPr>
          <t xml:space="preserve">Calidad: </t>
        </r>
        <r>
          <rPr>
            <sz val="9"/>
            <color indexed="81"/>
            <rFont val="Tahoma"/>
            <family val="2"/>
          </rPr>
          <t>Campo Casos de prueba de bajo Impacto. En este campo se podrá visualizar la sumatoria total de Bugs de bajo impacto observadas dentro del aplicativo.
Nota: No modificar las formulas ingresadas.</t>
        </r>
      </text>
    </comment>
    <comment ref="M14" authorId="0" shapeId="0" xr:uid="{97E046AD-BADB-41AB-B0A4-4DF64867F420}">
      <text>
        <r>
          <rPr>
            <b/>
            <sz val="9"/>
            <color indexed="81"/>
            <rFont val="Tahoma"/>
            <family val="2"/>
          </rPr>
          <t>Calidad:</t>
        </r>
        <r>
          <rPr>
            <sz val="9"/>
            <color indexed="81"/>
            <rFont val="Tahoma"/>
            <family val="2"/>
          </rPr>
          <t xml:space="preserve"> El campo Pendiente  de prueba es la sumatoria de todos los casos de pruebas donde estos NO se pudieron ejecutar por alguna novedad.
</t>
        </r>
      </text>
    </comment>
    <comment ref="M15" authorId="0" shapeId="0" xr:uid="{B84971FC-7289-40BC-97CD-A7DE8CBB1E6D}">
      <text>
        <r>
          <rPr>
            <b/>
            <sz val="9"/>
            <color indexed="81"/>
            <rFont val="Tahoma"/>
            <family val="2"/>
          </rPr>
          <t>Calidad:</t>
        </r>
        <r>
          <rPr>
            <sz val="9"/>
            <color indexed="81"/>
            <rFont val="Tahoma"/>
            <family val="2"/>
          </rPr>
          <t xml:space="preserve"> El campo Pendiente  de prueba es la sumatoria de todos los casos de pruebas donde estos NO se pudieron ejecutar por alguna novedad.
</t>
        </r>
      </text>
    </comment>
    <comment ref="F16" authorId="0" shapeId="0" xr:uid="{7F989A15-E1D3-442D-B996-281A461415D0}">
      <text>
        <r>
          <rPr>
            <b/>
            <sz val="9"/>
            <color indexed="81"/>
            <rFont val="Tahoma"/>
            <family val="2"/>
          </rPr>
          <t xml:space="preserve">Calidad: </t>
        </r>
        <r>
          <rPr>
            <sz val="9"/>
            <color indexed="81"/>
            <rFont val="Tahoma"/>
            <family val="2"/>
          </rPr>
          <t xml:space="preserve">Este campo esta destinado para observar el total de BUGS localizados dentro del aplicativo, sin importar el impacto proveniente.
Nota: No modificar las formulas ingresadas.
</t>
        </r>
      </text>
    </comment>
    <comment ref="M16" authorId="0" shapeId="0" xr:uid="{B7C22ECA-B4F6-423A-804E-46F0F1453CC4}">
      <text>
        <r>
          <rPr>
            <b/>
            <sz val="9"/>
            <color indexed="81"/>
            <rFont val="Tahoma"/>
            <family val="2"/>
          </rPr>
          <t xml:space="preserve">Calidad: </t>
        </r>
        <r>
          <rPr>
            <sz val="9"/>
            <color indexed="81"/>
            <rFont val="Tahoma"/>
            <family val="2"/>
          </rPr>
          <t xml:space="preserve">El campo No Aplica   es la sumatoria de todos los casos de pruebas que no aplicaron en la ejecución de validación.
</t>
        </r>
      </text>
    </comment>
    <comment ref="M17" authorId="0" shapeId="0" xr:uid="{40886391-517A-4163-8D04-6A155FBB0428}">
      <text>
        <r>
          <rPr>
            <b/>
            <sz val="9"/>
            <color indexed="81"/>
            <rFont val="Tahoma"/>
            <family val="2"/>
          </rPr>
          <t xml:space="preserve">Calidad: </t>
        </r>
        <r>
          <rPr>
            <sz val="9"/>
            <color indexed="81"/>
            <rFont val="Tahoma"/>
            <family val="2"/>
          </rPr>
          <t xml:space="preserve">En este campo se ve el total de casos de pruebas ejecutados en la prueba.
</t>
        </r>
      </text>
    </comment>
    <comment ref="B19" authorId="0" shapeId="0" xr:uid="{EAE7EDE3-71E8-4C4B-B0DB-E6019056E120}">
      <text>
        <r>
          <rPr>
            <b/>
            <sz val="9"/>
            <color indexed="81"/>
            <rFont val="Tahoma"/>
            <family val="2"/>
          </rPr>
          <t>Calidad:</t>
        </r>
        <r>
          <rPr>
            <sz val="9"/>
            <color indexed="81"/>
            <rFont val="Tahoma"/>
            <family val="2"/>
          </rPr>
          <t xml:space="preserve"> Este campo hace referencia al nombre de la persona que desarrollo el aplicativo que se esta validando.
</t>
        </r>
      </text>
    </comment>
    <comment ref="C19" authorId="0" shapeId="0" xr:uid="{F47B10C5-1A19-40A4-BCF3-27C27F67C8ED}">
      <text>
        <r>
          <rPr>
            <b/>
            <sz val="9"/>
            <color indexed="81"/>
            <rFont val="Tahoma"/>
            <family val="2"/>
          </rPr>
          <t xml:space="preserve">Calidad: </t>
        </r>
        <r>
          <rPr>
            <sz val="9"/>
            <color indexed="81"/>
            <rFont val="Tahoma"/>
            <family val="2"/>
          </rPr>
          <t xml:space="preserve">Este campo hace referencia al Sprint actual de trabajo.
</t>
        </r>
      </text>
    </comment>
    <comment ref="D19" authorId="0" shapeId="0" xr:uid="{68AE641A-310C-4804-BE7C-2946F89DF15E}">
      <text>
        <r>
          <rPr>
            <b/>
            <sz val="9"/>
            <color indexed="81"/>
            <rFont val="Tahoma"/>
            <family val="2"/>
          </rPr>
          <t xml:space="preserve">Calidad: </t>
        </r>
        <r>
          <rPr>
            <sz val="9"/>
            <color indexed="81"/>
            <rFont val="Tahoma"/>
            <family val="2"/>
          </rPr>
          <t xml:space="preserve">Son esas funcionalidades que se observaron en la etapa de planeación, y que usted señor analista de calidad divido en subtareas.
</t>
        </r>
      </text>
    </comment>
    <comment ref="E19" authorId="0" shapeId="0" xr:uid="{273635CA-1DAD-4ABD-8E6B-611DA300E1F8}">
      <text>
        <r>
          <rPr>
            <b/>
            <sz val="9"/>
            <color indexed="81"/>
            <rFont val="Tahoma"/>
            <family val="2"/>
          </rPr>
          <t xml:space="preserve">Calidad: </t>
        </r>
        <r>
          <rPr>
            <sz val="9"/>
            <color indexed="81"/>
            <rFont val="Tahoma"/>
            <family val="2"/>
          </rPr>
          <t>Este campo es el complemento de las historias de usuario que estan divididas de alguna forma por modulos de validación.
¿que va aprobar?</t>
        </r>
      </text>
    </comment>
    <comment ref="F19" authorId="0" shapeId="0" xr:uid="{FB76387D-8F0C-42BB-A6AD-2C60EE77EDF7}">
      <text>
        <r>
          <rPr>
            <b/>
            <sz val="9"/>
            <color indexed="81"/>
            <rFont val="Tahoma"/>
            <family val="2"/>
          </rPr>
          <t>Calidad:</t>
        </r>
        <r>
          <rPr>
            <sz val="9"/>
            <color indexed="81"/>
            <rFont val="Tahoma"/>
            <family val="2"/>
          </rPr>
          <t xml:space="preserve">
El campo número de caso de prueba es el consecutivo que se debe de colocar a cada escenario, para el rastreo de la información llegado a encontrar un bug.</t>
        </r>
      </text>
    </comment>
    <comment ref="G19" authorId="0" shapeId="0" xr:uid="{3FB06910-A7D6-4CEC-A12B-C3CB8FAEDA23}">
      <text>
        <r>
          <rPr>
            <b/>
            <sz val="9"/>
            <color indexed="81"/>
            <rFont val="Tahoma"/>
            <family val="2"/>
          </rPr>
          <t xml:space="preserve">Calidad: </t>
        </r>
        <r>
          <rPr>
            <sz val="9"/>
            <color indexed="81"/>
            <rFont val="Tahoma"/>
            <family val="2"/>
          </rPr>
          <t xml:space="preserve">El impacto es la relevancia que tendrá el caso de prueba dentro del aplicativo. Tendrá 3 niveles, Alto, Medio, Bajo, el analista de calidad considerará el nivel del impacto.
</t>
        </r>
      </text>
    </comment>
    <comment ref="H19" authorId="0" shapeId="0" xr:uid="{AA93F88B-9057-41FB-85AB-A5E32E47BBA2}">
      <text>
        <r>
          <rPr>
            <b/>
            <sz val="9"/>
            <color indexed="81"/>
            <rFont val="Tahoma"/>
            <family val="2"/>
          </rPr>
          <t xml:space="preserve">Calidad: </t>
        </r>
        <r>
          <rPr>
            <sz val="9"/>
            <color indexed="81"/>
            <rFont val="Tahoma"/>
            <family val="2"/>
          </rPr>
          <t xml:space="preserve">En este campo se realiza una descripción del caso de prueba y la funcionalidad que se esta validando.
</t>
        </r>
      </text>
    </comment>
    <comment ref="I19" authorId="0" shapeId="0" xr:uid="{93C5EB27-B452-484A-8BB7-76DC07005F07}">
      <text>
        <r>
          <rPr>
            <b/>
            <sz val="9"/>
            <color indexed="81"/>
            <rFont val="Tahoma"/>
            <family val="2"/>
          </rPr>
          <t xml:space="preserve">Calidad: </t>
        </r>
        <r>
          <rPr>
            <sz val="9"/>
            <color indexed="81"/>
            <rFont val="Tahoma"/>
            <family val="2"/>
          </rPr>
          <t xml:space="preserve">las precondiciones son las herramientas necesarias para la ejecución de los casos de pruebas. 
</t>
        </r>
      </text>
    </comment>
    <comment ref="J19" authorId="0" shapeId="0" xr:uid="{4B2DE762-0BF8-4899-A08D-53E5BDE85643}">
      <text>
        <r>
          <rPr>
            <b/>
            <sz val="9"/>
            <color indexed="81"/>
            <rFont val="Tahoma"/>
            <family val="2"/>
          </rPr>
          <t xml:space="preserve">Calidad: </t>
        </r>
        <r>
          <rPr>
            <sz val="9"/>
            <color indexed="81"/>
            <rFont val="Tahoma"/>
            <family val="2"/>
          </rPr>
          <t xml:space="preserve">Son la secuencia de pasos necesarios para ejecutar el caso de pruebas. Estos deben de ir detallados en orden.
</t>
        </r>
      </text>
    </comment>
    <comment ref="K19" authorId="0" shapeId="0" xr:uid="{55CA8583-6704-4114-B93F-1C8539F94324}">
      <text>
        <r>
          <rPr>
            <b/>
            <sz val="9"/>
            <color indexed="81"/>
            <rFont val="Tahoma"/>
            <family val="2"/>
          </rPr>
          <t xml:space="preserve">Calidad: </t>
        </r>
        <r>
          <rPr>
            <sz val="9"/>
            <color indexed="81"/>
            <rFont val="Tahoma"/>
            <family val="2"/>
          </rPr>
          <t xml:space="preserve">El campo resultado esperado, el la validación deseada luego de realizar la secuencia de pasos y la descripción de lo que se quiere probar.
</t>
        </r>
      </text>
    </comment>
    <comment ref="M19" authorId="0" shapeId="0" xr:uid="{BA2CE2E2-5E4F-4EED-8288-7B3C43E418A5}">
      <text>
        <r>
          <rPr>
            <b/>
            <sz val="9"/>
            <color indexed="81"/>
            <rFont val="Tahoma"/>
            <family val="2"/>
          </rPr>
          <t>Calidad: l</t>
        </r>
        <r>
          <rPr>
            <sz val="9"/>
            <color indexed="81"/>
            <rFont val="Tahoma"/>
            <family val="2"/>
          </rPr>
          <t>os ciclos de regresión son las modificaciones realizadas al aplicativo luego de haber realizado pruebas.</t>
        </r>
      </text>
    </comment>
    <comment ref="N19" authorId="0" shapeId="0" xr:uid="{B5F8A8D5-94E2-4F25-AA35-9EC607F2B894}">
      <text>
        <r>
          <rPr>
            <b/>
            <sz val="9"/>
            <color indexed="81"/>
            <rFont val="Tahoma"/>
            <family val="2"/>
          </rPr>
          <t>Calidad:</t>
        </r>
        <r>
          <rPr>
            <sz val="9"/>
            <color indexed="81"/>
            <rFont val="Tahoma"/>
            <family val="2"/>
          </rPr>
          <t xml:space="preserve">
las pruebas de ciclo 1 son aquellas que se realizan a los casos de pruebas y van marcadas según el resultado esperado.</t>
        </r>
      </text>
    </comment>
    <comment ref="O19" authorId="0" shapeId="0" xr:uid="{36EE9094-DFC5-440F-8F2A-789195D7E558}">
      <text>
        <r>
          <rPr>
            <b/>
            <sz val="9"/>
            <color indexed="81"/>
            <rFont val="Tahoma"/>
            <family val="2"/>
          </rPr>
          <t>Calidad:</t>
        </r>
        <r>
          <rPr>
            <sz val="9"/>
            <color indexed="81"/>
            <rFont val="Tahoma"/>
            <family val="2"/>
          </rPr>
          <t xml:space="preserve">
Las pruebas de Ciclo 2 son aquellas validaciones que en el ciclo 1 se encontraron con cualquier tipo de error, y que fueron necesarios reprocesar para su correcto funcionamiento.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Edison Alberto Correa Berrio</author>
  </authors>
  <commentList>
    <comment ref="B22" authorId="0" shapeId="0" xr:uid="{36278F48-37F2-4910-B8DB-0149AD38A4CC}">
      <text>
        <r>
          <rPr>
            <b/>
            <sz val="9"/>
            <color indexed="81"/>
            <rFont val="Tahoma"/>
            <family val="2"/>
          </rPr>
          <t xml:space="preserve">Calidad: </t>
        </r>
        <r>
          <rPr>
            <sz val="9"/>
            <color indexed="81"/>
            <rFont val="Tahoma"/>
            <family val="2"/>
          </rPr>
          <t xml:space="preserve">Sprint Número hace referencia al sprint de trabajo donde fue localizado el defecto funcional del aplicativo.
</t>
        </r>
      </text>
    </comment>
    <comment ref="C22" authorId="0" shapeId="0" xr:uid="{EB40E151-1FA1-4FEB-A18E-4182B8CB6BCE}">
      <text>
        <r>
          <rPr>
            <b/>
            <sz val="9"/>
            <color indexed="81"/>
            <rFont val="Tahoma"/>
            <family val="2"/>
          </rPr>
          <t>Calidad:</t>
        </r>
        <r>
          <rPr>
            <sz val="9"/>
            <color indexed="81"/>
            <rFont val="Tahoma"/>
            <family val="2"/>
          </rPr>
          <t xml:space="preserve"> El campo Id Bug, es la secuencia numérada de los bugs encontrados dentro del aplicativo.</t>
        </r>
      </text>
    </comment>
    <comment ref="D22" authorId="0" shapeId="0" xr:uid="{052C800D-59F8-4A57-965C-79BCC0EAED39}">
      <text>
        <r>
          <rPr>
            <b/>
            <sz val="9"/>
            <color indexed="81"/>
            <rFont val="Tahoma"/>
            <family val="2"/>
          </rPr>
          <t xml:space="preserve">Calidad: </t>
        </r>
        <r>
          <rPr>
            <sz val="9"/>
            <color indexed="81"/>
            <rFont val="Tahoma"/>
            <family val="2"/>
          </rPr>
          <t>Hace referencia a la persona que desarrollo el aplicativo y al cual se le asignará la solución del mismo.</t>
        </r>
      </text>
    </comment>
    <comment ref="E22" authorId="0" shapeId="0" xr:uid="{0C4F5736-4C84-4C02-91F1-A9788CD1B5AE}">
      <text>
        <r>
          <rPr>
            <b/>
            <sz val="9"/>
            <color indexed="81"/>
            <rFont val="Tahoma"/>
            <family val="2"/>
          </rPr>
          <t xml:space="preserve">Calidad: </t>
        </r>
        <r>
          <rPr>
            <sz val="9"/>
            <color indexed="81"/>
            <rFont val="Tahoma"/>
            <family val="2"/>
          </rPr>
          <t xml:space="preserve">El número de caso de prueba asociado es el caso en donde se observó la anomalia, y debe de existir el complemento del Sprint de trabajo.
</t>
        </r>
      </text>
    </comment>
    <comment ref="F22" authorId="0" shapeId="0" xr:uid="{BE805363-E532-4597-80ED-78F8F2C9BBC6}">
      <text>
        <r>
          <rPr>
            <b/>
            <sz val="9"/>
            <color indexed="81"/>
            <rFont val="Tahoma"/>
            <family val="2"/>
          </rPr>
          <t xml:space="preserve">Calidad: </t>
        </r>
        <r>
          <rPr>
            <sz val="9"/>
            <color indexed="81"/>
            <rFont val="Tahoma"/>
            <family val="2"/>
          </rPr>
          <t>El 
impacto es que tan grave puede ser ese bug localizado para la funcionalidad del aplicativo.</t>
        </r>
      </text>
    </comment>
    <comment ref="G22" authorId="0" shapeId="0" xr:uid="{A28031B9-C2F8-4931-9E41-073A1412092C}">
      <text>
        <r>
          <rPr>
            <b/>
            <sz val="9"/>
            <color indexed="81"/>
            <rFont val="Tahoma"/>
            <family val="2"/>
          </rPr>
          <t xml:space="preserve">Calidad: </t>
        </r>
        <r>
          <rPr>
            <sz val="9"/>
            <color indexed="81"/>
            <rFont val="Tahoma"/>
            <family val="2"/>
          </rPr>
          <t xml:space="preserve">En este campo clasificamos el bug hallado dentro del aplicativo 
en donde se pasará dicha información al analista de desarrollo para su pronta solución.
</t>
        </r>
      </text>
    </comment>
    <comment ref="H22" authorId="0" shapeId="0" xr:uid="{C5B6D4C5-F0FF-4D55-AB54-366F81EB843D}">
      <text>
        <r>
          <rPr>
            <b/>
            <sz val="9"/>
            <color indexed="81"/>
            <rFont val="Tahoma"/>
            <family val="2"/>
          </rPr>
          <t xml:space="preserve">Calidad: </t>
        </r>
        <r>
          <rPr>
            <sz val="9"/>
            <color indexed="81"/>
            <rFont val="Tahoma"/>
            <family val="2"/>
          </rPr>
          <t>Aplica, significa realmente es un BUG. Y se realiza según los criterios de aceptación.</t>
        </r>
      </text>
    </comment>
    <comment ref="I22" authorId="0" shapeId="0" xr:uid="{9B0E812B-863D-4495-865A-809ADD9B30B5}">
      <text>
        <r>
          <rPr>
            <b/>
            <sz val="9"/>
            <color indexed="81"/>
            <rFont val="Tahoma"/>
            <family val="2"/>
          </rPr>
          <t xml:space="preserve">Calidad: </t>
        </r>
        <r>
          <rPr>
            <sz val="9"/>
            <color indexed="81"/>
            <rFont val="Tahoma"/>
            <family val="2"/>
          </rPr>
          <t xml:space="preserve">Las observaciones es la breve descripción del por que es Bug el caso de prueba ejecutado, donde el analista de desarrollo tomará la mejor decisión para su posible mejora tecnológica.
</t>
        </r>
      </text>
    </comment>
    <comment ref="J22" authorId="0" shapeId="0" xr:uid="{FDD7BC5E-3920-4E18-A55F-569712F9D830}">
      <text>
        <r>
          <rPr>
            <b/>
            <sz val="9"/>
            <color indexed="81"/>
            <rFont val="Tahoma"/>
            <family val="2"/>
          </rPr>
          <t xml:space="preserve">Calidad: </t>
        </r>
        <r>
          <rPr>
            <sz val="9"/>
            <color indexed="81"/>
            <rFont val="Tahoma"/>
            <family val="2"/>
          </rPr>
          <t xml:space="preserve">El estado del bug ss la asignación al trabajo a la persona encargada de la tarea correspondiente en solución.
</t>
        </r>
      </text>
    </comment>
    <comment ref="K22" authorId="0" shapeId="0" xr:uid="{69D3E88F-675E-4799-A8FF-FEFDDC0C1C38}">
      <text>
        <r>
          <rPr>
            <b/>
            <sz val="9"/>
            <color indexed="81"/>
            <rFont val="Tahoma"/>
            <family val="2"/>
          </rPr>
          <t>Calidad: E</t>
        </r>
        <r>
          <rPr>
            <sz val="9"/>
            <color indexed="81"/>
            <rFont val="Tahoma"/>
            <family val="2"/>
          </rPr>
          <t xml:space="preserve">ste campo va muy de la mano con e tipo de bug, ya que en este se describe funcionalmente del por que la falla de aplicativo.
</t>
        </r>
      </text>
    </comment>
    <comment ref="L22" authorId="0" shapeId="0" xr:uid="{AF230154-B365-4D9C-B1BF-3E9DBD58A409}">
      <text>
        <r>
          <rPr>
            <b/>
            <sz val="9"/>
            <color indexed="81"/>
            <rFont val="Tahoma"/>
            <family val="2"/>
          </rPr>
          <t xml:space="preserve">Calidad: </t>
        </r>
        <r>
          <rPr>
            <sz val="9"/>
            <color indexed="81"/>
            <rFont val="Tahoma"/>
            <family val="2"/>
          </rPr>
          <t xml:space="preserve">El bug es una solución que se dio previamente pero reaparecio según otros criterios de aceptación.
</t>
        </r>
      </text>
    </comment>
    <comment ref="M22" authorId="0" shapeId="0" xr:uid="{CAF80B60-1D99-471B-81A9-5AA90EDC9545}">
      <text>
        <r>
          <rPr>
            <b/>
            <sz val="9"/>
            <color indexed="81"/>
            <rFont val="Tahoma"/>
            <family val="2"/>
          </rPr>
          <t xml:space="preserve">Calidad: </t>
        </r>
        <r>
          <rPr>
            <sz val="9"/>
            <color indexed="81"/>
            <rFont val="Tahoma"/>
            <family val="2"/>
          </rPr>
          <t xml:space="preserve">Este campo, puede llegar el caso que no tenga solución, quedaria mara una solución mas optima.
</t>
        </r>
      </text>
    </comment>
    <comment ref="N22" authorId="0" shapeId="0" xr:uid="{29B65F6C-717F-4AAF-95AD-99D632E241DD}">
      <text>
        <r>
          <rPr>
            <b/>
            <sz val="9"/>
            <color indexed="81"/>
            <rFont val="Tahoma"/>
            <family val="2"/>
          </rPr>
          <t xml:space="preserve">Calidad: </t>
        </r>
        <r>
          <rPr>
            <sz val="9"/>
            <color indexed="81"/>
            <rFont val="Tahoma"/>
            <family val="2"/>
          </rPr>
          <t xml:space="preserve">Fecha reporte es el dia donde se registro por primera vez el Bug
</t>
        </r>
      </text>
    </comment>
    <comment ref="O22" authorId="0" shapeId="0" xr:uid="{532DE260-E336-4C60-B941-A31A64E7B97B}">
      <text>
        <r>
          <rPr>
            <b/>
            <sz val="9"/>
            <color indexed="81"/>
            <rFont val="Tahoma"/>
            <family val="2"/>
          </rPr>
          <t>Calidad:</t>
        </r>
        <r>
          <rPr>
            <sz val="9"/>
            <color indexed="81"/>
            <rFont val="Tahoma"/>
            <family val="2"/>
          </rPr>
          <t xml:space="preserve"> Fecha solución es el dia donde se cree que el Bug reportado cumple con los criterios de aceptación.
 </t>
        </r>
      </text>
    </comment>
    <comment ref="P22" authorId="0" shapeId="0" xr:uid="{07D3ACCB-ADDB-4D77-BBF2-99B6A2D630D8}">
      <text>
        <r>
          <rPr>
            <b/>
            <sz val="9"/>
            <color indexed="81"/>
            <rFont val="Tahoma"/>
            <family val="2"/>
          </rPr>
          <t xml:space="preserve">Calidad: </t>
        </r>
        <r>
          <rPr>
            <sz val="9"/>
            <color indexed="81"/>
            <rFont val="Tahoma"/>
            <family val="2"/>
          </rPr>
          <t xml:space="preserve">el campo Días, es la diferencia entre los dias de solución y los dias del reporte encontrado
</t>
        </r>
      </text>
    </comment>
    <comment ref="Q22" authorId="0" shapeId="0" xr:uid="{2B719905-3AB6-4E7D-AF34-E13C0E6ECDD8}">
      <text>
        <r>
          <rPr>
            <b/>
            <sz val="9"/>
            <color indexed="81"/>
            <rFont val="Tahoma"/>
            <family val="2"/>
          </rPr>
          <t>Calidad:</t>
        </r>
        <r>
          <rPr>
            <sz val="9"/>
            <color indexed="81"/>
            <rFont val="Tahoma"/>
            <family val="2"/>
          </rPr>
          <t xml:space="preserve">
La celda de Horas se llenan de forma Manual.
Nota: Si se llena la celda Horas, </t>
        </r>
        <r>
          <rPr>
            <b/>
            <sz val="9"/>
            <color indexed="81"/>
            <rFont val="Tahoma"/>
            <family val="2"/>
          </rPr>
          <t>NO SE DEBE</t>
        </r>
        <r>
          <rPr>
            <sz val="9"/>
            <color indexed="81"/>
            <rFont val="Tahoma"/>
            <family val="2"/>
          </rPr>
          <t xml:space="preserve"> de llenar la celda días.</t>
        </r>
        <r>
          <rPr>
            <i/>
            <sz val="9"/>
            <color indexed="81"/>
            <rFont val="Tahoma"/>
            <family val="2"/>
          </rPr>
          <t>(Esta debe de permanecer Vacia)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Edison Alberto Correa Berrio</author>
  </authors>
  <commentList>
    <comment ref="B10" authorId="0" shapeId="0" xr:uid="{232B313B-8E3F-461A-9737-EC87AD955F12}">
      <text>
        <r>
          <rPr>
            <b/>
            <sz val="9"/>
            <color indexed="81"/>
            <rFont val="Tahoma"/>
            <family val="2"/>
          </rPr>
          <t xml:space="preserve">Calidad: </t>
        </r>
        <r>
          <rPr>
            <sz val="9"/>
            <color indexed="81"/>
            <rFont val="Tahoma"/>
            <charset val="1"/>
          </rPr>
          <t xml:space="preserve">Consecutivo hace referencia a la secuencia de números de posibles riesgos en la aplicación.
</t>
        </r>
      </text>
    </comment>
    <comment ref="C10" authorId="0" shapeId="0" xr:uid="{C3787812-56EE-446B-B7FA-DB332B454A59}">
      <text>
        <r>
          <rPr>
            <b/>
            <sz val="9"/>
            <color indexed="81"/>
            <rFont val="Tahoma"/>
            <family val="2"/>
          </rPr>
          <t xml:space="preserve">Calidad:
Riesgos por Proyecto: </t>
        </r>
        <r>
          <rPr>
            <sz val="9"/>
            <color indexed="81"/>
            <rFont val="Tahoma"/>
            <family val="2"/>
          </rPr>
          <t xml:space="preserve">Son aquellos que amenazan el plan del proyecto, como por ejemplo: presupuestos, planficación, personal idoneo, cliente y sus recursos, malas estimaciones de tiempos, falta de cumplimientos en el desarrollo y pruebas.
</t>
        </r>
        <r>
          <rPr>
            <b/>
            <sz val="9"/>
            <color indexed="81"/>
            <rFont val="Tahoma"/>
            <family val="2"/>
          </rPr>
          <t>Riesgos por Producto</t>
        </r>
        <r>
          <rPr>
            <sz val="9"/>
            <color indexed="81"/>
            <rFont val="Tahoma"/>
            <family val="2"/>
          </rPr>
          <t xml:space="preserve">: Son las amenazas a los artefactos y  a la calidad del software que impactan en la entrega final. Como por ejemplo: Estandares en el desarrollo, componentes Hardware necesarios para su ejecución, mal versionamiento, mala integración entre componentes. 
</t>
        </r>
        <r>
          <rPr>
            <b/>
            <sz val="9"/>
            <color indexed="81"/>
            <rFont val="Tahoma"/>
            <family val="2"/>
          </rPr>
          <t>Incidente</t>
        </r>
        <r>
          <rPr>
            <sz val="9"/>
            <color indexed="81"/>
            <rFont val="Tahoma"/>
            <family val="2"/>
          </rPr>
          <t>: Son los detalles sobre los casos de pruebas que se han ejecutado en donde se presenta incorformidades al resultado esperado. Ejemplo: La respuesta fue correcta, pero los tiempos de espera fueron de masiados.</t>
        </r>
        <r>
          <rPr>
            <b/>
            <sz val="9"/>
            <color indexed="81"/>
            <rFont val="Tahoma"/>
            <family val="2"/>
          </rPr>
          <t xml:space="preserve">
</t>
        </r>
        <r>
          <rPr>
            <sz val="9"/>
            <color indexed="81"/>
            <rFont val="Tahoma"/>
            <family val="2"/>
          </rPr>
          <t xml:space="preserve">
</t>
        </r>
      </text>
    </comment>
    <comment ref="D10" authorId="0" shapeId="0" xr:uid="{78EC4A9F-5ED8-45FF-80B7-75A34459A36C}">
      <text>
        <r>
          <rPr>
            <b/>
            <sz val="9"/>
            <color indexed="81"/>
            <rFont val="Tahoma"/>
            <family val="2"/>
          </rPr>
          <t xml:space="preserve">Calidad: </t>
        </r>
        <r>
          <rPr>
            <sz val="9"/>
            <color indexed="81"/>
            <rFont val="Tahoma"/>
            <family val="2"/>
          </rPr>
          <t xml:space="preserve">Fecha de identificación hace referencia al día donde se evidenció el posible riesgo e incidente
</t>
        </r>
      </text>
    </comment>
    <comment ref="E10" authorId="0" shapeId="0" xr:uid="{5F675C83-E87D-4B7B-B128-F720F077C21C}">
      <text>
        <r>
          <rPr>
            <b/>
            <sz val="9"/>
            <color indexed="81"/>
            <rFont val="Tahoma"/>
            <family val="2"/>
          </rPr>
          <t xml:space="preserve">Calidad: </t>
        </r>
        <r>
          <rPr>
            <sz val="9"/>
            <color indexed="81"/>
            <rFont val="Tahoma"/>
            <family val="2"/>
          </rPr>
          <t xml:space="preserve">En la descripción se realiza un breve resumen tanto del riesgo como incidente evidenciado en el proyecto
</t>
        </r>
      </text>
    </comment>
    <comment ref="F10" authorId="0" shapeId="0" xr:uid="{4F5F8E11-D3B0-48B2-9A9D-01C89BC36426}">
      <text>
        <r>
          <rPr>
            <b/>
            <sz val="9"/>
            <color indexed="81"/>
            <rFont val="Tahoma"/>
            <family val="2"/>
          </rPr>
          <t xml:space="preserve">Calidad: </t>
        </r>
        <r>
          <rPr>
            <sz val="9"/>
            <color indexed="81"/>
            <rFont val="Tahoma"/>
            <family val="2"/>
          </rPr>
          <t xml:space="preserve">Para este campo se agrega información adicional tanto del riesgo como para el incidente, si es llegado el caso. </t>
        </r>
      </text>
    </comment>
    <comment ref="G10" authorId="0" shapeId="0" xr:uid="{27C8091F-E536-401D-B3C9-7EFF5EF85096}">
      <text>
        <r>
          <rPr>
            <b/>
            <sz val="9"/>
            <color indexed="81"/>
            <rFont val="Tahoma"/>
            <family val="2"/>
          </rPr>
          <t xml:space="preserve">Calidad: </t>
        </r>
        <r>
          <rPr>
            <sz val="9"/>
            <color indexed="81"/>
            <rFont val="Tahoma"/>
            <family val="2"/>
          </rPr>
          <t xml:space="preserve">El campo Consecuencia, que implicaría no tomar decisiones sobre el riesgo o el incidente evidenciado en el plan de pruebas. 
</t>
        </r>
      </text>
    </comment>
    <comment ref="H10" authorId="0" shapeId="0" xr:uid="{D1FC0EE9-3BD9-4368-8A75-D86668983F00}">
      <text>
        <r>
          <rPr>
            <b/>
            <sz val="9"/>
            <color indexed="81"/>
            <rFont val="Tahoma"/>
            <family val="2"/>
          </rPr>
          <t xml:space="preserve">Calidad: </t>
        </r>
        <r>
          <rPr>
            <sz val="9"/>
            <color indexed="81"/>
            <rFont val="Tahoma"/>
            <family val="2"/>
          </rPr>
          <t xml:space="preserve">El plan de mitigación es la posible solución que se puede brindar al riesgo o al incidente percibido.
</t>
        </r>
      </text>
    </comment>
    <comment ref="I10" authorId="0" shapeId="0" xr:uid="{A86944CC-13C9-4580-A619-9712A7FB3605}">
      <text>
        <r>
          <rPr>
            <b/>
            <sz val="9"/>
            <color indexed="81"/>
            <rFont val="Tahoma"/>
            <family val="2"/>
          </rPr>
          <t xml:space="preserve">Calidad: </t>
        </r>
        <r>
          <rPr>
            <sz val="9"/>
            <color indexed="81"/>
            <rFont val="Tahoma"/>
            <family val="2"/>
          </rPr>
          <t xml:space="preserve">área responsable es la encargada de brindar esa solución al riesgo o al incidente percibido.
</t>
        </r>
      </text>
    </comment>
    <comment ref="J10" authorId="0" shapeId="0" xr:uid="{10EC171B-1520-4277-A78A-8EAEDC8FA026}">
      <text>
        <r>
          <rPr>
            <b/>
            <sz val="9"/>
            <color indexed="81"/>
            <rFont val="Tahoma"/>
            <family val="2"/>
          </rPr>
          <t xml:space="preserve">Calidad: </t>
        </r>
        <r>
          <rPr>
            <sz val="9"/>
            <color indexed="81"/>
            <rFont val="Tahoma"/>
            <family val="2"/>
          </rPr>
          <t xml:space="preserve">Nombre responsable, es aquella persona que puede o esta del alcance de brindar la solución al riesgo a la incidente evidenciado.
</t>
        </r>
      </text>
    </comment>
    <comment ref="K10" authorId="0" shapeId="0" xr:uid="{554EB763-D4F9-47CE-A25F-6D6C0B81B772}">
      <text>
        <r>
          <rPr>
            <b/>
            <sz val="9"/>
            <color indexed="81"/>
            <rFont val="Tahoma"/>
            <family val="2"/>
          </rPr>
          <t xml:space="preserve">Calidad: </t>
        </r>
        <r>
          <rPr>
            <sz val="9"/>
            <color indexed="81"/>
            <rFont val="Tahoma"/>
            <family val="2"/>
          </rPr>
          <t xml:space="preserve">Fecha del plan mitigación, es un posible dia para la solución del riesgo o el incidente.
</t>
        </r>
      </text>
    </comment>
    <comment ref="L10" authorId="0" shapeId="0" xr:uid="{0EB4DCAD-0A0D-447E-8087-9F210D7C2E48}">
      <text>
        <r>
          <rPr>
            <b/>
            <sz val="9"/>
            <color indexed="81"/>
            <rFont val="Tahoma"/>
            <family val="2"/>
          </rPr>
          <t xml:space="preserve">Calidad: </t>
        </r>
        <r>
          <rPr>
            <sz val="9"/>
            <color indexed="81"/>
            <rFont val="Tahoma"/>
            <family val="2"/>
          </rPr>
          <t xml:space="preserve">El impacto es el valor que tendría el no solucionar el riesgo o incidente dentro del desarrollo del aplicativo
</t>
        </r>
      </text>
    </comment>
    <comment ref="M10" authorId="0" shapeId="0" xr:uid="{9502FFA3-BCF9-44B0-9A07-8F45C98AAD89}">
      <text>
        <r>
          <rPr>
            <b/>
            <sz val="9"/>
            <color indexed="81"/>
            <rFont val="Tahoma"/>
            <family val="2"/>
          </rPr>
          <t xml:space="preserve">Calidad: </t>
        </r>
        <r>
          <rPr>
            <sz val="9"/>
            <color indexed="81"/>
            <rFont val="Tahoma"/>
            <family val="2"/>
          </rPr>
          <t xml:space="preserve">Este campo es la probabilidad de que ocurra ya sea el riesgo o el incidente evidenciado en el pryecto. Se recomienda porcentajes de 25% para cada nivel.
</t>
        </r>
      </text>
    </comment>
    <comment ref="N10" authorId="0" shapeId="0" xr:uid="{B80DA1D4-E923-4A5F-8B11-23FE7E5E0B1E}">
      <text>
        <r>
          <rPr>
            <b/>
            <sz val="9"/>
            <color indexed="81"/>
            <rFont val="Tahoma"/>
            <family val="2"/>
          </rPr>
          <t>Calidad: E</t>
        </r>
        <r>
          <rPr>
            <sz val="9"/>
            <color indexed="81"/>
            <rFont val="Tahoma"/>
            <family val="2"/>
          </rPr>
          <t>s el valor que se otorga en multiplicar el numero del impacto por la probabilidad de ocurrencia.</t>
        </r>
      </text>
    </comment>
    <comment ref="O10" authorId="0" shapeId="0" xr:uid="{A9BA0B46-C32B-44C9-A644-55032B10E7ED}">
      <text>
        <r>
          <rPr>
            <b/>
            <sz val="9"/>
            <color indexed="81"/>
            <rFont val="Tahoma"/>
            <family val="2"/>
          </rPr>
          <t xml:space="preserve">Calidad: </t>
        </r>
        <r>
          <rPr>
            <sz val="9"/>
            <color indexed="81"/>
            <rFont val="Tahoma"/>
            <family val="2"/>
          </rPr>
          <t xml:space="preserve">Este campo es el estado del riesgo/incidente evidenciado. Abierto o cerrado.
</t>
        </r>
      </text>
    </comment>
    <comment ref="P10" authorId="0" shapeId="0" xr:uid="{F357E13B-95B4-4AFE-B595-357DF55346DC}">
      <text>
        <r>
          <rPr>
            <b/>
            <sz val="9"/>
            <color indexed="81"/>
            <rFont val="Tahoma"/>
            <family val="2"/>
          </rPr>
          <t xml:space="preserve">Calidad: </t>
        </r>
        <r>
          <rPr>
            <sz val="9"/>
            <color indexed="81"/>
            <rFont val="Tahoma"/>
            <family val="2"/>
          </rPr>
          <t xml:space="preserve">Es la fecha fin y la solución positiva o negativa al riesgo o incidente evidenciado.
</t>
        </r>
      </text>
    </comment>
    <comment ref="R10" authorId="0" shapeId="0" xr:uid="{D933016C-2E56-40EF-BD6F-954A1F3F53AB}">
      <text>
        <r>
          <rPr>
            <b/>
            <sz val="9"/>
            <color indexed="81"/>
            <rFont val="Tahoma"/>
            <family val="2"/>
          </rPr>
          <t xml:space="preserve">Conocimiento Corporativo: </t>
        </r>
        <r>
          <rPr>
            <sz val="9"/>
            <color indexed="81"/>
            <rFont val="Tahoma"/>
            <family val="2"/>
          </rPr>
          <t xml:space="preserve">Tabla de posibles valores para el impacto dentro del aplicativo.
</t>
        </r>
      </text>
    </comment>
    <comment ref="T10" authorId="0" shapeId="0" xr:uid="{1AACAABC-F181-4C2B-8664-573A18E3E835}">
      <text>
        <r>
          <rPr>
            <b/>
            <sz val="9"/>
            <color indexed="81"/>
            <rFont val="Tahoma"/>
            <family val="2"/>
          </rPr>
          <t>Conocimiento corporativo:</t>
        </r>
        <r>
          <rPr>
            <sz val="9"/>
            <color indexed="81"/>
            <rFont val="Tahoma"/>
            <family val="2"/>
          </rPr>
          <t xml:space="preserve"> Esta es la tabla de valores para los niveles de riesgos dentro del aplicativo.
</t>
        </r>
      </text>
    </comment>
    <comment ref="V10" authorId="0" shapeId="0" xr:uid="{90172578-1ACA-46D4-84B0-3801A01F6071}">
      <text>
        <r>
          <rPr>
            <b/>
            <sz val="9"/>
            <color indexed="81"/>
            <rFont val="Tahoma"/>
            <family val="2"/>
          </rPr>
          <t xml:space="preserve">Conocimiento Corporativo: </t>
        </r>
        <r>
          <rPr>
            <sz val="9"/>
            <color indexed="81"/>
            <rFont val="Tahoma"/>
            <family val="2"/>
          </rPr>
          <t xml:space="preserve">
Esta es la tabla de valores y probabilidad que ocurra un riesgo o un impacto en el desarrollo del aplicativo.</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Edison Alberto Correa Berrio</author>
  </authors>
  <commentList>
    <comment ref="E13" authorId="0" shapeId="0" xr:uid="{153ED238-2250-4481-B0FF-3C419F186180}">
      <text>
        <r>
          <rPr>
            <b/>
            <sz val="9"/>
            <color indexed="81"/>
            <rFont val="Tahoma"/>
            <family val="2"/>
          </rPr>
          <t xml:space="preserve">Calidad:
Ejemplo.
</t>
        </r>
        <r>
          <rPr>
            <sz val="9"/>
            <color indexed="81"/>
            <rFont val="Tahoma"/>
            <family val="2"/>
          </rPr>
          <t xml:space="preserve">Julio Escobar/ Analista de Calidad de Conomiento Corporativo, después de haber verificado el alcance de la prueba acepta la versión para salir a producción, con las consideraciones que están reportadas en el plan de certificación, en el diseño de casos prueba, el bugtracker. Esta decisión se da el 07/06/2030.
</t>
        </r>
      </text>
    </comment>
    <comment ref="E20" authorId="0" shapeId="0" xr:uid="{E94F7F60-9652-4ACF-83E3-B2A86FAD5938}">
      <text>
        <r>
          <rPr>
            <b/>
            <sz val="9"/>
            <color indexed="81"/>
            <rFont val="Tahoma"/>
            <family val="2"/>
          </rPr>
          <t xml:space="preserve">Calidad:
Ejemplo.
</t>
        </r>
        <r>
          <rPr>
            <sz val="9"/>
            <color indexed="81"/>
            <rFont val="Tahoma"/>
            <family val="2"/>
          </rPr>
          <t xml:space="preserve">Se toma los valores que estan contemplados en la planeación.
</t>
        </r>
      </text>
    </comment>
    <comment ref="E31" authorId="0" shapeId="0" xr:uid="{C7CABAEC-BEFC-4DF0-9A81-43EED4D5F83E}">
      <text>
        <r>
          <rPr>
            <b/>
            <sz val="9"/>
            <color indexed="81"/>
            <rFont val="Tahoma"/>
            <family val="2"/>
          </rPr>
          <t xml:space="preserve">Calidad:
Ejemplo.
</t>
        </r>
        <r>
          <rPr>
            <sz val="9"/>
            <color indexed="81"/>
            <rFont val="Tahoma"/>
            <family val="2"/>
          </rPr>
          <t xml:space="preserve">Se toma los valores que estan contemplados en la planeación.
</t>
        </r>
      </text>
    </comment>
    <comment ref="E42" authorId="0" shapeId="0" xr:uid="{5591F319-C69D-4480-A3A3-81D8FEE619BF}">
      <text>
        <r>
          <rPr>
            <b/>
            <sz val="9"/>
            <color indexed="81"/>
            <rFont val="Tahoma"/>
            <family val="2"/>
          </rPr>
          <t xml:space="preserve">Calidad: </t>
        </r>
        <r>
          <rPr>
            <sz val="9"/>
            <color indexed="81"/>
            <rFont val="Tahoma"/>
            <family val="2"/>
          </rPr>
          <t xml:space="preserve">Se hace una breve descripción del por que la carta sale con modificaciones para la fecha de entrega.
</t>
        </r>
      </text>
    </comment>
    <comment ref="E48" authorId="0" shapeId="0" xr:uid="{180B4866-C878-4099-901A-2776A9ECDBB7}">
      <text>
        <r>
          <rPr>
            <b/>
            <sz val="9"/>
            <color indexed="81"/>
            <rFont val="Tahoma"/>
            <family val="2"/>
          </rPr>
          <t>Calidad:</t>
        </r>
        <r>
          <rPr>
            <sz val="9"/>
            <color indexed="81"/>
            <rFont val="Tahoma"/>
            <family val="2"/>
          </rPr>
          <t xml:space="preserve"> Las consideraciones son esas observaciones de mejora dentro del aplicativo, ya sea funcionales o No funcionales, para el paso a producción.
</t>
        </r>
      </text>
    </comment>
    <comment ref="E54" authorId="0" shapeId="0" xr:uid="{2EC532A9-74B0-49A1-B684-8668FAAE4845}">
      <text>
        <r>
          <rPr>
            <b/>
            <sz val="9"/>
            <color indexed="81"/>
            <rFont val="Tahoma"/>
            <family val="2"/>
          </rPr>
          <t xml:space="preserve">Calidad: </t>
        </r>
        <r>
          <rPr>
            <sz val="9"/>
            <color indexed="81"/>
            <rFont val="Tahoma"/>
            <family val="2"/>
          </rPr>
          <t xml:space="preserve">Se da una breve explicación del por que sale la carta condicionada, ya sea por tiempos, por módulos, alguna respuesta en algún servicio etc.
</t>
        </r>
      </text>
    </comment>
    <comment ref="E60" authorId="0" shapeId="0" xr:uid="{39261E98-5017-4F7D-B0F1-502576422BD8}">
      <text>
        <r>
          <rPr>
            <b/>
            <sz val="9"/>
            <color indexed="81"/>
            <rFont val="Tahoma"/>
            <family val="2"/>
          </rPr>
          <t xml:space="preserve">Calidad: </t>
        </r>
        <r>
          <rPr>
            <sz val="9"/>
            <color indexed="81"/>
            <rFont val="Tahoma"/>
            <family val="2"/>
          </rPr>
          <t xml:space="preserve">Se brinda una breve descripción de que posible evento puede ocurrir si sale a producción con estas falencias detectadas.
</t>
        </r>
      </text>
    </comment>
    <comment ref="E67" authorId="0" shapeId="0" xr:uid="{18DC5D30-2A56-489D-9312-F63C694921DE}">
      <text>
        <r>
          <rPr>
            <b/>
            <sz val="9"/>
            <color indexed="81"/>
            <rFont val="Tahoma"/>
            <family val="2"/>
          </rPr>
          <t xml:space="preserve">Calidad: </t>
        </r>
        <r>
          <rPr>
            <sz val="9"/>
            <color indexed="81"/>
            <rFont val="Tahoma"/>
            <family val="2"/>
          </rPr>
          <t xml:space="preserve"> Nombre de la persona encargada del producto.
</t>
        </r>
      </text>
    </comment>
    <comment ref="E69" authorId="0" shapeId="0" xr:uid="{6D9C286B-7F75-47D8-812F-A64342FA16C4}">
      <text>
        <r>
          <rPr>
            <b/>
            <sz val="9"/>
            <color indexed="81"/>
            <rFont val="Tahoma"/>
            <family val="2"/>
          </rPr>
          <t xml:space="preserve">Calidad: </t>
        </r>
        <r>
          <rPr>
            <sz val="9"/>
            <color indexed="81"/>
            <rFont val="Tahoma"/>
            <family val="2"/>
          </rPr>
          <t xml:space="preserve">Nombre del analista de calidad que realizó las pruebas
</t>
        </r>
      </text>
    </comment>
    <comment ref="E72" authorId="0" shapeId="0" xr:uid="{C75BBC27-7A0D-4D16-8E34-7C45AE11119F}">
      <text>
        <r>
          <rPr>
            <b/>
            <sz val="9"/>
            <color indexed="81"/>
            <rFont val="Tahoma"/>
            <family val="2"/>
          </rPr>
          <t xml:space="preserve">Calidad: </t>
        </r>
        <r>
          <rPr>
            <sz val="9"/>
            <color indexed="81"/>
            <rFont val="Tahoma"/>
            <family val="2"/>
          </rPr>
          <t xml:space="preserve">Ingresar el listado de las áreas de trabajo involucradas en el desarrollo.
</t>
        </r>
      </text>
    </comment>
    <comment ref="I72" authorId="0" shapeId="0" xr:uid="{8A179606-8644-4F49-B278-8AF2D6396934}">
      <text>
        <r>
          <rPr>
            <b/>
            <sz val="9"/>
            <color indexed="81"/>
            <rFont val="Tahoma"/>
            <family val="2"/>
          </rPr>
          <t xml:space="preserve">Calidad: </t>
        </r>
        <r>
          <rPr>
            <sz val="9"/>
            <color indexed="81"/>
            <rFont val="Tahoma"/>
            <family val="2"/>
          </rPr>
          <t xml:space="preserve">El nombre de la persona involucrada en el desarrollo.
</t>
        </r>
      </text>
    </comment>
    <comment ref="C86" authorId="0" shapeId="0" xr:uid="{4BC54B29-4F31-40B9-A57B-A025A6AF7534}">
      <text>
        <r>
          <rPr>
            <b/>
            <sz val="9"/>
            <color indexed="81"/>
            <rFont val="Tahoma"/>
            <family val="2"/>
          </rPr>
          <t>Calidad:</t>
        </r>
        <r>
          <rPr>
            <sz val="9"/>
            <color indexed="81"/>
            <rFont val="Tahoma"/>
            <family val="2"/>
          </rPr>
          <t xml:space="preserve">
Nombre de la persona que aprueba el proyecto y sus validaciones</t>
        </r>
      </text>
    </comment>
    <comment ref="J86" authorId="0" shapeId="0" xr:uid="{C2C34629-C2B8-44A4-B409-31E90FA18B6B}">
      <text>
        <r>
          <rPr>
            <b/>
            <sz val="9"/>
            <color indexed="81"/>
            <rFont val="Tahoma"/>
            <charset val="1"/>
          </rPr>
          <t xml:space="preserve">Calidad: </t>
        </r>
        <r>
          <rPr>
            <sz val="9"/>
            <color indexed="81"/>
            <rFont val="Tahoma"/>
            <family val="2"/>
          </rPr>
          <t>Nombre del analista de calidad que realizó las pruebas</t>
        </r>
        <r>
          <rPr>
            <sz val="9"/>
            <color indexed="81"/>
            <rFont val="Tahoma"/>
            <charset val="1"/>
          </rPr>
          <t xml:space="preserve">
</t>
        </r>
      </text>
    </comment>
  </commentList>
</comments>
</file>

<file path=xl/sharedStrings.xml><?xml version="1.0" encoding="utf-8"?>
<sst xmlns="http://schemas.openxmlformats.org/spreadsheetml/2006/main" count="891" uniqueCount="514">
  <si>
    <t xml:space="preserve">Validación y Certificación </t>
  </si>
  <si>
    <t>Versión 1.0
Fecha de Elaboración: 06/06/2019
Código: C0C0 - 001</t>
  </si>
  <si>
    <t>Formato de Calidad de Pruebas</t>
  </si>
  <si>
    <t>Nombre del Proyecto</t>
  </si>
  <si>
    <t>Nombre del Cliente</t>
  </si>
  <si>
    <t>Números de Sprint Estimados para el plan de pruebas</t>
  </si>
  <si>
    <t>Sprint Actual</t>
  </si>
  <si>
    <t>Fecha estimada inicio Sprint</t>
  </si>
  <si>
    <t>Fecha real inicio Sprint</t>
  </si>
  <si>
    <t>Fecha estimada de terminación</t>
  </si>
  <si>
    <t>Fecha real de terminación</t>
  </si>
  <si>
    <t>(DD/MM/AAAA)</t>
  </si>
  <si>
    <t>Nombre del analista de Calidad</t>
  </si>
  <si>
    <t>Nombre de la funcionalidad a probar</t>
  </si>
  <si>
    <t>Alcance</t>
  </si>
  <si>
    <t>Criterio de Aceptación No. 1</t>
  </si>
  <si>
    <t>Descripción de la funcionalidad</t>
  </si>
  <si>
    <t>Criterio de Aceptación No. 3</t>
  </si>
  <si>
    <t>Criterio de Aceptación No. 4</t>
  </si>
  <si>
    <t>Criterio de Aceptación No. 5</t>
  </si>
  <si>
    <t>Criterio de Aceptación No. 6</t>
  </si>
  <si>
    <t>Criterio de Aceptación No. 7</t>
  </si>
  <si>
    <t>Criterio de Aceptación No. 8</t>
  </si>
  <si>
    <t>Criterio de Aceptación No. 9</t>
  </si>
  <si>
    <t>Criterio de Aceptación No. 10</t>
  </si>
  <si>
    <t>Prerrequisitos</t>
  </si>
  <si>
    <t>Prerrequisitos No. 1</t>
  </si>
  <si>
    <t>Prerrequisitos No. 2</t>
  </si>
  <si>
    <t>Prerrequisitos No. 3</t>
  </si>
  <si>
    <t>Prerrequisitos No. 4</t>
  </si>
  <si>
    <t>Prerrequisitos No. 5</t>
  </si>
  <si>
    <t>Prerrequisitos No. 6</t>
  </si>
  <si>
    <t>Prerrequisitos No. 7</t>
  </si>
  <si>
    <t>Prerrequisitos No. 8</t>
  </si>
  <si>
    <t>Prerrequisitos No. 9</t>
  </si>
  <si>
    <t>Prerrequisitos No. 10</t>
  </si>
  <si>
    <t>Estrategias de Prueba</t>
  </si>
  <si>
    <t>Estrategia No. 1</t>
  </si>
  <si>
    <t>Estrategia No. 2</t>
  </si>
  <si>
    <t>Estrategias No. 3</t>
  </si>
  <si>
    <t>Estrategia No. 4</t>
  </si>
  <si>
    <t>Estrategia No. 5</t>
  </si>
  <si>
    <t>Estrategia No. 6</t>
  </si>
  <si>
    <t>Estrategia No. 7</t>
  </si>
  <si>
    <t>Estrategia No. 8</t>
  </si>
  <si>
    <t>Estrategia No. 9</t>
  </si>
  <si>
    <t>Estrategia No. 10</t>
  </si>
  <si>
    <r>
      <t xml:space="preserve">Funcionalidades a probar </t>
    </r>
    <r>
      <rPr>
        <b/>
        <i/>
        <sz val="11"/>
        <color theme="5" tint="-0.249977111117893"/>
        <rFont val="Calibri"/>
        <family val="2"/>
        <scheme val="minor"/>
      </rPr>
      <t>(Aplica solo para diversas funcionalidades)</t>
    </r>
  </si>
  <si>
    <t>Funcionalidad No. 1</t>
  </si>
  <si>
    <t>Funcionalidad No. 2</t>
  </si>
  <si>
    <t>Funcionalidad No. 3</t>
  </si>
  <si>
    <t>Funcionalidad No. 4</t>
  </si>
  <si>
    <t>Funcionalidad No. 5</t>
  </si>
  <si>
    <t>Funcionalidad No. 6</t>
  </si>
  <si>
    <t>Funcionalidad No. 7</t>
  </si>
  <si>
    <t>Funcionalidad No. 8</t>
  </si>
  <si>
    <t>Funcionalidad No. 9</t>
  </si>
  <si>
    <t>Funcionalidad No. 10</t>
  </si>
  <si>
    <t>Funcionalidades fuera del Alcance</t>
  </si>
  <si>
    <t>Número de Reelese al que pertenece</t>
  </si>
  <si>
    <t>Planeación</t>
  </si>
  <si>
    <t>Funcionalidades que quedaron pendientes en el Sprint</t>
  </si>
  <si>
    <t>Diseño</t>
  </si>
  <si>
    <t>Resultado Esperado</t>
  </si>
  <si>
    <t>Observaciones</t>
  </si>
  <si>
    <r>
      <t>Ciclo de Regresión</t>
    </r>
    <r>
      <rPr>
        <sz val="8"/>
        <color rgb="FFFF0000"/>
        <rFont val="Calibri"/>
        <family val="2"/>
        <scheme val="minor"/>
      </rPr>
      <t xml:space="preserve"> ( Este ciclo se ejecuta una vez que se tengan corregidos todos los errores.)</t>
    </r>
  </si>
  <si>
    <t>Ciclo 1</t>
  </si>
  <si>
    <t>Ciclo 2</t>
  </si>
  <si>
    <t>Ciclo 3</t>
  </si>
  <si>
    <t>Ciclo 4</t>
  </si>
  <si>
    <t>Ciclo 5</t>
  </si>
  <si>
    <t>Ciclo 6</t>
  </si>
  <si>
    <t>Ciclo 7</t>
  </si>
  <si>
    <t>Ciclo 8</t>
  </si>
  <si>
    <t>Ciclo 9</t>
  </si>
  <si>
    <t>Ciclo 10</t>
  </si>
  <si>
    <t>Nombre Analista de Desarrollo/Proveedor</t>
  </si>
  <si>
    <t xml:space="preserve">Sprint No. </t>
  </si>
  <si>
    <t>Escenario</t>
  </si>
  <si>
    <t>Nro. CP</t>
  </si>
  <si>
    <t>Impacto CP</t>
  </si>
  <si>
    <t>Descripción</t>
  </si>
  <si>
    <t>Precondiciones</t>
  </si>
  <si>
    <t>Pasos para ejecutar el caso</t>
  </si>
  <si>
    <t>Estado</t>
  </si>
  <si>
    <t>Historia de Usuario/Requisito</t>
  </si>
  <si>
    <t>Tipos de pruebas</t>
  </si>
  <si>
    <t>Impacto</t>
  </si>
  <si>
    <t>Impacto Bug</t>
  </si>
  <si>
    <t>Tipo de Bug</t>
  </si>
  <si>
    <t>Aplica Bug</t>
  </si>
  <si>
    <t>Estado Bug</t>
  </si>
  <si>
    <t>Naturaleza Bug</t>
  </si>
  <si>
    <t>Resolucion Bug</t>
  </si>
  <si>
    <t>---</t>
  </si>
  <si>
    <t>Alto</t>
  </si>
  <si>
    <t>Stopper</t>
  </si>
  <si>
    <t>Error</t>
  </si>
  <si>
    <t>Si</t>
  </si>
  <si>
    <t>Abierto</t>
  </si>
  <si>
    <t>Ambiente</t>
  </si>
  <si>
    <t>No Aplica</t>
  </si>
  <si>
    <t>Funcionales</t>
  </si>
  <si>
    <t>Medio</t>
  </si>
  <si>
    <t>Fallido</t>
  </si>
  <si>
    <t>Alta</t>
  </si>
  <si>
    <t>Consideración</t>
  </si>
  <si>
    <t>No</t>
  </si>
  <si>
    <t>Asignado</t>
  </si>
  <si>
    <t>Datos</t>
  </si>
  <si>
    <t>Duplicado</t>
  </si>
  <si>
    <t>Automátizadas</t>
  </si>
  <si>
    <t>B</t>
  </si>
  <si>
    <t>Bajo</t>
  </si>
  <si>
    <t>Media</t>
  </si>
  <si>
    <t>Sugerencia</t>
  </si>
  <si>
    <t>Solucionado</t>
  </si>
  <si>
    <t>Funcionalidad</t>
  </si>
  <si>
    <t>No se pudo reproducir</t>
  </si>
  <si>
    <t>Rendimiento</t>
  </si>
  <si>
    <t>C</t>
  </si>
  <si>
    <t>Pendiente</t>
  </si>
  <si>
    <t>Baja</t>
  </si>
  <si>
    <t>Cambio/Mejora</t>
  </si>
  <si>
    <t>Reabierto</t>
  </si>
  <si>
    <t>Documentación</t>
  </si>
  <si>
    <t>Verificado</t>
  </si>
  <si>
    <t>Carga</t>
  </si>
  <si>
    <t>D</t>
  </si>
  <si>
    <t>No se pudo ejecutar</t>
  </si>
  <si>
    <t>Hallazgo</t>
  </si>
  <si>
    <t>Cerrado</t>
  </si>
  <si>
    <t>Presentación</t>
  </si>
  <si>
    <t>Proxima Versión</t>
  </si>
  <si>
    <t>Estrés</t>
  </si>
  <si>
    <t>E</t>
  </si>
  <si>
    <t>Seguridad</t>
  </si>
  <si>
    <t>F</t>
  </si>
  <si>
    <t>G</t>
  </si>
  <si>
    <t>H</t>
  </si>
  <si>
    <t>I</t>
  </si>
  <si>
    <t>J</t>
  </si>
  <si>
    <t>K</t>
  </si>
  <si>
    <t>L</t>
  </si>
  <si>
    <t>M</t>
  </si>
  <si>
    <t>N</t>
  </si>
  <si>
    <t>Ñ</t>
  </si>
  <si>
    <t>O</t>
  </si>
  <si>
    <t>P</t>
  </si>
  <si>
    <t>Q</t>
  </si>
  <si>
    <t>R</t>
  </si>
  <si>
    <t>S</t>
  </si>
  <si>
    <t>T</t>
  </si>
  <si>
    <t>U</t>
  </si>
  <si>
    <t>V</t>
  </si>
  <si>
    <t>W</t>
  </si>
  <si>
    <t>X</t>
  </si>
  <si>
    <t>Y</t>
  </si>
  <si>
    <t>Z</t>
  </si>
  <si>
    <t>Sumatoria y estado de cada Ciclo</t>
  </si>
  <si>
    <t>Estado de la Prueba</t>
  </si>
  <si>
    <t>Cp. De Impacto Alto</t>
  </si>
  <si>
    <t>Cp. De Impacto Medio</t>
  </si>
  <si>
    <t>Cp. De Impacto Bajo</t>
  </si>
  <si>
    <t>Total de números de casos de pruebas</t>
  </si>
  <si>
    <t>Exitoso</t>
  </si>
  <si>
    <t>No se pudo Ejecutar</t>
  </si>
  <si>
    <t>Total</t>
  </si>
  <si>
    <t>Total de Casos de Pruebas</t>
  </si>
  <si>
    <t>Éxitoso</t>
  </si>
  <si>
    <t>Gestion de Bug</t>
  </si>
  <si>
    <t>Tiempo en solucionar el Bug</t>
  </si>
  <si>
    <t>Id Bug</t>
  </si>
  <si>
    <t>Analista de Desarrollo</t>
  </si>
  <si>
    <t>No. CP Asociado</t>
  </si>
  <si>
    <t>¿Aplica?</t>
  </si>
  <si>
    <t>Naturaleza</t>
  </si>
  <si>
    <t>¿Reabierto?</t>
  </si>
  <si>
    <t>Resolución</t>
  </si>
  <si>
    <t>Días</t>
  </si>
  <si>
    <t>Bug por Estados</t>
  </si>
  <si>
    <t>Sumatoria Total</t>
  </si>
  <si>
    <t>Bug por Impacto</t>
  </si>
  <si>
    <t>Bug Por Resolución</t>
  </si>
  <si>
    <t>Bug Por Tipo</t>
  </si>
  <si>
    <t xml:space="preserve">Tipo </t>
  </si>
  <si>
    <t>Bug por Naturaleza</t>
  </si>
  <si>
    <t>Tiempos en Solución</t>
  </si>
  <si>
    <t>Cantidad de Bug</t>
  </si>
  <si>
    <r>
      <t>Fecha de Reporte</t>
    </r>
    <r>
      <rPr>
        <sz val="11"/>
        <color theme="4" tint="-0.249977111117893"/>
        <rFont val="Calibri"/>
        <family val="2"/>
        <scheme val="minor"/>
      </rPr>
      <t xml:space="preserve">
(DD/MM/AAAA)</t>
    </r>
  </si>
  <si>
    <r>
      <t xml:space="preserve">Fecha Solución
</t>
    </r>
    <r>
      <rPr>
        <sz val="11"/>
        <color theme="4" tint="-0.249977111117893"/>
        <rFont val="Calibri"/>
        <family val="2"/>
        <scheme val="minor"/>
      </rPr>
      <t>(DD/MM/AAAA)</t>
    </r>
  </si>
  <si>
    <r>
      <t xml:space="preserve">Horas
</t>
    </r>
    <r>
      <rPr>
        <sz val="11"/>
        <color theme="4" tint="-0.249977111117893"/>
        <rFont val="Calibri"/>
        <family val="2"/>
        <scheme val="minor"/>
      </rPr>
      <t>(Llenado Manual)</t>
    </r>
  </si>
  <si>
    <t>Horas invertidas en la solución</t>
  </si>
  <si>
    <t>Estado del Bug</t>
  </si>
  <si>
    <t>Sprint Número</t>
  </si>
  <si>
    <t>Consecutivo</t>
  </si>
  <si>
    <t xml:space="preserve">Fecha Identificación </t>
  </si>
  <si>
    <t>Información Adicional</t>
  </si>
  <si>
    <t>Plan de Mitigación</t>
  </si>
  <si>
    <t xml:space="preserve">Nombre del responsable </t>
  </si>
  <si>
    <t>Probabilidad (25% - 100%)</t>
  </si>
  <si>
    <t xml:space="preserve">Área  Responsable </t>
  </si>
  <si>
    <t>Fecha del plan Mitigación</t>
  </si>
  <si>
    <t>Estado del Riesgo/Incidente</t>
  </si>
  <si>
    <t>Fecha Cierre Riesgo/Incidente</t>
  </si>
  <si>
    <t>Descripción del Riesgo/Incidente</t>
  </si>
  <si>
    <t>Consecuencia</t>
  </si>
  <si>
    <t>A - Insignificante</t>
  </si>
  <si>
    <t>B - Menor</t>
  </si>
  <si>
    <t>C - Moderado</t>
  </si>
  <si>
    <t>D - Peligroso</t>
  </si>
  <si>
    <t>E - Catastrófico</t>
  </si>
  <si>
    <t>1 - Improbable</t>
  </si>
  <si>
    <t>2 - Posible</t>
  </si>
  <si>
    <t>3 - Ocasional</t>
  </si>
  <si>
    <t>4 - Probable</t>
  </si>
  <si>
    <t>5 - Frecuente</t>
  </si>
  <si>
    <t>Impacto - Probabilidad</t>
  </si>
  <si>
    <t>Impacto  - Probabilidad (1-5)</t>
  </si>
  <si>
    <t xml:space="preserve">Valor de Riesgo/Incidente </t>
  </si>
  <si>
    <t>Validación y Certificación</t>
  </si>
  <si>
    <t>Matriz de Riesgos</t>
  </si>
  <si>
    <t>Estado Riesgo/Incidente</t>
  </si>
  <si>
    <t xml:space="preserve">Riesgo/Incidente </t>
  </si>
  <si>
    <t>Tipo de prueba No.1</t>
  </si>
  <si>
    <t>Tipo de prueba No. 2</t>
  </si>
  <si>
    <t>Tipo de prueba No. 3</t>
  </si>
  <si>
    <t>Tipo de prueba No. 4</t>
  </si>
  <si>
    <t>Tipo de prueba No. 5</t>
  </si>
  <si>
    <t>Tipo de prueba No. 6</t>
  </si>
  <si>
    <t>Supuestos del proyecto</t>
  </si>
  <si>
    <t>Supuesto No. 1</t>
  </si>
  <si>
    <t>Supuesto No. 2</t>
  </si>
  <si>
    <t>Supuesto No. 3</t>
  </si>
  <si>
    <t>Supuesto No. 4</t>
  </si>
  <si>
    <t>Supuesto No. 5</t>
  </si>
  <si>
    <t>Supuesto No. 6</t>
  </si>
  <si>
    <t>Supuesto No. 7</t>
  </si>
  <si>
    <t>Supuesto No. 8</t>
  </si>
  <si>
    <t>Supuesto No. 9</t>
  </si>
  <si>
    <t>Supuesto No. 10</t>
  </si>
  <si>
    <t>Opción de Verificación</t>
  </si>
  <si>
    <t>Cumple</t>
  </si>
  <si>
    <t>De acuerdo a lo pedido</t>
  </si>
  <si>
    <t>¿Se incluyeron los criterios de aceptación en las historias de usuario?.</t>
  </si>
  <si>
    <t>¿Cada historia de usuario tiene una priorización, de acuerdo al valor generado para el negocio?.</t>
  </si>
  <si>
    <t>¿Las historias de usuario tiene una estimación y referencian el Sprint en el que seran abordadas?.</t>
  </si>
  <si>
    <t>¿Existe una independencia entre todas las historias de usuario?.</t>
  </si>
  <si>
    <t>¿Las historias de usuario son concisas?.</t>
  </si>
  <si>
    <t>¿Las historias de usuario son testeables?.</t>
  </si>
  <si>
    <t>¿Las historias de usuario son comprensibles?.</t>
  </si>
  <si>
    <t>¿Las historias de usuario han sido aprobadas por el Product Owner?.</t>
  </si>
  <si>
    <t>¿Están definidas todas las historias de usuario, para requeridas en el Sprint?</t>
  </si>
  <si>
    <t>¿Las historias de usuario han sido escritas en lenguaje entendible y su respectivo alcance?</t>
  </si>
  <si>
    <t>¿El Product Owner, conoce el contenido de cada historia de usuario, la plantilla y su contenido del plan de pruebas y puede explicar cada una de ellas?</t>
  </si>
  <si>
    <t>SI</t>
  </si>
  <si>
    <t>NO</t>
  </si>
  <si>
    <t>N.A</t>
  </si>
  <si>
    <t xml:space="preserve">1 - No afecta cronogramas - No Incrementa costos  </t>
  </si>
  <si>
    <t>2 - No afecta cronogramas - Incrementa costos en menos de un 20%</t>
  </si>
  <si>
    <t xml:space="preserve">3 - Afecta cronogramas - incrementa costos en al  menos un  50%  </t>
  </si>
  <si>
    <t xml:space="preserve">4 - Afecta cronogramas - incrementa costos en al  menos un  70%  </t>
  </si>
  <si>
    <t>5 - Afecta cronogramas -Incrementa costos en mas de un 70%</t>
  </si>
  <si>
    <t>Riesgo</t>
  </si>
  <si>
    <t>&lt; 2 - Bajo</t>
  </si>
  <si>
    <t>2 &lt;= x &lt; 3 - Médio</t>
  </si>
  <si>
    <t>&gt;= 3 - Alto</t>
  </si>
  <si>
    <t>Probabiblidad</t>
  </si>
  <si>
    <t>25% - Poca posibilidad de ocurrir</t>
  </si>
  <si>
    <t>50% - Puede ocurrir</t>
  </si>
  <si>
    <t>75% - Grande posibilidad de ocurrir</t>
  </si>
  <si>
    <t>100% - Ocurrido (issue)</t>
  </si>
  <si>
    <t>¿Se han documentado los requerimientos de los empleados para cada fase de pruebas?</t>
  </si>
  <si>
    <t>¿Se han documentado los criterios de fracaso para cada fase de pruebas?</t>
  </si>
  <si>
    <t>¿Se han documentado los criterios de salida para cada fase de pruebas?</t>
  </si>
  <si>
    <t>¿Es completa la planificación de las pruebas?</t>
  </si>
  <si>
    <t>¿Se han documentado adecuadamente los requerimientos a reportar en la fase de pruebas?</t>
  </si>
  <si>
    <t>¿Cada descripción de pruebas soporta un subconjunto de mayor funcionalidad, tal y como se define por los requerimientos?</t>
  </si>
  <si>
    <t>¿Cada descripción de pruebas describe la prueba que se debe realizar?</t>
  </si>
  <si>
    <t>¿Existen uno o más procedimientos de prueba para cada descripción de pruebas?</t>
  </si>
  <si>
    <t>¿Cada descripción de pruebas hace referencia a la información de pruebas asociada, incluyendo cualquier montaje o dato compartido entre los procedimientos de pruebas?</t>
  </si>
  <si>
    <t>¿Para cada procedimiento de pruebas, se especifican las bases de datos a las que podrá acceder la aplicación?</t>
  </si>
  <si>
    <t>¿Se especifican los resultados esperados de cada procedimiento de pruebas?</t>
  </si>
  <si>
    <t>¿Los escenarios de pruebas, las descripciones y los procedimientos documentados, proporcionan una cobertura total de las pruebas?</t>
  </si>
  <si>
    <t>¿Cada escenario de pruebas se encuentra referenciado por un número único?</t>
  </si>
  <si>
    <t>¿Cada descripción de pruebas comparte un prefijo identificador con su escenario de pruebas asociado?</t>
  </si>
  <si>
    <t>¿Existe una matriz que especifique la trazabilidad riesgos e incidentes?</t>
  </si>
  <si>
    <t>¿La descripción de cada escenario de prueba especifica la funcionalidad a probar?</t>
  </si>
  <si>
    <t>Resumen Sprint</t>
  </si>
  <si>
    <t>Carta de Certificación</t>
  </si>
  <si>
    <t>Carta de Certificación condicionada</t>
  </si>
  <si>
    <t>1. Seleccione con una "X" el tipo de carta a Emitir</t>
  </si>
  <si>
    <t>2. Certificación</t>
  </si>
  <si>
    <t>3. Alcance de la Certificación</t>
  </si>
  <si>
    <t>4. Fuera del Alcance de la Certificación</t>
  </si>
  <si>
    <t>5. Justificación de la modificación de la vigencia de la carta</t>
  </si>
  <si>
    <t>6. Consideraciones importantes para el paso a producción</t>
  </si>
  <si>
    <t>7. Razones del condicionamiento</t>
  </si>
  <si>
    <t>8. Impacto Acondicionamiento</t>
  </si>
  <si>
    <t>9. Aceptación del Usuario</t>
  </si>
  <si>
    <t>Aprobador del Proceso</t>
  </si>
  <si>
    <t>Nombre de la Persona Encargada</t>
  </si>
  <si>
    <t>Fecha</t>
  </si>
  <si>
    <t>Dueño del Producto</t>
  </si>
  <si>
    <t>Analista de Calidad</t>
  </si>
  <si>
    <t>10. Equipo de Trabajo</t>
  </si>
  <si>
    <t>Área de Trabajo</t>
  </si>
  <si>
    <t>Email</t>
  </si>
  <si>
    <t>Nombre de la Persona que Aprueba</t>
  </si>
  <si>
    <t>Fecha de Aprobación</t>
  </si>
  <si>
    <t>Nombre del Analista de Calidad</t>
  </si>
  <si>
    <t>ResumenSprint</t>
  </si>
  <si>
    <t>No. De CP de Impacto Alto</t>
  </si>
  <si>
    <t xml:space="preserve">No. De CP de Impacto Medio </t>
  </si>
  <si>
    <t xml:space="preserve">No. De CP de Impacto Bajo </t>
  </si>
  <si>
    <t>Total de Impacto CP</t>
  </si>
  <si>
    <t>Total Casos de Pruebas</t>
  </si>
  <si>
    <t>Pruebas de Regresión</t>
  </si>
  <si>
    <t>Ciclo de Regresión</t>
  </si>
  <si>
    <t>Tipo de Prueba Utilizad@s</t>
  </si>
  <si>
    <t>Tipo</t>
  </si>
  <si>
    <t>Edison Alberto Correa Berrio</t>
  </si>
  <si>
    <t>Totales</t>
  </si>
  <si>
    <t>Total Bug por Resolución</t>
  </si>
  <si>
    <t xml:space="preserve">Descripción </t>
  </si>
  <si>
    <t>Descripción por Tipo de Bug</t>
  </si>
  <si>
    <t>Bug Por Impacto</t>
  </si>
  <si>
    <t>Bug Por de Naturaleza</t>
  </si>
  <si>
    <t>Presentacion</t>
  </si>
  <si>
    <t>Sprint No.</t>
  </si>
  <si>
    <t>Descrcipción</t>
  </si>
  <si>
    <t>Tiempos de Solución</t>
  </si>
  <si>
    <t>Código del Proyecto</t>
  </si>
  <si>
    <t>Listado de Chequeo</t>
  </si>
  <si>
    <t>Sin información</t>
  </si>
  <si>
    <t>Se deben de contar con los permisos de acceso al aplicativo.</t>
  </si>
  <si>
    <t>El analista de desarrollo ya realizó las pruebas unitarias de la aplicación.</t>
  </si>
  <si>
    <t>Se debe de tener el contexto documentado del alcance de las pruebas</t>
  </si>
  <si>
    <t>Debe de existir un plan de pruebas donde se evidencie los bugs, los casos de pruebas de exitos, las sugerencias etc.</t>
  </si>
  <si>
    <t>PPPPPPPPPPPPPPPPPPPPPPPPPPPPPPPPPPPPPPPPPPPPPPPPPPPPPPPPPPPPPPPPPPPPPPPPPPPPPPPPPPPPPPPPPPPPPPPPPPPP</t>
  </si>
  <si>
    <t>100 CARACTERES</t>
  </si>
  <si>
    <t>PPPPPPPPPPPPPPPPPPPPPPPPPPPPPPPPPPPPPPPPPPPPPPPPPPPPPPPPPPPPPPPPPPPPPPPPPPPPPPPPPPPPPPPPPPPPPPPPPPPPPPPPPPPPPPPPPPPPPPPPPPPPPPPPPPPPPPPPPPPPPPPPPPPPPPPPPPPPPPPPPPPPPPPPPPPPPPPPPPPPPPPPPPPPPPPPPPPPPPPP</t>
  </si>
  <si>
    <t>pppppppppp</t>
  </si>
  <si>
    <t>PPPPPPPPPPPPPPPPPPPPPPPPPPPPPPPPPPPPPPPPPPPPPPPPPPPPPPPPPPPPPPPPPPPPPPPPPPPPPPPPPPPPPPPPPPPPPPPPPPPPPPPPPPPPPPPPPPPPPPPPPPPPPPPPPPPPPP</t>
  </si>
  <si>
    <t>SELECCIONAR UN BOTÓN DE DESARROLLO</t>
  </si>
  <si>
    <t>Prueba Técnica de Automatización Doctus - Portal Protección</t>
  </si>
  <si>
    <t>001-Doctus</t>
  </si>
  <si>
    <t>Doctus</t>
  </si>
  <si>
    <t>Espacio Educativo - Portal de enseñanza Protección</t>
  </si>
  <si>
    <t>Debe de existir un ambiente de pruebas para la visualización de las pruebas funcionales, este ambiente debe de tener el mismo comportamiento que el ambiente de producción.</t>
  </si>
  <si>
    <t>El alcance que se probará dentro de este Sprint debe de estar desarrollado en su totalidad</t>
  </si>
  <si>
    <t xml:space="preserve">La empresa Doctus requiere automatizar el portal de espacio educativo de la empresa Protección. La cual permite verificar que los datos ingresados correspondan a los mensajes de validación del portal.  
Para este fin, se entrega una plataforma en perfecto funcionamiento bajo el la URL : https://euno.lms.doctustest.com/
En ella se encontrará tres escenarios principales de recorrido: Inicio de Sesión, Registro de Usuario y olvido de contraseña.
El objetivo de realizar las pruebas de automatización es que, a partir de un script, este se ejecute y pueda ingresar los datos solicitados en cada escenario, y al final reporte si la ejecución de la prueba es acorde al resultado esperado.
Adicionalmente se solicita la validación de dicho portal con las pruebas funcionales que haya a lugar, para los escenarios o posibles rutas de hallazgos no dadas como prioridad de ejecución.
</t>
  </si>
  <si>
    <t xml:space="preserve">Criterio de Aceptación - Iniciar sesión
Dado (Como) usuario
Cuando (Quiero) ingresar a la URL de protección
Entonces (Para) poder hacer uso de las funcionalidades de estudio que ofrece el portal
Criterio de aceptación No. 1:  Visualización del formulario Iniciar sesión
• Se debe de visualizar un formulario de iniciar sesión, con las siguientes características: Titulo Iniciar sesión en color amarillo, centrado en pantalla con alinear a la izquierda, dos campos barras uno llamado ingresa tu correo y el otro llamado Contraseña. Adicionalmente debe de contener un botón llamado iniciar sesión, un link si no se encuentra registrado y un link de olvido de contraseña, se adjunta una imagen guía.
Criterio de aceptación No. 2: Ingreso exitoso
• ingresar un correo electrónico y contraseña correctos, el sistema debe permitir el acceso a la plataforma de estudio
Criterios de Aceptación No. 3: Ingreso fallido No.1
• Ingresar un correo electrónico y contraseña ambos campos incorrectos, el sistema NO debe de permitir el ingreso y presentará una alerta con el siguiente mensaje: “Usuario o contraseña inválidos”.
Criterios de Aceptación No. 4: Ingreso fallido No.2
• Ingresar solo en el campo correo electrónico los datos solicitados y presionar el botón de iniciar sesión, el sistema NO debe de permitir el ingreso y presentará una alerta con el siguiente mensaje: “El usuario y la contraseña son obligatorios”.
Criterios de Aceptación No. 5: Ingreso fallido No.3
• Ingresar en el campo correo electrónico un correo electrónico sin el carácter de arroba (@) y su respectiva clave. presionar el botón de iniciar sesión, el sistema NO debe de permitir el ingreso y presentará una alerta con el siguiente mensaje: “El usuario y la contraseña inválidos”.
Criterio de aceptación No. 6: Correo de contacto.
• Estando ubicados en iniciar sesión, si se presenta algún tipo de falla o dudas sobre el manejo de la aplicación debe de existir un correo electrónico de contacto. El suministrado para la aplicación es cursovirtual@proteccion.com.co
</t>
  </si>
  <si>
    <t xml:space="preserve">Criterio de Aceptación - Registro de Usuario
Dado (Como) usuario
Cuando (Quiero) ingresar al link de registro de usuario
Entonces (Para) poder llenar toda la información solicitada y así acceder a los cursos de la empresa 
Criterio de aceptación No. 1:  Link de acceso al registro de personas
• Se debe de visualizar un link de acceso al formulario de registro de personas que debe de estar ubicado en la pagina principal de iniciar sesión, con la siguiente leyenda. ¿Aún no estás registrado? Regístrate.  
Criterio de aceptación No. 2: Visualización de campos
• Se debe de visualizar un formulario de registro de personas, con el siguiente título – Registro.  Y este debe de contener los siguientes campos: Nombre, Apellido, Ingresa tu cédula sin espacios, puntos o comas, ingresa tu correo corporativo, confirma tu correo, contraseña, confirmar contraseña, todos de carácter obligatorio
Criterio de aceptación No. 3: Llenado de la información.
• El aplicativo debe de permitir en el formulario de registro de personas, llenar los siguientes campos: Nombre, Apellido, Ingresa tu cédula sin espacios, puntos o comas, ingresa tu correo corporativo, confirma tu correo, contraseña, confirmar contraseña, todos de carácter obligatorio aceptar los términos y condiciones y un botón de enviar. Al terminar toda esta información debe de existir un mensaje de registro exitoso.
Criterio de aceptación No. 4: No llenar el campo Nombre.
• El aplicativo NO debe de permitir el registro de una de persona, si no se completa correctamente todos los campos. Para ello no se llenará el campo Nombre, los demás campos se llenarán de forma correcta. el aplicativo debe de informar un mensaje con la siguiente leyenda - El campo 'Nombre' es obligatorio.
Criterio de aceptación No. 5: No llenar el campo Apellido.
• El aplicativo NO debe de permitir el registro de una de persona, si no se completa correctamente todos los campos. Para ello no se llenará el campo Apellido, los demás campos se llenarán de forma correcta. el aplicativo debe de informar un mensaje con la siguiente leyenda - El campo 'Apellido' es obligatorio.
Criterio de aceptación No. 6: No llenar el campo Cédula.
• El aplicativo NO debe de permitir el registro de una de persona, si no se completa correctamente todos los campos. Para ello no se llenará el campo Cédula, los demás campos se llenarán de forma correcta. el aplicativo debe de informar un mensaje con la siguiente leyenda - El campo ' Cédula ' es obligatorio.
Criterio de aceptación No. 7: No llenar el campo Cédula.
• El aplicativo NO debe de permitir el registro de una de persona, si no se completa correctamente todos los campos. Para ello no se llenará el campo Cédula, los demás campos se llenarán de forma correcta. el aplicativo debe de informar un mensaje con la siguiente leyenda - El campo ' Cédula ' es obligatorio.
</t>
  </si>
  <si>
    <t xml:space="preserve">Criterio de Aceptación - Registro de Usuario
Dado (Como) usuario
Cuando (Quiero) ingresar al link de registro de usuario
Entonces (Para) poder llenar toda la información solicitada y así acceder a los cursos de la empresa
Criterio de aceptación No. 8: No llenar el campo Correo.
• El aplicativo NO debe de permitir el registro de una de persona, si no se completa correctamente todos los campos. Para ello no se llenará el campo Correo, los demás campos se llenarán de forma correcta. el aplicativo debe de informar un mensaje con la siguiente leyenda - El campo ' Email ' es obligatorio.
Criterio de aceptación No. 9: No llenar el campo Validación Correo.
• El aplicativo NO debe de permitir el registro de una de persona, si no se completa correctamente todos los campos. Para ello no se llenará el campo Validación Correo, los demás campos se llenarán de forma correcta. el aplicativo debe de informar un mensaje con la siguiente leyenda - El correo no coincide.
Criterio de aceptación No. 10: No llenar el campo Contraseña.
• El aplicativo NO debe de permitir el registro de una de persona, si no se completa correctamente todos los campos. Para ello no se llenará el campo Contraseña, los demás campos se llenarán de forma correcta. el aplicativo debe de informar un mensaje con la siguiente leyenda - El campo ' Contraseña ' es obligatorio.
Criterio de aceptación No. 11: No llenar el campo Validación Contraseña.
• El aplicativo NO debe de permitir el registro de una de persona, si no se completa correctamente todos los campos. Para ello no se llenará el campo Validación Contraseña, los demás campos se llenarán de forma correcta. el aplicativo debe de informar un mensaje con la siguiente leyenda - El campo ' Verificar Contraseña ' es obligatorio.
Criterio de aceptación No. 12: No seleccionar los términos y condiciones.
• El aplicativo NO debe de permitir el registro de una de persona, si no se completa correctamente todos los campos. Adicionalmente si el usuario no selecciona el acepto de términos y condiciones de uso el aplicativo debe de informar un mensaje con la siguiente leyenda - Para continuar debe aceptar los términos y condiciones.
Criterio de aceptación No. 13: Link de los términos y condiciones.
• El aplicativo debe de permitir el tener un link de términos y condiciones en el llenado de registro de una de persona. Este debe de estar en formato PDF, y debe de contener toda la información necesaria para el uso de la plataforma. Nota: Se entregará la documentación a los analistas para su posterior montaje en la plataforma. 
Criterio de aceptación No. 14: Un correo no valido.
• El aplicativo NO debe de permitir el registro de una de persona, si no se completa correctamente todos los campos. Al ingresar un correo electrónico no valido para la organización, el aplicativo debe de informar con la siguiente leyenda - Lo sentimos, el correo electrónico ingresado no está autorizado para el registro.
</t>
  </si>
  <si>
    <t xml:space="preserve">Criterio de Aceptación - Olvido de contraseña
Dado (Como) usuario
Cuando (Quiero) ingresar al link de recuperar contraseña
Entonces (Para) poder hacer uso de las funcionalidades y que el aplicativo me retorne la nueva contraseña
Criterio de aceptación No. 1: Ingresar a recuperar contraseña.
• El aplicativo debe de contener un link de acceso, a recuperar contraseña y este debe de estar ubicado en la página principal de en iniciar sesión, y al dar click sobre este debe de llevar al usuario a completar la información.
Criterio de aceptación No. 2: Ingresar a recuperar contraseña.
• Estando ubicados en recuperar contraseña, se debe de ingresar un correo electrónico valido, y el aplicativo debe de informar que la operación se realizó con éxito y debe de estar la contraseña en el email entregado previamente.
Criterio de aceptación No. 3: Ingresar a un correo no valido.
• Estando ubicados en recuperar contraseña, se debe de ingresar un correo electrónico NO valido, el aplicativo debe de informar el error de la información suministrada y debe de sacar la siguiente leyenda - Lo sentimos el email ingresado no existe. 
Criterio de aceptación No. 4: Ingresar a un correo no valido.
• Estando ubicados en recuperar contraseña, se debe de ingresar un correo electrónico NO valido, el aplicativo debe de informar el error de la información suministrada y debe de sacar la siguiente leyenda - Lo sentimos el email ingresado no existe. 
Criterio de aceptación No. 5: Formato Valido.
• Estando ubicados en recuperar contraseña, se ingresar un correo electrónico NO valido con una estructura definida de un email, el aplicativo debe de informar el error de la información suministrada y debe de sacar la siguiente leyenda - Lo sentimos el email ingresado no existe. 
Criterio de aceptación No. 6: Formato Valido ingresando un número.
• Estando ubicados en recuperar contraseña, se ingresar un número en el campo email, el aplicativo debe de informar el error de la información suministrada y debe de sacar la siguiente leyenda - Lo sentimos el email ingresado no existe. 
Criterio de aceptación No. 7: Volver al inicio.
• Estando ubicados en recuperar contraseña, debe de existir un link de volver al inicio (Iniciar sesión) 
Criterio de aceptación No. 8: Correo de contacto.
• Estando ubicados en recuperar contraseña, si se presenta algún tipo de falla o dudas sobre el manejo debe de existir un correo electrónico de contacto. El suministrado para la aplicación es lms@euno.com.co
</t>
  </si>
  <si>
    <t>Realizar pruebas exploratorias del portal web.
Validar que los iconos de funcionamiento esten operando correctamente
Validar que los escenarios planteados para su validación esten operaticos</t>
  </si>
  <si>
    <t>Iniciar Sesión.
El cual consiste, en que el usuario debe de ingresar un correo electronico y una contraseña validas para ingresar a la plataforma de estudio Protección</t>
  </si>
  <si>
    <t>Registro de Usuario
Esta opción permitirá al usuario ingresar todos los datos personales para la matricula de estudio del portal web protección.</t>
  </si>
  <si>
    <t>Recuperar Contraseña
Este link permitira recuperar la contraseña al usuario en caso de olvido de la misma</t>
  </si>
  <si>
    <t>Otros link de accesos y otras funcionalidades que no se encuentren en el alcance de este documento.</t>
  </si>
  <si>
    <t>No aplica a esta prueba</t>
  </si>
  <si>
    <t>El portal Web para el ingreso de sesión, el registro de usuarios y recuperar contraseñas debe de estar en perfecto estado de funcionamiento.</t>
  </si>
  <si>
    <t>La base de datos de recuperar contraseña y otras funcionalidades debe de estar en perfecto funcionamiento</t>
  </si>
  <si>
    <t>Todos los link internos de operación debe de estar en perfecto funcionamiento</t>
  </si>
  <si>
    <t>El PDF de terminos y condiciones debe tener el visto bueno del área de juridica y su grupo de abogados</t>
  </si>
  <si>
    <t>Carlos Alvarez (Nombre Ficticio)</t>
  </si>
  <si>
    <t>Carlos Alvarez (Nombre Ficticio para este trabajo)</t>
  </si>
  <si>
    <t>Plataforma de Estudio Protección</t>
  </si>
  <si>
    <t>Iniciar Sesión - Visualización del formulario Iniciar sesión</t>
  </si>
  <si>
    <t>CP_001_DP</t>
  </si>
  <si>
    <t>Validar que se visualice un formulario de iniciar sesión, con las siguientes características: Titulo Iniciar sesión en color amarillo, centrado en pantalla con alinear a la izquierda, dos campos barras uno llamado ingresa tu correo y el otro llamado Contraseña. Adicionalmente debe de contener un botón llamado iniciar sesión, un link si no se encuentra registrado y un link de olvido de contraseña, se adjunta una imagen guía</t>
  </si>
  <si>
    <t>1. Ingresar a la Url : https://euno.lms.doctustest.com/
2. Validar que se visualice un formalario de Iniciar sesión</t>
  </si>
  <si>
    <t>La visualización del formulario de Iniciar sesión Protección</t>
  </si>
  <si>
    <t xml:space="preserve">Tener permisos de ingreso al aplicativo.
Los escenarios de pruebas debe de estar en perfecto funcionamiento.
Debe de existir conexión a Internet para realizar las validaciones correspondientes.
</t>
  </si>
  <si>
    <t>Iniciar Sesión - Ingreso exitoso</t>
  </si>
  <si>
    <t>CP_002_DP</t>
  </si>
  <si>
    <t>Validar que al ingresar un correo electrónico y contraseña correctos, el sistema debe permitir el acceso a la plataforma de estudio</t>
  </si>
  <si>
    <t>1. Ingresar a la Url : https://euno.lms.doctustest.com/
2. Validar que se visualice un formalario de Iniciar sesión
3. Ubicarse en el campo iniciar sesión e ingresar el siguiente correo prueba@proteccion.com.co
4. Ubicarse en el campo ontraseña e ingresar el siguiente clave : 123456
5. Presionar el botón Iniciar sesión
6. Validar que con dichos pasos se ingresa a la plataforma de estudio protección</t>
  </si>
  <si>
    <t>El ingreso a la sesión de cusros virtuales de protección</t>
  </si>
  <si>
    <t>Iniciar Sesión - Ingreso fallido No.1</t>
  </si>
  <si>
    <t>CP_003_DP</t>
  </si>
  <si>
    <t>Validar que al ingresar un correo electrónico y contraseña ambos campos incorrectos, el sistema NO debe de permitir el ingreso y presentará una alerta con el siguiente mensaje: “Usuario o contraseña inválidos”.</t>
  </si>
  <si>
    <t>1. Ingresar a la Url : https://euno.lms.doctustest.com/
2. Validar que se visualice un formalario de Iniciar sesión
3. Ubicarse en el campo iniciar sesión e ingresar el siguiente correo prueba@avion.com.co
4. Ubicarse en el campo ontraseña e ingresar el siguiente clave : depapel
5. Presionar el botón Iniciar sesión
6. Validar que con dichos pasos se ingresa a la plataforma de estudio protección</t>
  </si>
  <si>
    <t>La visualización del mensaje Usuario o contraseña invalidos</t>
  </si>
  <si>
    <t>Iniciar Sesión - Ingreso fallido No.2</t>
  </si>
  <si>
    <t>CP_004_DP</t>
  </si>
  <si>
    <t>1. Ingresar a la Url : https://euno.lms.doctustest.com/
2. Validar que se visualice un formalario de Iniciar sesión
3. Ubicarse en el campo iniciar sesión e ingresar el siguiente correo prueba@avion.com.co
4. Presionar el botón Iniciar sesión
5. Validar que con dichos pasos se ingresa a la plataforma de estudio protección</t>
  </si>
  <si>
    <t>CP_005_DP</t>
  </si>
  <si>
    <t>Iniciar Sesión - Ingreso fallido No.3</t>
  </si>
  <si>
    <t>1. Ingresar a la Url : https://euno.lms.doctustest.com/
2. Validar que se visualice un formalario de Iniciar sesión
3. Ubicarse en el campo iniciar sesión e ingresar el siguiente correo pruebaproteccion.com.co
4. Ubicarse en el campo contraseña e ingrsar el siguiente dato: 123456
4. Presionar el botón Iniciar sesión
5. Validar mensaje de error Usuario o caontraseña invalidos</t>
  </si>
  <si>
    <t>la visualizacioón del mensaje Usuario o contraseña invalidos</t>
  </si>
  <si>
    <t>Validar que al Ingresar en el campo correo electrónico un correo electrónico sin el carácter de arroba (@) y su respectiva clave. presionar el botón de iniciar sesión, el sistema NO debe de permitir el ingreso y presentará una alerta con el siguiente mensaje: “El usuario y la contraseña inválidos”.</t>
  </si>
  <si>
    <t>Iniciar Sesión - Correo de contacto.</t>
  </si>
  <si>
    <t>CP_006_DP</t>
  </si>
  <si>
    <t>Validar que al estar ubicado en iniciar sesión, si se presenta algún tipo de falla o dudas sobre el manejo de la aplicación debe de existir un correo electrónico de contacto. El suministrado para la aplicación es cursovirtual@proteccion.com.co</t>
  </si>
  <si>
    <t>1. Ingresar a la Url : https://euno.lms.doctustest.com/
2. Validar que se visualice un formalario de Iniciar sesión
3. Validar la existencia del correo de ayuda cursovirtual@proteccion.com.co</t>
  </si>
  <si>
    <t>La visualización del correo de ayuda cursovirtual@proteccion.com.co</t>
  </si>
  <si>
    <t>Registro de Usuario - Link de acceso al registro de personas</t>
  </si>
  <si>
    <t>CP_007_DP</t>
  </si>
  <si>
    <t xml:space="preserve">Validar que se debe de visualizar un link de acceso al formulario de registro de personas que debe de estar ubicado en la pagina principal de iniciar sesión, con la siguiente leyenda. ¿Aún no estás registrado? Regístrate.  </t>
  </si>
  <si>
    <t>1. Ingresar a la Url : https://euno.lms.doctustest.com/
2. Validar que se visualice el link de Registrase debajo del formalario de Iniciar sesión</t>
  </si>
  <si>
    <t>La visualización del Link de Registro</t>
  </si>
  <si>
    <t>Registro de Usuario - Visualización de campos</t>
  </si>
  <si>
    <t>CP_008_DP</t>
  </si>
  <si>
    <t>Validar que se visualice un formulario de registro de personas, con el siguiente título – Registro.  Y este debe de contener los siguientes campos: Nombre, Apellido, Ingresa tu cédula sin espacios, puntos o comas, ingresa tu correo corporativo, confirma tu correo, contraseña, confirmar contraseña, todos de carácter obligatorio</t>
  </si>
  <si>
    <t>1. Ingresar a la Url : https://euno.lms.doctustest.com/
2. Seleccionar el link de Regístrate
3. Validar la existencia de un titulo llamado Registro
4. Validar la existencia del campo Nombre
5. Validar la existencia del campo Apellido
6. Validar la existencia del campo Ingresa tu cédula sin espacios, puntos o comas, 
7. Validr la existencia del campo ingresa tu correo corporativo
8. Validar la existencia del campo confirma tu correo
9. Validar la existencia del campo contraseña
10. Validar la existencia del campo confirmar contraseña
11. Validar que todos los campos anteriormente narrados tenga un asterios como obligatorios</t>
  </si>
  <si>
    <t>La visualización de todos los campos del formulario registro</t>
  </si>
  <si>
    <t>Registro de Usuario - Llenado de la información.</t>
  </si>
  <si>
    <t>CP_009_DP</t>
  </si>
  <si>
    <t>Validar que el aplicativo permita llenar el registro de personas, con los siguientes campos: Nombre, Apellido, Ingresa tu cédula sin espacios, puntos o comas, ingresa tu correo corporativo, confirma tu correo, contraseña, confirmar contraseña, todos de carácter obligatorio aceptar los términos y condiciones y un botón de enviar. Al terminar toda esta información debe de existir un mensaje de registro exitoso.</t>
  </si>
  <si>
    <t>1. Ingresar a la Url : https://euno.lms.doctustest.com/
2. Seleccionar el link de Regístrate
3. Validar la existencia de un titulo llamado Registro
4. Ingresar en el campo Nombre : Emilio
5. Ingresar en el campo Apellido : Mendoza
6. Ingresar en el campo Ingresa tu cédula sin espacios, puntos o comas : 1234567890
7. Ingresar en el campo ingresa tu correo corporativo : prueba@proteccion.com.co
8. Ingresar en el campo confirma tu correo : prueba@proteccion.com.co
9. Ingresar en el campo contraseña : 123456
10. Ingresar en el campo confirmar contraseña : 123456
11. presionar el chech list de termino y condiciones de uso
12. presionar el boton de Enviar
13. Validar el mensaje de salida - registro fue exitoso!!!</t>
  </si>
  <si>
    <t>El correcto llenado de la información</t>
  </si>
  <si>
    <t>Validar que el aplicativo NO debe de permitir el registro de una de persona, si no se completa correctamente todos los campos. Para ello no se llenará el campo Nombre, los demás campos se llenarán de forma correcta. el aplicativo debe de informar un mensaje con la siguiente leyenda - El campo 'Nombre' es obligatorio.</t>
  </si>
  <si>
    <t>1. Ingresar a la Url : https://euno.lms.doctustest.com/
2. Seleccionar el link de Regístrate
3. Validar la existencia de un titulo llamado Registro
4. Ingresar en el campo Nombre : no ingresar ningun tipo de dato
5. Ingresar en el campo Apellido : Mendoza
6. Ingresar en el campo Ingresa tu cédula sin espacios, puntos o comas : 1234567890
7. Ingresar en el campo ingresa tu correo corporativo : prueba@proteccion.com.co
8. Ingresar en el campo confirma tu correo : prueba@proteccion.com.co
9. Ingresar en el campo contraseña : 123456
10. Ingresar en el campo confirmar contraseña : 123456
11. presionar el chech list de termino y condiciones de uso
12. presionar el boton de Enviar
13. Validar el mensaje de salida - El campo 'Nombre' es obligatorio.</t>
  </si>
  <si>
    <t>La visualización del mensaje El campo 'Nombre' es obligatorio.</t>
  </si>
  <si>
    <t>CP_010_DP</t>
  </si>
  <si>
    <t>Registro de Usuario - No llenar el campo Nombre.</t>
  </si>
  <si>
    <t>Registro de Usuario - No llenar el campo Apellido.</t>
  </si>
  <si>
    <t>CP_011_DP</t>
  </si>
  <si>
    <t>Validar que el aplicativo NO debe de permitir el registro de una de persona, si no se completa correctamente todos los campos. Para ello no se llenará el campo Apellido, los demás campos se llenarán de forma correcta. el aplicativo debe de informar un mensaje con la siguiente leyenda - El campo 'Apellido' es obligatorio.</t>
  </si>
  <si>
    <t>1. Ingresar a la Url : https://euno.lms.doctustest.com/
2. Seleccionar el link de Regístrate
3. Validar la existencia de un titulo llamado Registro
4. Ingresar en el campo Nombre : Emilio
5. Ingresar en el campo Apellido : no ingresar ningun tipo de dato
6. Ingresar en el campo Ingresa tu cédula sin espacios, puntos o comas : 1234567890
7. Ingresar en el campo ingresa tu correo corporativo : prueba@proteccion.com.co
8. Ingresar en el campo confirma tu correo : prueba@proteccion.com.co
9. Ingresar en el campo contraseña : 123456
10. Ingresar en el campo confirmar contraseña : 123456
11. presionar el chech list de termino y condiciones de uso
12. presionar el boton de Enviar
13. Validar el mensaje de salida - El campo 'Apellido' es obligatorio.</t>
  </si>
  <si>
    <t>La visualización del mensaje El campo 'Apellido' es obligatorio.</t>
  </si>
  <si>
    <t>Registro de Usuario - No llenar el campo Cédula.</t>
  </si>
  <si>
    <t>CP_012_DP</t>
  </si>
  <si>
    <t>Validar que el aplicativo NO debe de permitir el registro de una de persona, si no se completa correctamente todos los campos. Para ello no se llenará el campo Cédula, los demás campos se llenarán de forma correcta. el aplicativo debe de informar un mensaje con la siguiente leyenda - El campo ' Cédula ' es obligatorio.</t>
  </si>
  <si>
    <t>1. Ingresar a la Url : https://euno.lms.doctustest.com/
2. Seleccionar el link de Regístrate
3. Validar la existencia de un titulo llamado Registro
4. Ingresar en el campo Nombre : Emilio
5. Ingresar en el campo Apellido : Mendoza
6. Ingresar en el campo Ingresa tu cédula sin espacios, puntos o comas : no ingresar ningun tipo de dato
7. Ingresar en el campo ingresa tu correo corporativo : prueba@proteccion.com.co
8. Ingresar en el campo confirma tu correo : prueba@proteccion.com.co
9. Ingresar en el campo contraseña : 123456
10. Ingresar en el campo confirmar contraseña : 123456
11. presionar el chech list de termino y condiciones de uso
12. presionar el boton de Enviar
13. Validar el mensaje de salida - El campo 'Cédula' es obligatorio.</t>
  </si>
  <si>
    <t>La visualización del mensaje El campo 'Cédula' es  obligatorio.</t>
  </si>
  <si>
    <t>CP_013_DP</t>
  </si>
  <si>
    <t>1. Ingresar a la Url : https://euno.lms.doctustest.com/
2. Seleccionar el link de Regístrate
3. Validar la existencia de un titulo llamado Registro
4. Ingresar en el campo Nombre : Emilio
5. Ingresar en el campo Apellido : Mendoza
6. Ingresar en el campo Ingresa tu cédula sin espacios, puntos o comas : 1234567890
7. Ingresar en el campo ingresa tu correo corporativo : no ingresar ningun tipo de dato
8. Ingresar en el campo confirma tu correo : prueba@proteccion.com.co
9. Ingresar en el campo contraseña : 123456
10. Ingresar en el campo confirmar contraseña : 123456
11. presionar el chech list de termino y condiciones de uso
12. presionar el boton de Enviar
13. Validar el mensaje de salida - El campo 'Email' es obligatorio.</t>
  </si>
  <si>
    <t>La visualización del mensaje El campo 'Email' es  obligatorio.</t>
  </si>
  <si>
    <t>Validar que el aplicativo NO debe de permitir el registro de una de persona, si no se completa correctamente todos los campos. Para ello no se llenará el campo Correo, los demás campos se llenarán de forma correcta. el aplicativo debe de informar un mensaje con la siguiente leyenda - El campo ' Email ' es obligatorio.</t>
  </si>
  <si>
    <t>Registro de Usuario - No llenar el campo Correo.</t>
  </si>
  <si>
    <t>Registro de Usuario - No llenar el campo Validación Correo.</t>
  </si>
  <si>
    <t>CP_014_DP</t>
  </si>
  <si>
    <t>Validar que el aplicativo NO debe de permitir el registro de una de persona, si no se completa correctamente todos los campos. Para ello no se llenará el campo Validación Correo, los demás campos se llenarán de forma correcta. el aplicativo debe de informar un mensaje con la siguiente leyenda - El correo no coincide.</t>
  </si>
  <si>
    <t>1. Ingresar a la Url : https://euno.lms.doctustest.com/
2. Seleccionar el link de Regístrate
3. Validar la existencia de un titulo llamado Registro
4. Ingresar en el campo Nombre : Emilio
5. Ingresar en el campo Apellido : Mendoza
6. Ingresar en el campo Ingresa tu cédula sin espacios, puntos o comas : 1234567890
7. Ingresar en el campo ingresa tu correo corporativo : prueba@proteccion.com.co
8. Ingresar en el campo confirma tu correo : no ingresar ningun tipo de dato
9. Ingresar en el campo contraseña : 123456
10. Ingresar en el campo confirmar contraseña : 123456
11. presionar el chech list de termino y condiciones de uso
12. presionar el boton de Enviar
13. Validar el mensaje de salida - El campo 'Email' es obligatorio.</t>
  </si>
  <si>
    <t>La visualización del mensaje El correo no coincide</t>
  </si>
  <si>
    <t>Registro de Usuario - No llenar el campo Contraseña.</t>
  </si>
  <si>
    <t>CP_015_DP</t>
  </si>
  <si>
    <t>Validar que el aplicativo NO debe de permitir el registro de una de persona, si no se completa correctamente todos los campos. Para ello no se llenará el campo Contraseña, los demás campos se llenarán de forma correcta. el aplicativo debe de informar un mensaje con la siguiente leyenda - El campo ' Contraseña ' es obligatorio.</t>
  </si>
  <si>
    <t>1. Ingresar a la Url : https://euno.lms.doctustest.com/
2. Seleccionar el link de Regístrate
3. Validar la existencia de un titulo llamado Registro
4. Ingresar en el campo Nombre : Emilio
5. Ingresar en el campo Apellido : Mendoza
6. Ingresar en el campo Ingresa tu cédula sin espacios, puntos o comas : 1234567890
7. Ingresar en el campo ingresa tu correo corporativo : prueba@proteccion.com.co
8. Ingresar en el campo confirma tu correo : prueba@proteccion.com.co
9. Ingresar en el campo contraseña : no ingresar ningun tipo de dato
10. Ingresar en el campo confirmar contraseña : 123456
11. presionar el chech list de termino y condiciones de uso
12. presionar el boton de Enviar
13. Validar el mensaje de salida - El campo 'contraseña' es obligatorio.</t>
  </si>
  <si>
    <t>La visualización del mensaje El campo 'contraseña' es  obligatorio.</t>
  </si>
  <si>
    <t>Registro de Usuario - No llenar el campo Validación Contraseña.</t>
  </si>
  <si>
    <t>CP_016_DP</t>
  </si>
  <si>
    <t>Validar que el aplicativo NO debe de permitir el registro de una de persona, si no se completa correctamente todos los campos. Para ello no se llenará el campo Validación Contraseña, los demás campos se llenarán de forma correcta. el aplicativo debe de informar un mensaje con la siguiente leyenda - El campo ' Verificar Contraseña ' es obligatorio.</t>
  </si>
  <si>
    <t>1. Ingresar a la Url : https://euno.lms.doctustest.com/
2. Seleccionar el link de Regístrate
3. Validar la existencia de un titulo llamado Registro
4. Ingresar en el campo Nombre : Emilio
5. Ingresar en el campo Apellido : Mendoza
6. Ingresar en el campo Ingresa tu cédula sin espacios, puntos o comas : 1234567890
7. Ingresar en el campo ingresa tu correo corporativo : prueba@proteccion.com.co
8. Ingresar en el campo confirma tu correo : prueba@proteccion.com.co
9. Ingresar en el campo contraseña : 123456
10. Ingresar en el campo confirmar contraseña : no ingresar ningun tipo de dato
11. presionar el chech list de termino y condiciones de uso
12. presionar el boton de Enviar
13. Validar el mensaje de salida - El campo 'verificar contraseña' es obligatorio.</t>
  </si>
  <si>
    <t>La visualización del mensaje El campo 'Verificar contraseña' es  obligatorio.</t>
  </si>
  <si>
    <t>Registro de Usuario - No seleccionar los términos y condiciones.</t>
  </si>
  <si>
    <t>CP_017_DP</t>
  </si>
  <si>
    <t>Validar El aplicativo NO debe de permitir el registro de una de persona, si no se completa correctamente todos los campos. Adicionalmente si el usuario no selecciona el acepto de términos y condiciones de uso el aplicativo debe de informar un mensaje con la siguiente leyenda - Para continuar debe aceptar los términos y condiciones.</t>
  </si>
  <si>
    <t xml:space="preserve">1. Ingresar a la Url : https://euno.lms.doctustest.com/
2. Seleccionar el link de Regístrate
3. Validar la existencia de un titulo llamado Registro
4. Ingresar en el campo Nombre : Emilio
5. Ingresar en el campo Apellido : Mendoza
6. Ingresar en el campo Ingresa tu cédula sin espacios, puntos o comas : 1234567890
7. Ingresar en el campo ingresa tu correo corporativo : prueba@proteccion.com.co
8. Ingresar en el campo confirma tu correo : prueba@proteccion.com.co
9. Ingresar en el campo contraseña : 123456
10. Ingresar en el campo confirmar contraseña : 123456
11. No presionar el chech list de termino y condiciones de uso
12. presionar el boton de Enviar
13. Validar el mensaje de salida - 'Para continuar debe aceptar los términos y condiciones' </t>
  </si>
  <si>
    <t xml:space="preserve">La visualización del mensaje 'Para continuar debe aceptar los términos y condiciones' </t>
  </si>
  <si>
    <t>Registro de Usuario - Link de los términos y condiciones.</t>
  </si>
  <si>
    <t>CP_018_DP</t>
  </si>
  <si>
    <t xml:space="preserve">Validar que el aplicativo debe de permitir el tener un link de términos y condiciones en el llenado de registro de una de persona. Este debe de estar en formato PDF, y debe de contener toda la información necesaria para el uso de la plataforma. Nota: Se entregará la documentación a los analistas para su posterior montaje en la plataforma. </t>
  </si>
  <si>
    <t xml:space="preserve">1. Ingresar a la Url : https://euno.lms.doctustest.com/
2. Seleccionar el link de Regístrate
3. Validar la existencia de un titulo llamado Registro
4. Ingresar en el campo Nombre : Emilio
5. Ingresar en el campo Apellido : Mendoza
6. Ingresar en el campo Ingresa tu cédula sin espacios, puntos o comas : 1234567890
7. Ingresar en el campo ingresa tu correo corporativo : prueba@proteccion.com.co
8. Ingresar en el campo confirma tu correo : prueba@proteccion.com.co
9. Ingresar en el campo contraseña : 123456
10. Ingresar en el campo confirmar contraseña : 123456
11. presionar el chech list de termino y condiciones de uso
12. presionar el link de Términos y Condiciones de Uso
13. Validar que se despliega el PDF con la información correspondiente del mismo
12. presionar el botón de Enviar
13. Validar el mensaje de salida - 'Registro exitoso' </t>
  </si>
  <si>
    <t>La visualización del archivo en PDF de Terminos y condiciones</t>
  </si>
  <si>
    <t>Registro de Usuario - Un correo no valido.</t>
  </si>
  <si>
    <t>Validar que el aplicativo NO debe de permitir el registro de una de persona, si no se completa correctamente todos los campos. Al ingresar un correo electrónico no valido para la organización, el aplicativo debe de informar con la siguiente leyenda - Lo sentimos, el correo electrónico ingresado no está autorizado para el registro.</t>
  </si>
  <si>
    <t xml:space="preserve">1. Ingresar a la Url : https://euno.lms.doctustest.com/
2. Seleccionar el link de Regístrate
3. Validar la existencia de un titulo llamado Registro
4. Ingresar en el campo Nombre : Emilio
5. Ingresar en el campo Apellido : Mendoza
6. Ingresar en el campo Ingresa tu cédula sin espacios, puntos o comas : 1234567890
7. Ingresar en el campo ingresa tu correo corporativo : prueba@gmail.com.co
8. Ingresar en el campo confirma tu correo : prueba@gmail.com.co
9. Ingresar en el campo contraseña : 123456
10. Ingresar en el campo confirmar contraseña : 123456
11. presionar el chech list de termino y condiciones de uso
12. presionar el link de Términos y Condiciones de Uso
13. Validar que se despliega el PDF con la información correspondiente del mismo
12. presionar el botón de Enviar
13. Validar el mensaje de salida - 'Registro exitoso' </t>
  </si>
  <si>
    <t>La visualización del mensaje Lo sentimos, el correo electrónico ingresado no está autorizado para el registro.</t>
  </si>
  <si>
    <t>CP_019_DP</t>
  </si>
  <si>
    <t>Olvido de contraseña - Ingresar a recuperar contraseña.</t>
  </si>
  <si>
    <t>CP_020_DP</t>
  </si>
  <si>
    <t>Validar que el aplicativo debe de contener un link de acceso, a recuperar contraseña y este debe de estar ubicado en la página principal de en iniciar sesión, y al dar click sobre este debe de llevar al usuario a completar la información.</t>
  </si>
  <si>
    <t xml:space="preserve">1. Ingresar a la Url : https://euno.lms.doctustest.com/
2. Validar la existencia de un link llamado Olvidé mi Contraseña 
3. Validar que este link se encuentre debajo de iniciar sesión
</t>
  </si>
  <si>
    <t>La existencia de un link llmado Olvidé mi Contraseña</t>
  </si>
  <si>
    <t>Olvido de contraseña - Link a recuperar contraseña.</t>
  </si>
  <si>
    <t>CP_021_DP</t>
  </si>
  <si>
    <t>Validar que estando ubicados en recuperar contraseña, se debe de ingresar un correo electrónico valido, y el aplicativo debe de informar que la operación se realizó con éxito y debe de estar la contraseña en el email entregado previamente.</t>
  </si>
  <si>
    <t>1. Ingresar a la Url : https://euno.lms.doctustest.com/
2. Validar la existencia de un link llamado Olvidé mi Contraseña 
3. click sobre el punto dos
4. En la barra campo email: ingresar: prueba@proteccion.com.compresionar 
5. Presional el botón de enviar
6. Validar mensaje - clave de recuperación enviada a su correo corporativo</t>
  </si>
  <si>
    <t>El envio de la nueva contraseña al correo corporativo</t>
  </si>
  <si>
    <t>Olvido de contraseña - Ingresar a un correo no valido.</t>
  </si>
  <si>
    <t>CP_022_DP</t>
  </si>
  <si>
    <t xml:space="preserve">Validar que, Estando ubicados en recuperar contraseña, se debe de ingresar un correo electrónico NO valido, el aplicativo debe de informar el error de la información suministrada y debe de sacar la siguiente leyenda - Lo sentimos el email ingresado no existe. </t>
  </si>
  <si>
    <t>1. Ingresar a la Url : https://euno.lms.doctustest.com/
2. Validar la existencia de un link llamado Olvidé mi Contraseña 
3. click sobre el punto dos
4. En la barra campo email: ingresar: prueba@gmail.com.
5. Presionar el botón de enviar
6. Validar mensaje - Lo sentimos el email ingresado no existe.</t>
  </si>
  <si>
    <t>CP_023_DP</t>
  </si>
  <si>
    <t>Olvido de contraseña - Formato NO Valido.</t>
  </si>
  <si>
    <t>1. Ingresar a la Url : https://euno.lms.doctustest.com/
2. Validar la existencia de un link llamado Olvidé mi Contraseña 
3. click sobre el punto dos
4. En la barra campo email: ingresar: pruebagmail.com.
5. Presionar el botón de enviar
6. Validar mensaje - Lo sentimos el email ingresado no existe.</t>
  </si>
  <si>
    <t>La visualización del mensaje Lo sentimos el email ingresado no existe.</t>
  </si>
  <si>
    <t>CP_024_DP</t>
  </si>
  <si>
    <t>Olvido de contraseña - Formato NO Valido ingresando un número.</t>
  </si>
  <si>
    <t xml:space="preserve">Validar que Estando ubicados en recuperar contraseña, se ingresar un número en el campo email, el aplicativo debe de informar el error de la información suministrada y debe de sacar la siguiente leyenda - Lo sentimos el email ingresado no existe. </t>
  </si>
  <si>
    <t>1. Ingresar a la Url : https://euno.lms.doctustest.com/
2. Validar la existencia de un link llamado Olvidé mi Contraseña 
3. click sobre el punto dos
4. En la barra campo email: ingresar: 12345
5. Presionar el botón de enviar
6. Validar mensaje - Lo sentimos el email ingresado no existe.</t>
  </si>
  <si>
    <t>Olvido de contraseña - Volver al inicio</t>
  </si>
  <si>
    <t>CP_025_DP</t>
  </si>
  <si>
    <t>1. Ingresar a la Url : https://euno.lms.doctustest.com/
2. Validar la existencia de un link llamado Olvidé mi Contraseña 
3. click sobre el punto dos
4. Validar que exista un link de volver al inicio 
5. Al presionar el punto 4 el aplicativo debe de volver a la página de inicio</t>
  </si>
  <si>
    <t xml:space="preserve">La existencia de un link de volver al inicio </t>
  </si>
  <si>
    <t>Olvido de contraseña - Correo de contacto</t>
  </si>
  <si>
    <t>CP_026_DP</t>
  </si>
  <si>
    <t>Validar que Estando ubicados en recuperar contraseña, si se presenta algún tipo de falla o dudas sobre el manejo debe de existir un correo electrónico de contacto. El suministrado para la aplicación es lms@euno.com.co</t>
  </si>
  <si>
    <t xml:space="preserve">Validar que Estando ubicados en recuperar contraseña, debe de existir un link de volver al inicio (Iniciar sesión) </t>
  </si>
  <si>
    <t>1. Ingresar a la Url : https://euno.lms.doctustest.com/
2. Validar la existencia de un link llamado Olvidé mi Contraseña 
3. click sobre el punto dos
4. Validar que exista un correo para información lms@euno.com.co</t>
  </si>
  <si>
    <t>La visualización de un correo para dudas lms@euno.com.co</t>
  </si>
  <si>
    <t>Validar que al Ingresar solo el campo correo electrónico los datos solicitados y presionar el botón de iniciar sesión, el sistema NO debe de permitir el ingreso y presentará una alerta con el siguiente mensaje: “El usuario y la contraseña son obligatorios”.</t>
  </si>
  <si>
    <t xml:space="preserve">Validar que, estando ubicados en recuperar contraseña, se ingresa un correo electrónico NO valido con una estructura NO definida para un email, el aplicativo debe de informar el error de la información suministrada y debe de sacar la siguiente leyenda - Lo sentimos el email ingresado no existe. </t>
  </si>
  <si>
    <t>Bug_001</t>
  </si>
  <si>
    <t>El campo “Nombre” del formulario registro, permite ingresar números donde dicho campo solo debe de contener Letras (Tipo String) y esta permitiendo llegar dicha información hasta la base de datos.</t>
  </si>
  <si>
    <t>El campo “Apellido” del formulario Registro, permite ingresar números donde dicho campo solo debe de contener Letras (Tipo String) y esta permitiendo llegar dicha información hasta la base de datos.</t>
  </si>
  <si>
    <t>Bug_002</t>
  </si>
  <si>
    <t>El campo “Cédula” del formulario Registro, está permitiendo ingresar espacios, puntos o comas, caracteres especiales, donde claramente dice que no lo ingrese.</t>
  </si>
  <si>
    <t>Bug_003</t>
  </si>
  <si>
    <t>El campo “Cédula” del formulario Registro, está permitiendo ingresar texto, un campo exclusivamente numérico.</t>
  </si>
  <si>
    <t>Bug_004</t>
  </si>
  <si>
    <t>El campo “Correo electrónico” del formulario Registro, no está validando la estructura y composición de un correo electrónico, esta permitiendo ingresar cualquier tipo de texto.</t>
  </si>
  <si>
    <t>Bug_005</t>
  </si>
  <si>
    <t>Riesgo Producto</t>
  </si>
  <si>
    <t>Solo se puede acceder al aplicativo si tiene un correo corporativo, validar si la aplicación se ejecutará en el dominio interno de la empresa o será de dominio público, (un empleado puede abrirlo desde la casa)</t>
  </si>
  <si>
    <t>Un dominio público para todos los empleados de la empresa</t>
  </si>
  <si>
    <t>Tecnologia de la información</t>
  </si>
  <si>
    <t>Fulano de Tal</t>
  </si>
  <si>
    <t>Estados de los Bugs por ciclos de ejecución</t>
  </si>
  <si>
    <t>En que Estados se encuentran los Bugs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</si>
</sst>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b/>
      <sz val="20"/>
      <color rgb="FF0000FF"/>
      <name val="Calibri"/>
      <family val="2"/>
      <scheme val="minor"/>
    </font>
    <font>
      <b/>
      <sz val="20"/>
      <color theme="5" tint="-0.249977111117893"/>
      <name val="Calibri"/>
      <family val="2"/>
      <scheme val="minor"/>
    </font>
    <font>
      <b/>
      <sz val="11"/>
      <color theme="0" tint="-0.249977111117893"/>
      <name val="Calibri"/>
      <family val="2"/>
      <scheme val="minor"/>
    </font>
    <font>
      <b/>
      <sz val="11"/>
      <color theme="1"/>
      <name val="Calibri"/>
      <family val="2"/>
      <scheme val="minor"/>
    </font>
    <font>
      <b/>
      <sz val="16"/>
      <color theme="9" tint="-0.499984740745262"/>
      <name val="Calibri"/>
      <family val="2"/>
      <scheme val="minor"/>
    </font>
    <font>
      <sz val="20"/>
      <color theme="1"/>
      <name val="Calibri"/>
      <family val="2"/>
      <scheme val="minor"/>
    </font>
    <font>
      <b/>
      <i/>
      <sz val="11"/>
      <color theme="5" tint="-0.249977111117893"/>
      <name val="Calibri"/>
      <family val="2"/>
      <scheme val="minor"/>
    </font>
    <font>
      <sz val="8"/>
      <color rgb="FFFF0000"/>
      <name val="Calibri"/>
      <family val="2"/>
      <scheme val="minor"/>
    </font>
    <font>
      <b/>
      <sz val="11"/>
      <color rgb="FF0066FF"/>
      <name val="Calibri"/>
      <family val="2"/>
      <scheme val="minor"/>
    </font>
    <font>
      <sz val="11"/>
      <name val="Calibri"/>
      <family val="2"/>
      <scheme val="minor"/>
    </font>
    <font>
      <b/>
      <sz val="11"/>
      <color rgb="FF0000FF"/>
      <name val="Calibri"/>
      <family val="2"/>
      <scheme val="minor"/>
    </font>
    <font>
      <sz val="26"/>
      <color rgb="FFFF0000"/>
      <name val="Calibri"/>
      <family val="2"/>
      <scheme val="minor"/>
    </font>
    <font>
      <b/>
      <sz val="11"/>
      <color theme="0" tint="-0.34998626667073579"/>
      <name val="Calibri"/>
      <family val="2"/>
      <scheme val="minor"/>
    </font>
    <font>
      <sz val="11"/>
      <color theme="4" tint="-0.249977111117893"/>
      <name val="Calibri"/>
      <family val="2"/>
      <scheme val="minor"/>
    </font>
    <font>
      <sz val="9"/>
      <color indexed="81"/>
      <name val="Tahoma"/>
      <family val="2"/>
    </font>
    <font>
      <b/>
      <sz val="9"/>
      <color indexed="81"/>
      <name val="Tahoma"/>
      <family val="2"/>
    </font>
    <font>
      <i/>
      <sz val="9"/>
      <color indexed="81"/>
      <name val="Tahoma"/>
      <family val="2"/>
    </font>
    <font>
      <sz val="8"/>
      <name val="Calibri"/>
      <family val="2"/>
      <scheme val="minor"/>
    </font>
    <font>
      <b/>
      <sz val="20"/>
      <color theme="1"/>
      <name val="Calibri"/>
      <family val="2"/>
      <scheme val="minor"/>
    </font>
    <font>
      <sz val="9"/>
      <color indexed="81"/>
      <name val="Tahoma"/>
      <charset val="1"/>
    </font>
    <font>
      <b/>
      <sz val="9"/>
      <color indexed="81"/>
      <name val="Tahoma"/>
      <charset val="1"/>
    </font>
  </fonts>
  <fills count="24">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66FFFF"/>
        <bgColor indexed="64"/>
      </patternFill>
    </fill>
    <fill>
      <patternFill patternType="solid">
        <fgColor rgb="FFFFFF66"/>
        <bgColor indexed="64"/>
      </patternFill>
    </fill>
    <fill>
      <patternFill patternType="solid">
        <fgColor rgb="FFFF9900"/>
        <bgColor indexed="64"/>
      </patternFill>
    </fill>
    <fill>
      <patternFill patternType="solid">
        <fgColor rgb="FF0099CC"/>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8"/>
        <bgColor indexed="64"/>
      </patternFill>
    </fill>
    <fill>
      <patternFill patternType="solid">
        <fgColor rgb="FF00B0F0"/>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4" tint="0.39997558519241921"/>
        <bgColor indexed="64"/>
      </patternFill>
    </fill>
  </fills>
  <borders count="91">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top style="thin">
        <color rgb="FF0000FF"/>
      </top>
      <bottom/>
      <diagonal/>
    </border>
    <border>
      <left style="thin">
        <color rgb="FF0000FF"/>
      </left>
      <right/>
      <top style="thin">
        <color rgb="FF0000FF"/>
      </top>
      <bottom style="thin">
        <color rgb="FF0000FF"/>
      </bottom>
      <diagonal/>
    </border>
    <border>
      <left/>
      <right/>
      <top style="thin">
        <color rgb="FF0000FF"/>
      </top>
      <bottom style="thin">
        <color rgb="FF0000FF"/>
      </bottom>
      <diagonal/>
    </border>
    <border>
      <left/>
      <right/>
      <top style="thin">
        <color theme="5" tint="-0.249977111117893"/>
      </top>
      <bottom/>
      <diagonal/>
    </border>
    <border>
      <left/>
      <right/>
      <top style="thin">
        <color theme="5" tint="-0.249977111117893"/>
      </top>
      <bottom style="thin">
        <color theme="5" tint="-0.249977111117893"/>
      </bottom>
      <diagonal/>
    </border>
    <border>
      <left style="thin">
        <color theme="5" tint="-0.249977111117893"/>
      </left>
      <right/>
      <top style="thin">
        <color theme="5" tint="-0.249977111117893"/>
      </top>
      <bottom style="thin">
        <color theme="5" tint="-0.249977111117893"/>
      </bottom>
      <diagonal/>
    </border>
    <border>
      <left/>
      <right style="thin">
        <color theme="5" tint="-0.249977111117893"/>
      </right>
      <top style="thin">
        <color theme="5" tint="-0.249977111117893"/>
      </top>
      <bottom style="thin">
        <color theme="5" tint="-0.249977111117893"/>
      </bottom>
      <diagonal/>
    </border>
    <border>
      <left style="thin">
        <color theme="5" tint="-0.249977111117893"/>
      </left>
      <right/>
      <top/>
      <bottom/>
      <diagonal/>
    </border>
    <border>
      <left/>
      <right style="thin">
        <color rgb="FF0000FF"/>
      </right>
      <top style="thin">
        <color theme="5" tint="-0.249977111117893"/>
      </top>
      <bottom style="thin">
        <color theme="5" tint="-0.249977111117893"/>
      </bottom>
      <diagonal/>
    </border>
    <border>
      <left/>
      <right style="thin">
        <color theme="5" tint="-0.249977111117893"/>
      </right>
      <top style="thin">
        <color rgb="FF0000FF"/>
      </top>
      <bottom style="thin">
        <color rgb="FF0000FF"/>
      </bottom>
      <diagonal/>
    </border>
    <border>
      <left style="medium">
        <color theme="5" tint="-0.249977111117893"/>
      </left>
      <right/>
      <top style="medium">
        <color theme="5" tint="-0.249977111117893"/>
      </top>
      <bottom/>
      <diagonal/>
    </border>
    <border>
      <left/>
      <right/>
      <top style="medium">
        <color theme="5" tint="-0.249977111117893"/>
      </top>
      <bottom/>
      <diagonal/>
    </border>
    <border>
      <left/>
      <right style="medium">
        <color theme="5" tint="-0.249977111117893"/>
      </right>
      <top style="medium">
        <color theme="5" tint="-0.249977111117893"/>
      </top>
      <bottom/>
      <diagonal/>
    </border>
    <border>
      <left style="medium">
        <color theme="5" tint="-0.249977111117893"/>
      </left>
      <right/>
      <top/>
      <bottom style="medium">
        <color theme="5" tint="-0.249977111117893"/>
      </bottom>
      <diagonal/>
    </border>
    <border>
      <left/>
      <right/>
      <top/>
      <bottom style="medium">
        <color theme="5" tint="-0.249977111117893"/>
      </bottom>
      <diagonal/>
    </border>
    <border>
      <left/>
      <right style="medium">
        <color theme="5" tint="-0.249977111117893"/>
      </right>
      <top/>
      <bottom style="medium">
        <color theme="5" tint="-0.249977111117893"/>
      </bottom>
      <diagonal/>
    </border>
    <border>
      <left/>
      <right style="thin">
        <color theme="5" tint="-0.249977111117893"/>
      </right>
      <top style="thin">
        <color theme="5" tint="-0.249977111117893"/>
      </top>
      <bottom/>
      <diagonal/>
    </border>
    <border>
      <left/>
      <right style="thin">
        <color theme="5" tint="-0.249977111117893"/>
      </right>
      <top/>
      <bottom/>
      <diagonal/>
    </border>
    <border>
      <left/>
      <right/>
      <top/>
      <bottom style="thin">
        <color theme="5" tint="-0.249977111117893"/>
      </bottom>
      <diagonal/>
    </border>
    <border>
      <left/>
      <right style="thin">
        <color theme="5" tint="-0.249977111117893"/>
      </right>
      <top/>
      <bottom style="thin">
        <color theme="5" tint="-0.249977111117893"/>
      </bottom>
      <diagonal/>
    </border>
    <border>
      <left style="thin">
        <color theme="5" tint="-0.249977111117893"/>
      </left>
      <right/>
      <top style="thin">
        <color theme="5" tint="-0.249977111117893"/>
      </top>
      <bottom/>
      <diagonal/>
    </border>
    <border>
      <left style="thin">
        <color theme="5" tint="-0.249977111117893"/>
      </left>
      <right/>
      <top/>
      <bottom style="thin">
        <color theme="5" tint="-0.249977111117893"/>
      </bottom>
      <diagonal/>
    </border>
    <border>
      <left style="thin">
        <color rgb="FF3366FF"/>
      </left>
      <right/>
      <top/>
      <bottom/>
      <diagonal/>
    </border>
    <border>
      <left/>
      <right style="thin">
        <color rgb="FF3366FF"/>
      </right>
      <top style="thin">
        <color rgb="FF0000FF"/>
      </top>
      <bottom style="thin">
        <color rgb="FF0000FF"/>
      </bottom>
      <diagonal/>
    </border>
    <border>
      <left/>
      <right style="thin">
        <color rgb="FF3366FF"/>
      </right>
      <top style="thin">
        <color theme="5" tint="-0.249977111117893"/>
      </top>
      <bottom/>
      <diagonal/>
    </border>
    <border>
      <left/>
      <right style="thin">
        <color rgb="FF3366FF"/>
      </right>
      <top/>
      <bottom style="thin">
        <color theme="5" tint="-0.249977111117893"/>
      </bottom>
      <diagonal/>
    </border>
    <border>
      <left style="thin">
        <color theme="9" tint="-0.249977111117893"/>
      </left>
      <right/>
      <top/>
      <bottom/>
      <diagonal/>
    </border>
    <border>
      <left/>
      <right style="thin">
        <color theme="9" tint="-0.249977111117893"/>
      </right>
      <top style="thin">
        <color rgb="FF0000FF"/>
      </top>
      <bottom/>
      <diagonal/>
    </border>
    <border>
      <left/>
      <right style="thin">
        <color theme="9" tint="-0.249977111117893"/>
      </right>
      <top/>
      <bottom/>
      <diagonal/>
    </border>
    <border>
      <left/>
      <right/>
      <top/>
      <bottom style="thin">
        <color theme="9" tint="-0.249977111117893"/>
      </bottom>
      <diagonal/>
    </border>
    <border>
      <left/>
      <right style="thin">
        <color theme="9" tint="-0.249977111117893"/>
      </right>
      <top/>
      <bottom style="thin">
        <color theme="9" tint="-0.249977111117893"/>
      </bottom>
      <diagonal/>
    </border>
    <border>
      <left style="thin">
        <color theme="9" tint="-0.249977111117893"/>
      </left>
      <right/>
      <top style="thin">
        <color rgb="FF0000FF"/>
      </top>
      <bottom/>
      <diagonal/>
    </border>
    <border>
      <left style="thin">
        <color theme="9" tint="-0.249977111117893"/>
      </left>
      <right/>
      <top/>
      <bottom style="thin">
        <color theme="9" tint="-0.249977111117893"/>
      </bottom>
      <diagonal/>
    </border>
    <border>
      <left/>
      <right style="thin">
        <color theme="4" tint="0.39997558519241921"/>
      </right>
      <top/>
      <bottom/>
      <diagonal/>
    </border>
    <border>
      <left style="thin">
        <color theme="9" tint="-0.249977111117893"/>
      </left>
      <right style="thin">
        <color theme="9" tint="-0.249977111117893"/>
      </right>
      <top style="thin">
        <color theme="9" tint="-0.249977111117893"/>
      </top>
      <bottom style="thin">
        <color theme="9" tint="-0.249977111117893"/>
      </bottom>
      <diagonal/>
    </border>
    <border>
      <left style="thin">
        <color theme="9" tint="-0.249977111117893"/>
      </left>
      <right/>
      <top style="thin">
        <color theme="9" tint="-0.249977111117893"/>
      </top>
      <bottom style="thin">
        <color theme="9" tint="-0.249977111117893"/>
      </bottom>
      <diagonal/>
    </border>
    <border>
      <left/>
      <right style="thin">
        <color theme="9" tint="-0.249977111117893"/>
      </right>
      <top style="thin">
        <color theme="9" tint="-0.249977111117893"/>
      </top>
      <bottom style="thin">
        <color theme="9" tint="-0.249977111117893"/>
      </bottom>
      <diagonal/>
    </border>
    <border>
      <left/>
      <right/>
      <top style="thin">
        <color theme="9" tint="-0.249977111117893"/>
      </top>
      <bottom style="thin">
        <color theme="9" tint="-0.249977111117893"/>
      </bottom>
      <diagonal/>
    </border>
    <border>
      <left style="thin">
        <color theme="9" tint="-0.249977111117893"/>
      </left>
      <right style="thin">
        <color theme="9" tint="-0.249977111117893"/>
      </right>
      <top style="thin">
        <color theme="9" tint="-0.249977111117893"/>
      </top>
      <bottom/>
      <diagonal/>
    </border>
    <border>
      <left style="thin">
        <color rgb="FF0000FF"/>
      </left>
      <right/>
      <top/>
      <bottom/>
      <diagonal/>
    </border>
    <border>
      <left style="thin">
        <color theme="5" tint="-0.249977111117893"/>
      </left>
      <right style="thin">
        <color rgb="FF0000FF"/>
      </right>
      <top style="thin">
        <color rgb="FF0000FF"/>
      </top>
      <bottom style="thin">
        <color rgb="FF0000FF"/>
      </bottom>
      <diagonal/>
    </border>
    <border>
      <left style="thin">
        <color theme="5" tint="-0.249977111117893"/>
      </left>
      <right style="thin">
        <color theme="5" tint="-0.249977111117893"/>
      </right>
      <top style="thin">
        <color rgb="FF0000FF"/>
      </top>
      <bottom style="thin">
        <color rgb="FF0000FF"/>
      </bottom>
      <diagonal/>
    </border>
    <border>
      <left style="thin">
        <color rgb="FF0000FF"/>
      </left>
      <right style="thin">
        <color theme="5" tint="-0.249977111117893"/>
      </right>
      <top style="thin">
        <color rgb="FF0000FF"/>
      </top>
      <bottom style="thin">
        <color rgb="FF0000FF"/>
      </bottom>
      <diagonal/>
    </border>
    <border>
      <left style="thin">
        <color rgb="FF0000FF"/>
      </left>
      <right style="thin">
        <color rgb="FF0000FF"/>
      </right>
      <top style="thin">
        <color rgb="FF0000FF"/>
      </top>
      <bottom style="thin">
        <color rgb="FF0000FF"/>
      </bottom>
      <diagonal/>
    </border>
    <border>
      <left style="thin">
        <color theme="1"/>
      </left>
      <right style="thin">
        <color theme="1"/>
      </right>
      <top style="thin">
        <color theme="1"/>
      </top>
      <bottom style="thin">
        <color theme="1"/>
      </bottom>
      <diagonal/>
    </border>
    <border>
      <left/>
      <right/>
      <top/>
      <bottom style="thin">
        <color theme="1"/>
      </bottom>
      <diagonal/>
    </border>
    <border>
      <left style="thin">
        <color theme="1"/>
      </left>
      <right/>
      <top/>
      <bottom/>
      <diagonal/>
    </border>
    <border>
      <left style="thin">
        <color rgb="FF0000FF"/>
      </left>
      <right style="thin">
        <color rgb="FF0000FF"/>
      </right>
      <top style="thin">
        <color theme="1"/>
      </top>
      <bottom style="thin">
        <color rgb="FF0000FF"/>
      </bottom>
      <diagonal/>
    </border>
    <border>
      <left/>
      <right/>
      <top style="thin">
        <color theme="1"/>
      </top>
      <bottom/>
      <diagonal/>
    </border>
    <border>
      <left/>
      <right/>
      <top style="thin">
        <color theme="1"/>
      </top>
      <bottom style="thin">
        <color theme="1"/>
      </bottom>
      <diagonal/>
    </border>
    <border>
      <left style="thin">
        <color rgb="FF0000FF"/>
      </left>
      <right style="thin">
        <color rgb="FF0000FF"/>
      </right>
      <top/>
      <bottom style="thin">
        <color rgb="FF0000FF"/>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top style="thin">
        <color theme="1"/>
      </top>
      <bottom style="thin">
        <color theme="1"/>
      </bottom>
      <diagonal/>
    </border>
    <border>
      <left/>
      <right style="thin">
        <color theme="1"/>
      </right>
      <top style="thin">
        <color theme="1"/>
      </top>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5" tint="-0.249977111117893"/>
      </top>
      <bottom style="thin">
        <color theme="5" tint="-0.249977111117893"/>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style="thin">
        <color theme="1"/>
      </right>
      <top style="thin">
        <color theme="5" tint="-0.249977111117893"/>
      </top>
      <bottom style="thin">
        <color theme="5" tint="-0.249977111117893"/>
      </bottom>
      <diagonal/>
    </border>
    <border>
      <left style="thin">
        <color theme="1"/>
      </left>
      <right style="thin">
        <color theme="5" tint="-0.249977111117893"/>
      </right>
      <top style="thin">
        <color theme="5" tint="-0.249977111117893"/>
      </top>
      <bottom style="thin">
        <color theme="5" tint="-0.249977111117893"/>
      </bottom>
      <diagonal/>
    </border>
    <border>
      <left style="thin">
        <color theme="5" tint="-0.249977111117893"/>
      </left>
      <right/>
      <top style="thin">
        <color theme="1"/>
      </top>
      <bottom style="thin">
        <color theme="1"/>
      </bottom>
      <diagonal/>
    </border>
    <border>
      <left style="thin">
        <color theme="5" tint="-0.249977111117893"/>
      </left>
      <right style="thin">
        <color theme="5" tint="-0.249977111117893"/>
      </right>
      <top style="thin">
        <color indexed="64"/>
      </top>
      <bottom style="thin">
        <color indexed="64"/>
      </bottom>
      <diagonal/>
    </border>
    <border>
      <left style="thin">
        <color indexed="64"/>
      </left>
      <right style="thin">
        <color theme="5" tint="-0.249977111117893"/>
      </right>
      <top style="thin">
        <color indexed="64"/>
      </top>
      <bottom style="thin">
        <color indexed="64"/>
      </bottom>
      <diagonal/>
    </border>
    <border>
      <left style="thin">
        <color theme="5" tint="-0.249977111117893"/>
      </left>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theme="5" tint="-0.249977111117893"/>
      </top>
      <bottom/>
      <diagonal/>
    </border>
    <border>
      <left/>
      <right style="thin">
        <color indexed="64"/>
      </right>
      <top style="thin">
        <color theme="5" tint="-0.249977111117893"/>
      </top>
      <bottom/>
      <diagonal/>
    </border>
    <border>
      <left style="thin">
        <color indexed="64"/>
      </left>
      <right/>
      <top style="thin">
        <color theme="5" tint="-0.249977111117893"/>
      </top>
      <bottom style="thin">
        <color theme="5" tint="-0.249977111117893"/>
      </bottom>
      <diagonal/>
    </border>
    <border>
      <left style="thin">
        <color indexed="64"/>
      </left>
      <right style="thin">
        <color indexed="64"/>
      </right>
      <top/>
      <bottom style="thin">
        <color indexed="64"/>
      </bottom>
      <diagonal/>
    </border>
    <border>
      <left style="thin">
        <color theme="5" tint="-0.249977111117893"/>
      </left>
      <right style="thin">
        <color indexed="64"/>
      </right>
      <top style="thin">
        <color theme="5" tint="-0.249977111117893"/>
      </top>
      <bottom style="thin">
        <color theme="5" tint="-0.249977111117893"/>
      </bottom>
      <diagonal/>
    </border>
    <border>
      <left style="thin">
        <color indexed="64"/>
      </left>
      <right style="thin">
        <color indexed="64"/>
      </right>
      <top style="thin">
        <color theme="5" tint="-0.249977111117893"/>
      </top>
      <bottom style="thin">
        <color theme="5" tint="-0.249977111117893"/>
      </bottom>
      <diagonal/>
    </border>
    <border>
      <left/>
      <right style="thin">
        <color theme="1"/>
      </right>
      <top/>
      <bottom style="thin">
        <color theme="1"/>
      </bottom>
      <diagonal/>
    </border>
    <border>
      <left/>
      <right style="thin">
        <color theme="1"/>
      </right>
      <top/>
      <bottom/>
      <diagonal/>
    </border>
    <border>
      <left style="thin">
        <color theme="9" tint="-0.249977111117893"/>
      </left>
      <right/>
      <top style="thin">
        <color theme="1"/>
      </top>
      <bottom style="thin">
        <color theme="9" tint="-0.249977111117893"/>
      </bottom>
      <diagonal/>
    </border>
    <border>
      <left/>
      <right/>
      <top style="thin">
        <color theme="1"/>
      </top>
      <bottom style="thin">
        <color theme="9" tint="-0.249977111117893"/>
      </bottom>
      <diagonal/>
    </border>
    <border>
      <left style="thin">
        <color theme="5" tint="-0.249977111117893"/>
      </left>
      <right style="thin">
        <color theme="5" tint="-0.249977111117893"/>
      </right>
      <top style="thin">
        <color theme="5" tint="-0.249977111117893"/>
      </top>
      <bottom/>
      <diagonal/>
    </border>
    <border>
      <left style="thin">
        <color theme="5" tint="-0.249977111117893"/>
      </left>
      <right style="thin">
        <color theme="5" tint="-0.249977111117893"/>
      </right>
      <top/>
      <bottom/>
      <diagonal/>
    </border>
    <border>
      <left style="thin">
        <color theme="5" tint="-0.249977111117893"/>
      </left>
      <right style="thin">
        <color theme="5" tint="-0.249977111117893"/>
      </right>
      <top/>
      <bottom style="thin">
        <color theme="5" tint="-0.249977111117893"/>
      </bottom>
      <diagonal/>
    </border>
    <border>
      <left style="thin">
        <color theme="5" tint="-0.249977111117893"/>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rgb="FF0000FF"/>
      </left>
      <right style="thin">
        <color rgb="FF0000FF"/>
      </right>
      <top/>
      <bottom/>
      <diagonal/>
    </border>
  </borders>
  <cellStyleXfs count="1">
    <xf numFmtId="0" fontId="0" fillId="0" borderId="0"/>
  </cellStyleXfs>
  <cellXfs count="299">
    <xf numFmtId="0" fontId="0" fillId="0" borderId="0" xfId="0"/>
    <xf numFmtId="0" fontId="0" fillId="2" borderId="0" xfId="0" applyFill="1"/>
    <xf numFmtId="0" fontId="0" fillId="2" borderId="0" xfId="0" applyFill="1" applyBorder="1"/>
    <xf numFmtId="0" fontId="0" fillId="2" borderId="9" xfId="0" applyFill="1" applyBorder="1"/>
    <xf numFmtId="0" fontId="0" fillId="2" borderId="12" xfId="0" applyFill="1" applyBorder="1"/>
    <xf numFmtId="0" fontId="0" fillId="2" borderId="16" xfId="0" applyFill="1" applyBorder="1"/>
    <xf numFmtId="0" fontId="0" fillId="2" borderId="13" xfId="0" applyFill="1" applyBorder="1"/>
    <xf numFmtId="0" fontId="0" fillId="2" borderId="0" xfId="0" applyFill="1" applyBorder="1" applyAlignment="1"/>
    <xf numFmtId="0" fontId="0" fillId="2" borderId="31" xfId="0" applyFill="1" applyBorder="1" applyAlignment="1"/>
    <xf numFmtId="0" fontId="0" fillId="2" borderId="27" xfId="0" applyFill="1" applyBorder="1"/>
    <xf numFmtId="0" fontId="0" fillId="3" borderId="0" xfId="0" applyFill="1"/>
    <xf numFmtId="0" fontId="0" fillId="0" borderId="0" xfId="0" applyAlignment="1">
      <alignment horizontal="center" vertical="center" wrapText="1"/>
    </xf>
    <xf numFmtId="0" fontId="9" fillId="0" borderId="0" xfId="0" applyFont="1" applyAlignment="1">
      <alignment horizontal="center" vertical="center" wrapText="1"/>
    </xf>
    <xf numFmtId="0" fontId="9" fillId="0" borderId="42" xfId="0" applyFont="1" applyBorder="1" applyAlignment="1">
      <alignment horizontal="center" vertical="center" wrapText="1"/>
    </xf>
    <xf numFmtId="0" fontId="4" fillId="0" borderId="0" xfId="0" applyFont="1" applyAlignment="1">
      <alignment horizontal="center" vertical="center"/>
    </xf>
    <xf numFmtId="0" fontId="4" fillId="0" borderId="42" xfId="0" applyFont="1" applyBorder="1" applyAlignment="1">
      <alignment horizontal="center" vertical="center"/>
    </xf>
    <xf numFmtId="0" fontId="0" fillId="7" borderId="0" xfId="0" applyFill="1"/>
    <xf numFmtId="0" fontId="0" fillId="5" borderId="0" xfId="0" quotePrefix="1" applyFill="1"/>
    <xf numFmtId="0" fontId="0" fillId="8" borderId="0" xfId="0" quotePrefix="1" applyFill="1"/>
    <xf numFmtId="0" fontId="0" fillId="9" borderId="0" xfId="0" applyFill="1"/>
    <xf numFmtId="0" fontId="0" fillId="10" borderId="0" xfId="0" applyFill="1"/>
    <xf numFmtId="0" fontId="0" fillId="4"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5" borderId="0" xfId="0" applyFill="1"/>
    <xf numFmtId="0" fontId="0" fillId="8" borderId="0" xfId="0" applyFill="1"/>
    <xf numFmtId="0" fontId="0" fillId="2" borderId="43" xfId="0" applyFill="1" applyBorder="1"/>
    <xf numFmtId="0" fontId="0" fillId="15" borderId="43" xfId="0" applyFill="1" applyBorder="1"/>
    <xf numFmtId="0" fontId="0" fillId="7" borderId="43" xfId="0" applyFill="1" applyBorder="1"/>
    <xf numFmtId="0" fontId="0" fillId="2" borderId="48" xfId="0" applyFill="1" applyBorder="1"/>
    <xf numFmtId="0" fontId="0" fillId="18" borderId="0" xfId="0" applyFill="1" applyAlignment="1">
      <alignment horizontal="center" vertical="center" wrapText="1"/>
    </xf>
    <xf numFmtId="0" fontId="0" fillId="0" borderId="52" xfId="0" applyBorder="1"/>
    <xf numFmtId="14" fontId="13" fillId="0" borderId="52" xfId="0" applyNumberFormat="1" applyFont="1" applyBorder="1" applyAlignment="1">
      <alignment horizontal="center" vertical="center"/>
    </xf>
    <xf numFmtId="0" fontId="13" fillId="0" borderId="52" xfId="0" applyFont="1" applyBorder="1" applyAlignment="1">
      <alignment horizontal="center" vertical="center"/>
    </xf>
    <xf numFmtId="0" fontId="4" fillId="18" borderId="43" xfId="0" applyFont="1" applyFill="1" applyBorder="1" applyAlignment="1">
      <alignment horizontal="center" vertical="center"/>
    </xf>
    <xf numFmtId="0" fontId="0" fillId="6" borderId="0" xfId="0" applyFill="1"/>
    <xf numFmtId="0" fontId="0" fillId="19" borderId="0" xfId="0" applyFill="1"/>
    <xf numFmtId="0" fontId="0" fillId="0" borderId="52" xfId="0" applyFont="1" applyBorder="1"/>
    <xf numFmtId="9" fontId="0" fillId="0" borderId="52" xfId="0" applyNumberFormat="1" applyFont="1" applyBorder="1"/>
    <xf numFmtId="0" fontId="0" fillId="0" borderId="52" xfId="0" applyFont="1" applyBorder="1" applyAlignment="1">
      <alignment wrapText="1"/>
    </xf>
    <xf numFmtId="0" fontId="0" fillId="20" borderId="0" xfId="0" applyFill="1"/>
    <xf numFmtId="0" fontId="0" fillId="0" borderId="54" xfId="0" applyBorder="1"/>
    <xf numFmtId="0" fontId="0" fillId="0" borderId="55" xfId="0" applyBorder="1"/>
    <xf numFmtId="0" fontId="0" fillId="0" borderId="56" xfId="0" applyFont="1" applyBorder="1"/>
    <xf numFmtId="0" fontId="0" fillId="0" borderId="59" xfId="0" applyFont="1" applyBorder="1"/>
    <xf numFmtId="0" fontId="0" fillId="18" borderId="53" xfId="0" applyFill="1" applyBorder="1" applyAlignment="1">
      <alignment horizontal="center" vertical="center" wrapText="1"/>
    </xf>
    <xf numFmtId="0" fontId="0" fillId="18" borderId="60" xfId="0" applyFill="1" applyBorder="1" applyAlignment="1">
      <alignment horizontal="center" vertical="center" wrapText="1"/>
    </xf>
    <xf numFmtId="0" fontId="0" fillId="18" borderId="61" xfId="0" applyFill="1" applyBorder="1" applyAlignment="1">
      <alignment horizontal="center" vertical="center" wrapText="1"/>
    </xf>
    <xf numFmtId="9" fontId="0" fillId="0" borderId="56" xfId="0" applyNumberFormat="1" applyFont="1" applyBorder="1"/>
    <xf numFmtId="0" fontId="0" fillId="0" borderId="56" xfId="0" applyFont="1" applyBorder="1" applyAlignment="1">
      <alignment wrapText="1"/>
    </xf>
    <xf numFmtId="0" fontId="0" fillId="18" borderId="62" xfId="0" applyFill="1" applyBorder="1" applyAlignment="1">
      <alignment horizontal="center" vertical="center" wrapText="1"/>
    </xf>
    <xf numFmtId="0" fontId="0" fillId="18" borderId="63" xfId="0" applyFill="1" applyBorder="1" applyAlignment="1">
      <alignment horizontal="center" vertical="center" wrapText="1"/>
    </xf>
    <xf numFmtId="0" fontId="0" fillId="2" borderId="0" xfId="0" applyFill="1" applyAlignment="1">
      <alignment horizontal="center"/>
    </xf>
    <xf numFmtId="0" fontId="0" fillId="2" borderId="53" xfId="0" applyFill="1" applyBorder="1" applyAlignment="1">
      <alignment horizontal="center"/>
    </xf>
    <xf numFmtId="0" fontId="0" fillId="22" borderId="0" xfId="0" applyFill="1"/>
    <xf numFmtId="0" fontId="19" fillId="2" borderId="69" xfId="0" applyFont="1" applyFill="1" applyBorder="1" applyAlignment="1">
      <alignment horizontal="center" vertical="center" wrapText="1"/>
    </xf>
    <xf numFmtId="0" fontId="19" fillId="2" borderId="60" xfId="0" applyFont="1" applyFill="1" applyBorder="1" applyAlignment="1">
      <alignment horizontal="center" vertical="center" wrapText="1"/>
    </xf>
    <xf numFmtId="0" fontId="0" fillId="2" borderId="3" xfId="0" applyFill="1" applyBorder="1"/>
    <xf numFmtId="0" fontId="0" fillId="2" borderId="57" xfId="0" applyFill="1" applyBorder="1"/>
    <xf numFmtId="0" fontId="0" fillId="2" borderId="7" xfId="0" applyFill="1" applyBorder="1"/>
    <xf numFmtId="0" fontId="0" fillId="2" borderId="82" xfId="0" applyFill="1" applyBorder="1"/>
    <xf numFmtId="0" fontId="0" fillId="2" borderId="0" xfId="0" applyFill="1" applyBorder="1" applyAlignment="1">
      <alignment horizontal="center"/>
    </xf>
    <xf numFmtId="0" fontId="0" fillId="0" borderId="29" xfId="0" applyBorder="1"/>
    <xf numFmtId="0" fontId="0" fillId="0" borderId="16" xfId="0" applyBorder="1"/>
    <xf numFmtId="0" fontId="0" fillId="0" borderId="12" xfId="0" applyBorder="1"/>
    <xf numFmtId="0" fontId="0" fillId="0" borderId="66" xfId="0" applyBorder="1"/>
    <xf numFmtId="0" fontId="0" fillId="0" borderId="85" xfId="0" applyBorder="1"/>
    <xf numFmtId="0" fontId="0" fillId="0" borderId="86" xfId="0" applyBorder="1"/>
    <xf numFmtId="0" fontId="0" fillId="0" borderId="87" xfId="0" applyBorder="1"/>
    <xf numFmtId="0" fontId="0" fillId="2" borderId="1" xfId="0" applyFill="1" applyBorder="1"/>
    <xf numFmtId="0" fontId="0" fillId="2" borderId="8" xfId="0" applyFill="1" applyBorder="1"/>
    <xf numFmtId="0" fontId="0" fillId="2" borderId="0" xfId="0" applyFill="1" applyBorder="1" applyAlignment="1">
      <alignment horizontal="center" vertical="center"/>
    </xf>
    <xf numFmtId="0" fontId="0" fillId="2" borderId="43" xfId="0" applyFill="1" applyBorder="1" applyAlignment="1">
      <alignment vertical="center" wrapText="1"/>
    </xf>
    <xf numFmtId="0" fontId="0" fillId="2" borderId="43" xfId="0" applyFill="1" applyBorder="1" applyAlignment="1">
      <alignment horizontal="left" vertical="center" wrapText="1"/>
    </xf>
    <xf numFmtId="0" fontId="0" fillId="2" borderId="43" xfId="0" applyFill="1" applyBorder="1" applyAlignment="1">
      <alignment wrapText="1"/>
    </xf>
    <xf numFmtId="0" fontId="0" fillId="2" borderId="43" xfId="0" applyFill="1" applyBorder="1" applyAlignment="1">
      <alignment horizontal="center" vertical="center" wrapText="1"/>
    </xf>
    <xf numFmtId="0" fontId="0" fillId="2" borderId="0" xfId="0" applyFill="1" applyAlignment="1">
      <alignment wrapText="1"/>
    </xf>
    <xf numFmtId="0" fontId="0" fillId="2" borderId="0" xfId="0" applyFill="1" applyAlignment="1">
      <alignment horizontal="center" vertical="center" wrapText="1"/>
    </xf>
    <xf numFmtId="0" fontId="0" fillId="0" borderId="52" xfId="0" applyBorder="1" applyAlignment="1">
      <alignment wrapText="1"/>
    </xf>
    <xf numFmtId="0" fontId="0" fillId="0" borderId="90" xfId="0" applyFill="1" applyBorder="1"/>
    <xf numFmtId="14" fontId="0" fillId="0" borderId="59" xfId="0" applyNumberFormat="1" applyFont="1" applyBorder="1"/>
    <xf numFmtId="0" fontId="0" fillId="3" borderId="14" xfId="0" applyFill="1" applyBorder="1" applyAlignment="1">
      <alignment horizontal="center"/>
    </xf>
    <xf numFmtId="0" fontId="0" fillId="3" borderId="13" xfId="0" applyFill="1" applyBorder="1" applyAlignment="1">
      <alignment horizontal="center"/>
    </xf>
    <xf numFmtId="0" fontId="0" fillId="3" borderId="15" xfId="0" applyFill="1" applyBorder="1" applyAlignment="1">
      <alignment horizontal="center"/>
    </xf>
    <xf numFmtId="0" fontId="0" fillId="4" borderId="10" xfId="0" applyFill="1" applyBorder="1" applyAlignment="1">
      <alignment vertical="center"/>
    </xf>
    <xf numFmtId="0" fontId="0" fillId="4" borderId="11" xfId="0" applyFill="1" applyBorder="1" applyAlignment="1">
      <alignment vertical="center"/>
    </xf>
    <xf numFmtId="0" fontId="0" fillId="4" borderId="10" xfId="0" applyFill="1" applyBorder="1" applyAlignment="1">
      <alignment horizontal="left" vertical="center"/>
    </xf>
    <xf numFmtId="0" fontId="0" fillId="4" borderId="11" xfId="0" applyFill="1" applyBorder="1" applyAlignment="1">
      <alignment horizontal="left" vertical="center"/>
    </xf>
    <xf numFmtId="14" fontId="3" fillId="3" borderId="14" xfId="0" applyNumberFormat="1" applyFont="1" applyFill="1" applyBorder="1" applyAlignment="1">
      <alignment horizontal="center"/>
    </xf>
    <xf numFmtId="0" fontId="0" fillId="3" borderId="17" xfId="0" applyFill="1" applyBorder="1" applyAlignment="1">
      <alignment horizontal="center"/>
    </xf>
    <xf numFmtId="0" fontId="3" fillId="3" borderId="13" xfId="0" applyFont="1" applyFill="1" applyBorder="1" applyAlignment="1">
      <alignment horizontal="center"/>
    </xf>
    <xf numFmtId="0" fontId="3" fillId="3" borderId="15" xfId="0" applyFont="1" applyFill="1" applyBorder="1" applyAlignment="1">
      <alignment horizontal="center"/>
    </xf>
    <xf numFmtId="0" fontId="0" fillId="4" borderId="10" xfId="0" applyFill="1" applyBorder="1" applyAlignment="1">
      <alignment horizontal="left"/>
    </xf>
    <xf numFmtId="0" fontId="0" fillId="4" borderId="11" xfId="0" applyFill="1" applyBorder="1" applyAlignment="1">
      <alignment horizontal="left"/>
    </xf>
    <xf numFmtId="0" fontId="0" fillId="4" borderId="10" xfId="0" applyFill="1" applyBorder="1" applyAlignment="1">
      <alignment horizontal="left" vertical="center" wrapText="1"/>
    </xf>
    <xf numFmtId="0" fontId="0" fillId="4" borderId="11" xfId="0" applyFill="1" applyBorder="1" applyAlignment="1">
      <alignment horizontal="left" vertical="center" wrapText="1"/>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6" xfId="0" applyFont="1" applyFill="1" applyBorder="1" applyAlignment="1">
      <alignment horizontal="center" vertical="center"/>
    </xf>
    <xf numFmtId="0" fontId="0" fillId="3" borderId="2"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3" borderId="8" xfId="0" applyFill="1" applyBorder="1" applyAlignment="1">
      <alignment horizontal="center"/>
    </xf>
    <xf numFmtId="0" fontId="0" fillId="3" borderId="0" xfId="0" applyFill="1" applyBorder="1" applyAlignment="1">
      <alignment horizontal="center"/>
    </xf>
    <xf numFmtId="0" fontId="0" fillId="3" borderId="7" xfId="0" applyFill="1" applyBorder="1" applyAlignment="1">
      <alignment horizontal="center"/>
    </xf>
    <xf numFmtId="0" fontId="0" fillId="3" borderId="5" xfId="0" applyFill="1" applyBorder="1" applyAlignment="1">
      <alignment horizontal="center"/>
    </xf>
    <xf numFmtId="0" fontId="0" fillId="3" borderId="1" xfId="0" applyFill="1" applyBorder="1" applyAlignment="1">
      <alignment horizontal="center"/>
    </xf>
    <xf numFmtId="0" fontId="0" fillId="3" borderId="6" xfId="0" applyFill="1" applyBorder="1" applyAlignment="1">
      <alignment horizontal="center"/>
    </xf>
    <xf numFmtId="0" fontId="2" fillId="2" borderId="2"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0" xfId="0" applyFont="1" applyFill="1" applyBorder="1" applyAlignment="1">
      <alignment horizontal="center" vertical="center"/>
    </xf>
    <xf numFmtId="0" fontId="2" fillId="2" borderId="7"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6" xfId="0" applyFont="1" applyFill="1" applyBorder="1" applyAlignment="1">
      <alignment horizontal="center" vertical="center"/>
    </xf>
    <xf numFmtId="0" fontId="0" fillId="4" borderId="2" xfId="0" applyFill="1" applyBorder="1" applyAlignment="1">
      <alignment horizontal="center" vertical="center" wrapText="1"/>
    </xf>
    <xf numFmtId="0" fontId="0" fillId="4" borderId="4" xfId="0" applyFill="1" applyBorder="1" applyAlignment="1">
      <alignment horizontal="center" vertical="center"/>
    </xf>
    <xf numFmtId="0" fontId="0" fillId="4" borderId="8" xfId="0" applyFill="1" applyBorder="1" applyAlignment="1">
      <alignment horizontal="center" vertical="center"/>
    </xf>
    <xf numFmtId="0" fontId="0" fillId="4" borderId="7" xfId="0" applyFill="1" applyBorder="1" applyAlignment="1">
      <alignment horizontal="center" vertical="center"/>
    </xf>
    <xf numFmtId="0" fontId="0" fillId="4" borderId="5" xfId="0" applyFill="1" applyBorder="1" applyAlignment="1">
      <alignment horizontal="center" vertical="center"/>
    </xf>
    <xf numFmtId="0" fontId="0" fillId="4" borderId="6" xfId="0" applyFill="1" applyBorder="1" applyAlignment="1">
      <alignment horizontal="center" vertical="center"/>
    </xf>
    <xf numFmtId="0" fontId="5" fillId="3" borderId="19"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5" fillId="3" borderId="21" xfId="0" applyFont="1" applyFill="1" applyBorder="1" applyAlignment="1">
      <alignment horizontal="center" vertical="center" wrapText="1"/>
    </xf>
    <xf numFmtId="0" fontId="5" fillId="3" borderId="22" xfId="0" applyFont="1" applyFill="1" applyBorder="1" applyAlignment="1">
      <alignment horizontal="center" vertical="center" wrapText="1"/>
    </xf>
    <xf numFmtId="0" fontId="5" fillId="3" borderId="23" xfId="0" applyFont="1" applyFill="1" applyBorder="1" applyAlignment="1">
      <alignment horizontal="center" vertical="center" wrapText="1"/>
    </xf>
    <xf numFmtId="0" fontId="5" fillId="3" borderId="24" xfId="0" applyFont="1" applyFill="1" applyBorder="1" applyAlignment="1">
      <alignment horizontal="center" vertical="center" wrapText="1"/>
    </xf>
    <xf numFmtId="0" fontId="0" fillId="4" borderId="18" xfId="0" applyFill="1" applyBorder="1" applyAlignment="1">
      <alignment horizontal="left"/>
    </xf>
    <xf numFmtId="0" fontId="6" fillId="3" borderId="14" xfId="0" applyFont="1" applyFill="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0" fillId="3" borderId="62" xfId="0" applyFill="1" applyBorder="1" applyAlignment="1">
      <alignment horizontal="center" vertical="center" wrapText="1"/>
    </xf>
    <xf numFmtId="0" fontId="0" fillId="3" borderId="58" xfId="0" applyFill="1" applyBorder="1" applyAlignment="1">
      <alignment horizontal="center" vertical="center" wrapText="1"/>
    </xf>
    <xf numFmtId="0" fontId="0" fillId="3" borderId="60" xfId="0" applyFill="1" applyBorder="1" applyAlignment="1">
      <alignment horizontal="center" vertical="center" wrapText="1"/>
    </xf>
    <xf numFmtId="0" fontId="0" fillId="2" borderId="62" xfId="0" applyFill="1" applyBorder="1" applyAlignment="1">
      <alignment horizontal="center" vertical="center" wrapText="1"/>
    </xf>
    <xf numFmtId="0" fontId="0" fillId="2" borderId="58" xfId="0" applyFill="1" applyBorder="1" applyAlignment="1">
      <alignment horizontal="center" vertical="center" wrapText="1"/>
    </xf>
    <xf numFmtId="0" fontId="0" fillId="2" borderId="60" xfId="0" applyFill="1" applyBorder="1" applyAlignment="1">
      <alignment horizontal="center" vertical="center" wrapText="1"/>
    </xf>
    <xf numFmtId="0" fontId="0" fillId="3" borderId="53" xfId="0" applyFill="1" applyBorder="1" applyAlignment="1">
      <alignment horizontal="left" vertical="center" wrapText="1"/>
    </xf>
    <xf numFmtId="0" fontId="0" fillId="2" borderId="53" xfId="0" applyFill="1" applyBorder="1" applyAlignment="1">
      <alignment horizontal="left" vertical="center" wrapText="1"/>
    </xf>
    <xf numFmtId="0" fontId="0" fillId="2" borderId="2" xfId="0" applyFill="1" applyBorder="1" applyAlignment="1">
      <alignment horizontal="center" vertical="center" wrapText="1"/>
    </xf>
    <xf numFmtId="0" fontId="0" fillId="2" borderId="4" xfId="0" applyFill="1" applyBorder="1" applyAlignment="1">
      <alignment horizontal="center" vertical="center"/>
    </xf>
    <xf numFmtId="0" fontId="0" fillId="2" borderId="8" xfId="0" applyFill="1" applyBorder="1" applyAlignment="1">
      <alignment horizontal="center" vertical="center"/>
    </xf>
    <xf numFmtId="0" fontId="0" fillId="2" borderId="7" xfId="0" applyFill="1" applyBorder="1" applyAlignment="1">
      <alignment horizontal="center" vertical="center"/>
    </xf>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11" fillId="7" borderId="53" xfId="0" applyFont="1" applyFill="1" applyBorder="1" applyAlignment="1">
      <alignment horizontal="center" vertical="center" wrapText="1"/>
    </xf>
    <xf numFmtId="0" fontId="0" fillId="3" borderId="62" xfId="0" applyFill="1" applyBorder="1" applyAlignment="1">
      <alignment horizontal="center"/>
    </xf>
    <xf numFmtId="0" fontId="0" fillId="3" borderId="58" xfId="0" applyFill="1" applyBorder="1" applyAlignment="1">
      <alignment horizontal="center"/>
    </xf>
    <xf numFmtId="0" fontId="0" fillId="3" borderId="60" xfId="0" applyFill="1" applyBorder="1" applyAlignment="1">
      <alignment horizontal="center"/>
    </xf>
    <xf numFmtId="0" fontId="0" fillId="2" borderId="62" xfId="0" applyFill="1" applyBorder="1" applyAlignment="1">
      <alignment horizontal="center"/>
    </xf>
    <xf numFmtId="0" fontId="0" fillId="2" borderId="58" xfId="0" applyFill="1" applyBorder="1" applyAlignment="1">
      <alignment horizontal="center"/>
    </xf>
    <xf numFmtId="0" fontId="0" fillId="2" borderId="60" xfId="0" applyFill="1" applyBorder="1" applyAlignment="1">
      <alignment horizontal="center"/>
    </xf>
    <xf numFmtId="0" fontId="0" fillId="3" borderId="29" xfId="0" applyFill="1" applyBorder="1" applyAlignment="1">
      <alignment horizontal="left" vertical="top" wrapText="1"/>
    </xf>
    <xf numFmtId="0" fontId="0" fillId="3" borderId="12" xfId="0" applyFill="1" applyBorder="1" applyAlignment="1">
      <alignment horizontal="left" vertical="top" wrapText="1"/>
    </xf>
    <xf numFmtId="0" fontId="0" fillId="3" borderId="25" xfId="0" applyFill="1" applyBorder="1" applyAlignment="1">
      <alignment horizontal="left" vertical="top" wrapText="1"/>
    </xf>
    <xf numFmtId="0" fontId="0" fillId="3" borderId="16" xfId="0" applyFill="1" applyBorder="1" applyAlignment="1">
      <alignment horizontal="left" vertical="top" wrapText="1"/>
    </xf>
    <xf numFmtId="0" fontId="0" fillId="3" borderId="0" xfId="0" applyFill="1" applyBorder="1" applyAlignment="1">
      <alignment horizontal="left" vertical="top" wrapText="1"/>
    </xf>
    <xf numFmtId="0" fontId="0" fillId="3" borderId="26" xfId="0" applyFill="1" applyBorder="1" applyAlignment="1">
      <alignment horizontal="left" vertical="top" wrapText="1"/>
    </xf>
    <xf numFmtId="0" fontId="0" fillId="3" borderId="30" xfId="0" applyFill="1" applyBorder="1" applyAlignment="1">
      <alignment horizontal="left" vertical="top" wrapText="1"/>
    </xf>
    <xf numFmtId="0" fontId="0" fillId="3" borderId="27" xfId="0" applyFill="1" applyBorder="1" applyAlignment="1">
      <alignment horizontal="left" vertical="top" wrapText="1"/>
    </xf>
    <xf numFmtId="0" fontId="0" fillId="3" borderId="28" xfId="0" applyFill="1" applyBorder="1" applyAlignment="1">
      <alignment horizontal="left" vertical="top" wrapText="1"/>
    </xf>
    <xf numFmtId="0" fontId="0" fillId="5" borderId="10" xfId="0" applyFill="1" applyBorder="1" applyAlignment="1">
      <alignment horizontal="left" vertical="center"/>
    </xf>
    <xf numFmtId="0" fontId="0" fillId="5" borderId="11" xfId="0" applyFill="1" applyBorder="1" applyAlignment="1">
      <alignment horizontal="left" vertical="center"/>
    </xf>
    <xf numFmtId="0" fontId="0" fillId="5" borderId="32" xfId="0" applyFill="1" applyBorder="1" applyAlignment="1">
      <alignment horizontal="left" vertical="center"/>
    </xf>
    <xf numFmtId="0" fontId="0" fillId="5" borderId="14" xfId="0" applyFill="1" applyBorder="1" applyAlignment="1">
      <alignment horizontal="center"/>
    </xf>
    <xf numFmtId="0" fontId="0" fillId="5" borderId="13" xfId="0" applyFill="1" applyBorder="1" applyAlignment="1">
      <alignment horizontal="center"/>
    </xf>
    <xf numFmtId="0" fontId="0" fillId="21" borderId="51" xfId="0" applyFill="1" applyBorder="1" applyAlignment="1">
      <alignment horizontal="center"/>
    </xf>
    <xf numFmtId="0" fontId="0" fillId="21" borderId="50" xfId="0" applyFill="1" applyBorder="1" applyAlignment="1">
      <alignment horizontal="center"/>
    </xf>
    <xf numFmtId="0" fontId="0" fillId="21" borderId="49" xfId="0" applyFill="1" applyBorder="1" applyAlignment="1">
      <alignment horizontal="center"/>
    </xf>
    <xf numFmtId="0" fontId="4" fillId="4" borderId="29"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33" xfId="0" applyFont="1" applyFill="1" applyBorder="1" applyAlignment="1">
      <alignment horizontal="center" vertical="center"/>
    </xf>
    <xf numFmtId="0" fontId="4" fillId="4" borderId="30" xfId="0" applyFont="1" applyFill="1" applyBorder="1" applyAlignment="1">
      <alignment horizontal="center" vertical="center"/>
    </xf>
    <xf numFmtId="0" fontId="4" fillId="4" borderId="27" xfId="0" applyFont="1" applyFill="1" applyBorder="1" applyAlignment="1">
      <alignment horizontal="center" vertical="center"/>
    </xf>
    <xf numFmtId="0" fontId="0" fillId="3" borderId="40" xfId="0" applyFill="1" applyBorder="1" applyAlignment="1">
      <alignment horizontal="left" vertical="top" wrapText="1"/>
    </xf>
    <xf numFmtId="0" fontId="0" fillId="3" borderId="9" xfId="0" applyFill="1" applyBorder="1" applyAlignment="1">
      <alignment horizontal="left" vertical="top" wrapText="1"/>
    </xf>
    <xf numFmtId="0" fontId="0" fillId="3" borderId="36" xfId="0" applyFill="1" applyBorder="1" applyAlignment="1">
      <alignment horizontal="left" vertical="top" wrapText="1"/>
    </xf>
    <xf numFmtId="0" fontId="0" fillId="3" borderId="35" xfId="0" applyFill="1" applyBorder="1" applyAlignment="1">
      <alignment horizontal="left" vertical="top" wrapText="1"/>
    </xf>
    <xf numFmtId="0" fontId="0" fillId="3" borderId="37" xfId="0" applyFill="1" applyBorder="1" applyAlignment="1">
      <alignment horizontal="left" vertical="top" wrapText="1"/>
    </xf>
    <xf numFmtId="0" fontId="0" fillId="3" borderId="41" xfId="0" applyFill="1" applyBorder="1" applyAlignment="1">
      <alignment horizontal="left" vertical="top" wrapText="1"/>
    </xf>
    <xf numFmtId="0" fontId="0" fillId="3" borderId="38" xfId="0" applyFill="1" applyBorder="1" applyAlignment="1">
      <alignment horizontal="left" vertical="top" wrapText="1"/>
    </xf>
    <xf numFmtId="0" fontId="0" fillId="3" borderId="39" xfId="0" applyFill="1" applyBorder="1" applyAlignment="1">
      <alignment horizontal="left" vertical="top" wrapText="1"/>
    </xf>
    <xf numFmtId="0" fontId="4" fillId="4" borderId="34" xfId="0" applyFont="1" applyFill="1" applyBorder="1" applyAlignment="1">
      <alignment horizontal="center" vertical="center"/>
    </xf>
    <xf numFmtId="0" fontId="4" fillId="4" borderId="29" xfId="0" applyFont="1" applyFill="1" applyBorder="1" applyAlignment="1">
      <alignment horizontal="center" vertical="center" wrapText="1"/>
    </xf>
    <xf numFmtId="0" fontId="4" fillId="4" borderId="12" xfId="0" applyFont="1" applyFill="1" applyBorder="1" applyAlignment="1">
      <alignment horizontal="center" vertical="center" wrapText="1"/>
    </xf>
    <xf numFmtId="0" fontId="4" fillId="4" borderId="33" xfId="0" applyFont="1" applyFill="1" applyBorder="1" applyAlignment="1">
      <alignment horizontal="center" vertical="center" wrapText="1"/>
    </xf>
    <xf numFmtId="0" fontId="4" fillId="4" borderId="30" xfId="0" applyFont="1" applyFill="1" applyBorder="1" applyAlignment="1">
      <alignment horizontal="center" vertical="center" wrapText="1"/>
    </xf>
    <xf numFmtId="0" fontId="4" fillId="4" borderId="27" xfId="0" applyFont="1" applyFill="1" applyBorder="1" applyAlignment="1">
      <alignment horizontal="center" vertical="center" wrapText="1"/>
    </xf>
    <xf numFmtId="0" fontId="4" fillId="4" borderId="34" xfId="0" applyFont="1" applyFill="1" applyBorder="1" applyAlignment="1">
      <alignment horizontal="center" vertical="center" wrapText="1"/>
    </xf>
    <xf numFmtId="0" fontId="4" fillId="6" borderId="43" xfId="0" applyFont="1" applyFill="1" applyBorder="1" applyAlignment="1">
      <alignment horizontal="center" vertical="center" wrapText="1"/>
    </xf>
    <xf numFmtId="0" fontId="4" fillId="6" borderId="47" xfId="0" applyFont="1" applyFill="1" applyBorder="1" applyAlignment="1">
      <alignment horizontal="center" vertical="center" wrapText="1"/>
    </xf>
    <xf numFmtId="0" fontId="4" fillId="18" borderId="43" xfId="0" applyFont="1" applyFill="1" applyBorder="1" applyAlignment="1">
      <alignment horizontal="center" vertical="center" wrapText="1"/>
    </xf>
    <xf numFmtId="0" fontId="0" fillId="2" borderId="44" xfId="0" applyFill="1" applyBorder="1" applyAlignment="1">
      <alignment horizontal="center"/>
    </xf>
    <xf numFmtId="0" fontId="0" fillId="2" borderId="46" xfId="0" applyFill="1" applyBorder="1" applyAlignment="1">
      <alignment horizontal="center"/>
    </xf>
    <xf numFmtId="0" fontId="0" fillId="2" borderId="45" xfId="0" applyFill="1" applyBorder="1" applyAlignment="1">
      <alignment horizontal="center"/>
    </xf>
    <xf numFmtId="0" fontId="11" fillId="17" borderId="43" xfId="0" applyFont="1" applyFill="1" applyBorder="1" applyAlignment="1">
      <alignment horizontal="center" vertical="center" wrapText="1"/>
    </xf>
    <xf numFmtId="0" fontId="12" fillId="18" borderId="43" xfId="0" applyFont="1" applyFill="1" applyBorder="1" applyAlignment="1">
      <alignment horizontal="center"/>
    </xf>
    <xf numFmtId="0" fontId="0" fillId="2" borderId="43" xfId="0" applyFill="1" applyBorder="1" applyAlignment="1">
      <alignment horizontal="center"/>
    </xf>
    <xf numFmtId="0" fontId="0" fillId="7" borderId="43" xfId="0" applyFill="1" applyBorder="1" applyAlignment="1">
      <alignment horizontal="center"/>
    </xf>
    <xf numFmtId="0" fontId="0" fillId="15" borderId="43" xfId="0" applyFill="1" applyBorder="1" applyAlignment="1">
      <alignment horizontal="center"/>
    </xf>
    <xf numFmtId="0" fontId="10" fillId="16" borderId="44" xfId="0" applyFont="1" applyFill="1" applyBorder="1" applyAlignment="1">
      <alignment horizontal="center"/>
    </xf>
    <xf numFmtId="0" fontId="10" fillId="16" borderId="45" xfId="0" applyFont="1" applyFill="1" applyBorder="1" applyAlignment="1">
      <alignment horizontal="center"/>
    </xf>
    <xf numFmtId="0" fontId="0" fillId="18" borderId="66" xfId="0" applyFill="1" applyBorder="1" applyAlignment="1">
      <alignment horizontal="center"/>
    </xf>
    <xf numFmtId="0" fontId="0" fillId="5" borderId="0" xfId="0" applyFill="1" applyAlignment="1">
      <alignment horizontal="center"/>
    </xf>
    <xf numFmtId="0" fontId="0" fillId="18" borderId="14" xfId="0" applyFill="1" applyBorder="1" applyAlignment="1">
      <alignment horizontal="center"/>
    </xf>
    <xf numFmtId="0" fontId="0" fillId="18" borderId="15" xfId="0" applyFill="1" applyBorder="1" applyAlignment="1">
      <alignment horizontal="center"/>
    </xf>
    <xf numFmtId="0" fontId="0" fillId="0" borderId="53" xfId="0" applyBorder="1" applyAlignment="1">
      <alignment horizontal="center"/>
    </xf>
    <xf numFmtId="0" fontId="1" fillId="0" borderId="53" xfId="0" applyFont="1" applyBorder="1" applyAlignment="1">
      <alignment horizontal="center" vertical="center" wrapText="1"/>
    </xf>
    <xf numFmtId="0" fontId="0" fillId="0" borderId="53" xfId="0" applyBorder="1" applyAlignment="1">
      <alignment horizontal="center" vertical="center" wrapText="1"/>
    </xf>
    <xf numFmtId="0" fontId="0" fillId="0" borderId="53" xfId="0" applyBorder="1" applyAlignment="1">
      <alignment horizontal="center" vertical="center"/>
    </xf>
    <xf numFmtId="0" fontId="2" fillId="0" borderId="53" xfId="0" applyFont="1" applyBorder="1" applyAlignment="1">
      <alignment horizontal="center" vertical="center" wrapText="1"/>
    </xf>
    <xf numFmtId="0" fontId="0" fillId="2" borderId="53" xfId="0" applyFill="1" applyBorder="1" applyAlignment="1">
      <alignment horizontal="center" vertical="center" wrapText="1"/>
    </xf>
    <xf numFmtId="0" fontId="0" fillId="19" borderId="67" xfId="0" applyFill="1" applyBorder="1" applyAlignment="1">
      <alignment horizontal="center" vertical="center" wrapText="1"/>
    </xf>
    <xf numFmtId="0" fontId="0" fillId="19" borderId="65" xfId="0" applyFill="1" applyBorder="1" applyAlignment="1">
      <alignment horizontal="center" vertical="center" wrapText="1"/>
    </xf>
    <xf numFmtId="0" fontId="0" fillId="19" borderId="68" xfId="0" applyFill="1" applyBorder="1" applyAlignment="1">
      <alignment horizontal="center" vertical="center" wrapText="1"/>
    </xf>
    <xf numFmtId="0" fontId="0" fillId="19" borderId="14" xfId="0" applyFill="1" applyBorder="1" applyAlignment="1">
      <alignment horizontal="center" vertical="center" wrapText="1"/>
    </xf>
    <xf numFmtId="0" fontId="0" fillId="19" borderId="13" xfId="0" applyFill="1" applyBorder="1" applyAlignment="1">
      <alignment horizontal="center" vertical="center" wrapText="1"/>
    </xf>
    <xf numFmtId="0" fontId="0" fillId="19" borderId="15" xfId="0" applyFill="1" applyBorder="1" applyAlignment="1">
      <alignment horizontal="center" vertical="center" wrapText="1"/>
    </xf>
    <xf numFmtId="0" fontId="0" fillId="2" borderId="71" xfId="0" applyFill="1" applyBorder="1" applyAlignment="1">
      <alignment horizontal="center" vertical="center"/>
    </xf>
    <xf numFmtId="0" fontId="0" fillId="2" borderId="70" xfId="0" applyFill="1" applyBorder="1" applyAlignment="1">
      <alignment horizontal="center" vertical="center"/>
    </xf>
    <xf numFmtId="0" fontId="0" fillId="2" borderId="72" xfId="0" applyFill="1" applyBorder="1" applyAlignment="1">
      <alignment horizontal="center" vertical="center"/>
    </xf>
    <xf numFmtId="0" fontId="0" fillId="3" borderId="29" xfId="0" applyFill="1" applyBorder="1" applyAlignment="1">
      <alignment horizontal="center"/>
    </xf>
    <xf numFmtId="0" fontId="0" fillId="3" borderId="12" xfId="0" applyFill="1" applyBorder="1" applyAlignment="1">
      <alignment horizontal="center"/>
    </xf>
    <xf numFmtId="0" fontId="0" fillId="3" borderId="25" xfId="0" applyFill="1" applyBorder="1" applyAlignment="1">
      <alignment horizontal="center"/>
    </xf>
    <xf numFmtId="0" fontId="0" fillId="3" borderId="16" xfId="0" applyFill="1" applyBorder="1" applyAlignment="1">
      <alignment horizontal="center"/>
    </xf>
    <xf numFmtId="0" fontId="0" fillId="3" borderId="26" xfId="0" applyFill="1" applyBorder="1" applyAlignment="1">
      <alignment horizontal="center"/>
    </xf>
    <xf numFmtId="0" fontId="0" fillId="3" borderId="30"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71" xfId="0" applyFill="1" applyBorder="1" applyAlignment="1">
      <alignment horizontal="center" vertical="center" wrapText="1"/>
    </xf>
    <xf numFmtId="0" fontId="0" fillId="2" borderId="70" xfId="0" applyFill="1" applyBorder="1" applyAlignment="1">
      <alignment horizontal="center" vertical="center" wrapText="1"/>
    </xf>
    <xf numFmtId="0" fontId="0" fillId="2" borderId="72" xfId="0" applyFill="1" applyBorder="1" applyAlignment="1">
      <alignment horizontal="center" vertical="center" wrapText="1"/>
    </xf>
    <xf numFmtId="0" fontId="0" fillId="2" borderId="73" xfId="0" applyFill="1" applyBorder="1" applyAlignment="1">
      <alignment horizontal="center" vertical="center" wrapText="1"/>
    </xf>
    <xf numFmtId="0" fontId="0" fillId="2" borderId="74" xfId="0" applyFill="1" applyBorder="1" applyAlignment="1">
      <alignment horizontal="center" vertical="center" wrapText="1"/>
    </xf>
    <xf numFmtId="0" fontId="0" fillId="2" borderId="64" xfId="0" applyFill="1" applyBorder="1" applyAlignment="1">
      <alignment horizontal="center" vertical="center"/>
    </xf>
    <xf numFmtId="0" fontId="0" fillId="19" borderId="66" xfId="0" applyFill="1" applyBorder="1" applyAlignment="1">
      <alignment horizontal="center" vertical="center" wrapText="1"/>
    </xf>
    <xf numFmtId="0" fontId="0" fillId="3" borderId="75"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76" xfId="0" applyFill="1" applyBorder="1" applyAlignment="1">
      <alignment horizontal="center" vertical="center" wrapText="1"/>
    </xf>
    <xf numFmtId="0" fontId="0" fillId="3" borderId="5" xfId="0" applyFill="1" applyBorder="1" applyAlignment="1">
      <alignment horizontal="center" vertical="center" wrapText="1"/>
    </xf>
    <xf numFmtId="0" fontId="0" fillId="3" borderId="1" xfId="0" applyFill="1" applyBorder="1" applyAlignment="1">
      <alignment horizontal="center" vertical="center" wrapText="1"/>
    </xf>
    <xf numFmtId="0" fontId="0" fillId="3" borderId="6" xfId="0" applyFill="1" applyBorder="1" applyAlignment="1">
      <alignment horizontal="center" vertical="center" wrapText="1"/>
    </xf>
    <xf numFmtId="0" fontId="13" fillId="3" borderId="75" xfId="0" applyFont="1" applyFill="1" applyBorder="1" applyAlignment="1">
      <alignment horizontal="center" vertical="center" wrapText="1"/>
    </xf>
    <xf numFmtId="0" fontId="13" fillId="3" borderId="76"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6" xfId="0" applyFont="1" applyFill="1" applyBorder="1" applyAlignment="1">
      <alignment horizontal="center" vertical="center" wrapText="1"/>
    </xf>
    <xf numFmtId="0" fontId="0" fillId="2" borderId="75" xfId="0" applyFill="1" applyBorder="1" applyAlignment="1">
      <alignment horizontal="center" vertical="center" wrapText="1"/>
    </xf>
    <xf numFmtId="0" fontId="0" fillId="2" borderId="12" xfId="0" applyFill="1" applyBorder="1" applyAlignment="1">
      <alignment horizontal="center" vertical="center" wrapText="1"/>
    </xf>
    <xf numFmtId="0" fontId="0" fillId="2" borderId="76" xfId="0" applyFill="1" applyBorder="1" applyAlignment="1">
      <alignment horizontal="center" vertical="center" wrapText="1"/>
    </xf>
    <xf numFmtId="0" fontId="0" fillId="2" borderId="5" xfId="0" applyFill="1" applyBorder="1" applyAlignment="1">
      <alignment horizontal="center" vertical="center" wrapText="1"/>
    </xf>
    <xf numFmtId="0" fontId="0" fillId="2" borderId="1" xfId="0" applyFill="1" applyBorder="1" applyAlignment="1">
      <alignment horizontal="center" vertical="center" wrapText="1"/>
    </xf>
    <xf numFmtId="0" fontId="0" fillId="2" borderId="6" xfId="0" applyFill="1" applyBorder="1" applyAlignment="1">
      <alignment horizontal="center" vertical="center" wrapText="1"/>
    </xf>
    <xf numFmtId="0" fontId="13" fillId="2" borderId="75" xfId="0" applyFont="1" applyFill="1" applyBorder="1" applyAlignment="1">
      <alignment horizontal="center" vertical="center" wrapText="1"/>
    </xf>
    <xf numFmtId="0" fontId="13" fillId="2" borderId="76" xfId="0" applyFont="1" applyFill="1" applyBorder="1" applyAlignment="1">
      <alignment horizontal="center" vertical="center" wrapText="1"/>
    </xf>
    <xf numFmtId="0" fontId="13" fillId="2" borderId="5" xfId="0" applyFont="1" applyFill="1" applyBorder="1" applyAlignment="1">
      <alignment horizontal="center" vertical="center" wrapText="1"/>
    </xf>
    <xf numFmtId="0" fontId="13" fillId="2" borderId="6" xfId="0" applyFont="1" applyFill="1" applyBorder="1" applyAlignment="1">
      <alignment horizontal="center" vertical="center" wrapText="1"/>
    </xf>
    <xf numFmtId="0" fontId="0" fillId="19" borderId="79" xfId="0" applyFill="1" applyBorder="1" applyAlignment="1">
      <alignment horizontal="center" vertical="center" wrapText="1"/>
    </xf>
    <xf numFmtId="0" fontId="0" fillId="19" borderId="80" xfId="0" applyFill="1" applyBorder="1" applyAlignment="1">
      <alignment horizontal="center" vertical="center" wrapText="1"/>
    </xf>
    <xf numFmtId="0" fontId="0" fillId="19" borderId="77" xfId="0" applyFill="1" applyBorder="1" applyAlignment="1">
      <alignment horizontal="center" vertical="center" wrapText="1"/>
    </xf>
    <xf numFmtId="0" fontId="13" fillId="2" borderId="78" xfId="0" applyFont="1" applyFill="1" applyBorder="1" applyAlignment="1">
      <alignment horizontal="center" vertical="center" wrapText="1"/>
    </xf>
    <xf numFmtId="0" fontId="13" fillId="2" borderId="64" xfId="0" applyFont="1" applyFill="1" applyBorder="1" applyAlignment="1">
      <alignment horizontal="center" vertical="center" wrapText="1"/>
    </xf>
    <xf numFmtId="0" fontId="13" fillId="3" borderId="64" xfId="0" applyFont="1"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0" fillId="3" borderId="4" xfId="0" applyFill="1" applyBorder="1" applyAlignment="1">
      <alignment horizontal="center" vertical="center" wrapText="1"/>
    </xf>
    <xf numFmtId="0" fontId="0" fillId="2" borderId="3" xfId="0" applyFill="1" applyBorder="1" applyAlignment="1">
      <alignment horizontal="center" vertical="center" wrapText="1"/>
    </xf>
    <xf numFmtId="0" fontId="0" fillId="2" borderId="4" xfId="0" applyFill="1" applyBorder="1" applyAlignment="1">
      <alignment horizontal="center" vertical="center" wrapText="1"/>
    </xf>
    <xf numFmtId="0" fontId="13" fillId="5" borderId="55" xfId="0" applyFont="1" applyFill="1" applyBorder="1" applyAlignment="1">
      <alignment horizontal="center"/>
    </xf>
    <xf numFmtId="0" fontId="13" fillId="5" borderId="0" xfId="0" applyFont="1" applyFill="1" applyBorder="1" applyAlignment="1">
      <alignment horizontal="center"/>
    </xf>
    <xf numFmtId="0" fontId="4" fillId="3" borderId="0" xfId="0" applyFont="1" applyFill="1" applyAlignment="1">
      <alignment horizontal="center" vertical="center"/>
    </xf>
    <xf numFmtId="0" fontId="0" fillId="2" borderId="54" xfId="0" applyFill="1" applyBorder="1" applyAlignment="1">
      <alignment horizontal="center"/>
    </xf>
    <xf numFmtId="0" fontId="0" fillId="2" borderId="81" xfId="0" applyFill="1" applyBorder="1" applyAlignment="1">
      <alignment horizontal="center"/>
    </xf>
    <xf numFmtId="0" fontId="0" fillId="2" borderId="53" xfId="0" applyFill="1" applyBorder="1" applyAlignment="1">
      <alignment horizontal="center"/>
    </xf>
    <xf numFmtId="0" fontId="0" fillId="2" borderId="64" xfId="0" applyFill="1" applyBorder="1" applyAlignment="1">
      <alignment horizontal="center"/>
    </xf>
    <xf numFmtId="0" fontId="0" fillId="2" borderId="64" xfId="0" applyFill="1" applyBorder="1" applyAlignment="1">
      <alignment horizontal="center" vertical="center" wrapText="1"/>
    </xf>
    <xf numFmtId="0" fontId="0" fillId="23" borderId="64" xfId="0" applyFill="1" applyBorder="1" applyAlignment="1">
      <alignment horizontal="center" vertical="center"/>
    </xf>
    <xf numFmtId="0" fontId="0" fillId="3" borderId="64" xfId="0" applyFill="1" applyBorder="1" applyAlignment="1">
      <alignment horizontal="center" vertical="center"/>
    </xf>
    <xf numFmtId="0" fontId="0" fillId="23" borderId="64" xfId="0" applyFill="1" applyBorder="1" applyAlignment="1">
      <alignment horizontal="center"/>
    </xf>
    <xf numFmtId="0" fontId="0" fillId="2" borderId="73" xfId="0" applyFill="1" applyBorder="1" applyAlignment="1">
      <alignment horizontal="center"/>
    </xf>
    <xf numFmtId="0" fontId="0" fillId="2" borderId="74" xfId="0" applyFill="1" applyBorder="1" applyAlignment="1">
      <alignment horizontal="center"/>
    </xf>
    <xf numFmtId="0" fontId="0" fillId="2" borderId="89" xfId="0" applyFill="1" applyBorder="1" applyAlignment="1">
      <alignment horizontal="center"/>
    </xf>
    <xf numFmtId="0" fontId="0" fillId="23" borderId="71" xfId="0" applyFill="1" applyBorder="1" applyAlignment="1">
      <alignment horizontal="center"/>
    </xf>
    <xf numFmtId="0" fontId="0" fillId="23" borderId="70" xfId="0" applyFill="1" applyBorder="1" applyAlignment="1">
      <alignment horizontal="center"/>
    </xf>
    <xf numFmtId="0" fontId="0" fillId="23" borderId="88" xfId="0" applyFill="1" applyBorder="1" applyAlignment="1">
      <alignment horizontal="center"/>
    </xf>
    <xf numFmtId="0" fontId="0" fillId="23" borderId="53" xfId="0" applyFill="1" applyBorder="1" applyAlignment="1">
      <alignment horizontal="center"/>
    </xf>
    <xf numFmtId="0" fontId="0" fillId="23" borderId="62" xfId="0" applyFill="1" applyBorder="1" applyAlignment="1">
      <alignment horizontal="center"/>
    </xf>
    <xf numFmtId="0" fontId="0" fillId="23" borderId="58" xfId="0" applyFill="1" applyBorder="1" applyAlignment="1">
      <alignment horizontal="center"/>
    </xf>
    <xf numFmtId="0" fontId="0" fillId="23" borderId="60" xfId="0" applyFill="1" applyBorder="1" applyAlignment="1">
      <alignment horizontal="center"/>
    </xf>
    <xf numFmtId="0" fontId="0" fillId="2" borderId="83" xfId="0" applyFill="1" applyBorder="1" applyAlignment="1">
      <alignment horizontal="center"/>
    </xf>
    <xf numFmtId="0" fontId="0" fillId="2" borderId="84" xfId="0" applyFill="1" applyBorder="1" applyAlignment="1">
      <alignment horizontal="center"/>
    </xf>
    <xf numFmtId="0" fontId="0" fillId="2" borderId="53" xfId="0" applyNumberFormat="1" applyFill="1" applyBorder="1" applyAlignment="1">
      <alignment horizontal="center"/>
    </xf>
    <xf numFmtId="0" fontId="0" fillId="2" borderId="0" xfId="0" applyFill="1" applyAlignment="1">
      <alignment horizontal="center"/>
    </xf>
    <xf numFmtId="0" fontId="0" fillId="23" borderId="53" xfId="0" applyFill="1" applyBorder="1" applyAlignment="1">
      <alignment horizontal="center" vertical="center"/>
    </xf>
    <xf numFmtId="0" fontId="2" fillId="3" borderId="53" xfId="0" applyFont="1" applyFill="1" applyBorder="1" applyAlignment="1">
      <alignment horizontal="center" vertical="center"/>
    </xf>
  </cellXfs>
  <cellStyles count="1">
    <cellStyle name="Normal" xfId="0" builtinId="0"/>
  </cellStyles>
  <dxfs count="16213">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5700"/>
      </font>
      <fill>
        <patternFill>
          <bgColor rgb="FFFFEB9C"/>
        </patternFill>
      </fill>
    </dxf>
    <dxf>
      <fill>
        <patternFill>
          <bgColor theme="5" tint="-0.24994659260841701"/>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4" tint="-0.24994659260841701"/>
        </patternFill>
      </fill>
    </dxf>
    <dxf>
      <fill>
        <patternFill>
          <bgColor theme="9" tint="0.79998168889431442"/>
        </patternFill>
      </fill>
    </dxf>
  </dxfs>
  <tableStyles count="0" defaultTableStyle="TableStyleMedium2" defaultPivotStyle="PivotStyleLight16"/>
  <colors>
    <mruColors>
      <color rgb="FF0000FF"/>
      <color rgb="FF3366FF"/>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Casos de Pruebas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2"/>
          <c:order val="2"/>
          <c:tx>
            <c:strRef>
              <c:f>ResumenSprint!$E$29</c:f>
              <c:strCache>
                <c:ptCount val="1"/>
                <c:pt idx="0">
                  <c:v>Total</c:v>
                </c:pt>
              </c:strCache>
            </c:strRef>
          </c:tx>
          <c:spPr>
            <a:solidFill>
              <a:srgbClr val="FFFF00"/>
            </a:solidFill>
            <a:ln>
              <a:noFill/>
            </a:ln>
            <a:effectLst>
              <a:glow rad="63500">
                <a:schemeClr val="accent1">
                  <a:satMod val="175000"/>
                  <a:alpha val="40000"/>
                </a:schemeClr>
              </a:glow>
            </a:effectLst>
          </c:spPr>
          <c:invertIfNegative val="0"/>
          <c:dPt>
            <c:idx val="1"/>
            <c:invertIfNegative val="0"/>
            <c:bubble3D val="0"/>
            <c:spPr>
              <a:solidFill>
                <a:schemeClr val="accent2">
                  <a:lumMod val="60000"/>
                  <a:lumOff val="40000"/>
                </a:schemeClr>
              </a:solidFill>
              <a:ln>
                <a:noFill/>
              </a:ln>
              <a:effectLst>
                <a:glow rad="63500">
                  <a:schemeClr val="accent1">
                    <a:satMod val="175000"/>
                    <a:alpha val="40000"/>
                  </a:schemeClr>
                </a:glow>
              </a:effectLst>
            </c:spPr>
            <c:extLst>
              <c:ext xmlns:c16="http://schemas.microsoft.com/office/drawing/2014/chart" uri="{C3380CC4-5D6E-409C-BE32-E72D297353CC}">
                <c16:uniqueId val="{00000004-4358-491E-9231-DED71D635895}"/>
              </c:ext>
            </c:extLst>
          </c:dPt>
          <c:dPt>
            <c:idx val="2"/>
            <c:invertIfNegative val="0"/>
            <c:bubble3D val="0"/>
            <c:spPr>
              <a:solidFill>
                <a:schemeClr val="accent1">
                  <a:lumMod val="60000"/>
                  <a:lumOff val="40000"/>
                </a:schemeClr>
              </a:solidFill>
              <a:ln>
                <a:noFill/>
              </a:ln>
              <a:effectLst>
                <a:glow rad="63500">
                  <a:schemeClr val="accent1">
                    <a:satMod val="175000"/>
                    <a:alpha val="40000"/>
                  </a:schemeClr>
                </a:glow>
              </a:effectLst>
            </c:spPr>
            <c:extLst>
              <c:ext xmlns:c16="http://schemas.microsoft.com/office/drawing/2014/chart" uri="{C3380CC4-5D6E-409C-BE32-E72D297353CC}">
                <c16:uniqueId val="{00000005-4358-491E-9231-DED71D635895}"/>
              </c:ext>
            </c:extLst>
          </c:dPt>
          <c:dPt>
            <c:idx val="3"/>
            <c:invertIfNegative val="0"/>
            <c:bubble3D val="0"/>
            <c:spPr>
              <a:solidFill>
                <a:schemeClr val="accent6">
                  <a:lumMod val="60000"/>
                  <a:lumOff val="40000"/>
                </a:schemeClr>
              </a:solidFill>
              <a:ln>
                <a:noFill/>
              </a:ln>
              <a:effectLst>
                <a:glow rad="63500">
                  <a:schemeClr val="accent1">
                    <a:satMod val="175000"/>
                    <a:alpha val="40000"/>
                  </a:schemeClr>
                </a:glow>
              </a:effectLst>
            </c:spPr>
            <c:extLst>
              <c:ext xmlns:c16="http://schemas.microsoft.com/office/drawing/2014/chart" uri="{C3380CC4-5D6E-409C-BE32-E72D297353CC}">
                <c16:uniqueId val="{00000006-4358-491E-9231-DED71D635895}"/>
              </c:ext>
            </c:extLst>
          </c:dPt>
          <c:cat>
            <c:strRef>
              <c:f>ResumenSprint!$B$30:$B$33</c:f>
              <c:strCache>
                <c:ptCount val="4"/>
                <c:pt idx="0">
                  <c:v>No. De CP de Impacto Alto</c:v>
                </c:pt>
                <c:pt idx="1">
                  <c:v>No. De CP de Impacto Medio </c:v>
                </c:pt>
                <c:pt idx="2">
                  <c:v>No. De CP de Impacto Bajo </c:v>
                </c:pt>
                <c:pt idx="3">
                  <c:v>Total de Impacto CP</c:v>
                </c:pt>
              </c:strCache>
            </c:strRef>
          </c:cat>
          <c:val>
            <c:numRef>
              <c:f>ResumenSprint!$E$30:$E$33</c:f>
              <c:numCache>
                <c:formatCode>General</c:formatCode>
                <c:ptCount val="4"/>
                <c:pt idx="0">
                  <c:v>4</c:v>
                </c:pt>
                <c:pt idx="1">
                  <c:v>21</c:v>
                </c:pt>
                <c:pt idx="2">
                  <c:v>1</c:v>
                </c:pt>
                <c:pt idx="3">
                  <c:v>26</c:v>
                </c:pt>
              </c:numCache>
            </c:numRef>
          </c:val>
          <c:extLst>
            <c:ext xmlns:c16="http://schemas.microsoft.com/office/drawing/2014/chart" uri="{C3380CC4-5D6E-409C-BE32-E72D297353CC}">
              <c16:uniqueId val="{00000002-4358-491E-9231-DED71D635895}"/>
            </c:ext>
          </c:extLst>
        </c:ser>
        <c:dLbls>
          <c:showLegendKey val="0"/>
          <c:showVal val="0"/>
          <c:showCatName val="0"/>
          <c:showSerName val="0"/>
          <c:showPercent val="0"/>
          <c:showBubbleSize val="0"/>
        </c:dLbls>
        <c:gapWidth val="219"/>
        <c:overlap val="-27"/>
        <c:axId val="521937816"/>
        <c:axId val="521938144"/>
        <c:extLst>
          <c:ext xmlns:c15="http://schemas.microsoft.com/office/drawing/2012/chart" uri="{02D57815-91ED-43cb-92C2-25804820EDAC}">
            <c15:filteredBarSeries>
              <c15:ser>
                <c:idx val="0"/>
                <c:order val="0"/>
                <c:tx>
                  <c:strRef>
                    <c:extLst>
                      <c:ext uri="{02D57815-91ED-43cb-92C2-25804820EDAC}">
                        <c15:formulaRef>
                          <c15:sqref>ResumenSprint!$C$29</c15:sqref>
                        </c15:formulaRef>
                      </c:ext>
                    </c:extLst>
                    <c:strCache>
                      <c:ptCount val="1"/>
                    </c:strCache>
                  </c:strRef>
                </c:tx>
                <c:spPr>
                  <a:solidFill>
                    <a:schemeClr val="accent1"/>
                  </a:solidFill>
                  <a:ln>
                    <a:noFill/>
                  </a:ln>
                  <a:effectLst/>
                </c:spPr>
                <c:invertIfNegative val="0"/>
                <c:cat>
                  <c:strRef>
                    <c:extLst>
                      <c:ext uri="{02D57815-91ED-43cb-92C2-25804820EDAC}">
                        <c15:formulaRef>
                          <c15:sqref>ResumenSprint!$B$30:$B$33</c15:sqref>
                        </c15:formulaRef>
                      </c:ext>
                    </c:extLst>
                    <c:strCache>
                      <c:ptCount val="4"/>
                      <c:pt idx="0">
                        <c:v>No. De CP de Impacto Alto</c:v>
                      </c:pt>
                      <c:pt idx="1">
                        <c:v>No. De CP de Impacto Medio </c:v>
                      </c:pt>
                      <c:pt idx="2">
                        <c:v>No. De CP de Impacto Bajo </c:v>
                      </c:pt>
                      <c:pt idx="3">
                        <c:v>Total de Impacto CP</c:v>
                      </c:pt>
                    </c:strCache>
                  </c:strRef>
                </c:cat>
                <c:val>
                  <c:numRef>
                    <c:extLst>
                      <c:ext uri="{02D57815-91ED-43cb-92C2-25804820EDAC}">
                        <c15:formulaRef>
                          <c15:sqref>ResumenSprint!$C$30:$C$33</c15:sqref>
                        </c15:formulaRef>
                      </c:ext>
                    </c:extLst>
                    <c:numCache>
                      <c:formatCode>General</c:formatCode>
                      <c:ptCount val="4"/>
                    </c:numCache>
                  </c:numRef>
                </c:val>
                <c:extLst>
                  <c:ext xmlns:c16="http://schemas.microsoft.com/office/drawing/2014/chart" uri="{C3380CC4-5D6E-409C-BE32-E72D297353CC}">
                    <c16:uniqueId val="{00000000-4358-491E-9231-DED71D635895}"/>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ResumenSprint!$D$29</c15:sqref>
                        </c15:formulaRef>
                      </c:ext>
                    </c:extLst>
                    <c:strCache>
                      <c:ptCount val="1"/>
                    </c:strCache>
                  </c:strRef>
                </c:tx>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ResumenSprint!$B$30:$B$33</c15:sqref>
                        </c15:formulaRef>
                      </c:ext>
                    </c:extLst>
                    <c:strCache>
                      <c:ptCount val="4"/>
                      <c:pt idx="0">
                        <c:v>No. De CP de Impacto Alto</c:v>
                      </c:pt>
                      <c:pt idx="1">
                        <c:v>No. De CP de Impacto Medio </c:v>
                      </c:pt>
                      <c:pt idx="2">
                        <c:v>No. De CP de Impacto Bajo </c:v>
                      </c:pt>
                      <c:pt idx="3">
                        <c:v>Total de Impacto CP</c:v>
                      </c:pt>
                    </c:strCache>
                  </c:strRef>
                </c:cat>
                <c:val>
                  <c:numRef>
                    <c:extLst xmlns:c15="http://schemas.microsoft.com/office/drawing/2012/chart">
                      <c:ext xmlns:c15="http://schemas.microsoft.com/office/drawing/2012/chart" uri="{02D57815-91ED-43cb-92C2-25804820EDAC}">
                        <c15:formulaRef>
                          <c15:sqref>ResumenSprint!$D$30:$D$33</c15:sqref>
                        </c15:formulaRef>
                      </c:ext>
                    </c:extLst>
                    <c:numCache>
                      <c:formatCode>General</c:formatCode>
                      <c:ptCount val="4"/>
                    </c:numCache>
                  </c:numRef>
                </c:val>
                <c:extLst xmlns:c15="http://schemas.microsoft.com/office/drawing/2012/chart">
                  <c:ext xmlns:c16="http://schemas.microsoft.com/office/drawing/2014/chart" uri="{C3380CC4-5D6E-409C-BE32-E72D297353CC}">
                    <c16:uniqueId val="{00000001-4358-491E-9231-DED71D635895}"/>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ResumenSprint!$F$29</c15:sqref>
                        </c15:formulaRef>
                      </c:ext>
                    </c:extLst>
                    <c:strCache>
                      <c:ptCount val="1"/>
                    </c:strCache>
                  </c:strRef>
                </c:tx>
                <c:spPr>
                  <a:solidFill>
                    <a:schemeClr val="accent4"/>
                  </a:solidFill>
                  <a:ln>
                    <a:noFill/>
                  </a:ln>
                  <a:effectLst/>
                </c:spPr>
                <c:invertIfNegative val="0"/>
                <c:cat>
                  <c:strRef>
                    <c:extLst xmlns:c15="http://schemas.microsoft.com/office/drawing/2012/chart">
                      <c:ext xmlns:c15="http://schemas.microsoft.com/office/drawing/2012/chart" uri="{02D57815-91ED-43cb-92C2-25804820EDAC}">
                        <c15:formulaRef>
                          <c15:sqref>ResumenSprint!$B$30:$B$33</c15:sqref>
                        </c15:formulaRef>
                      </c:ext>
                    </c:extLst>
                    <c:strCache>
                      <c:ptCount val="4"/>
                      <c:pt idx="0">
                        <c:v>No. De CP de Impacto Alto</c:v>
                      </c:pt>
                      <c:pt idx="1">
                        <c:v>No. De CP de Impacto Medio </c:v>
                      </c:pt>
                      <c:pt idx="2">
                        <c:v>No. De CP de Impacto Bajo </c:v>
                      </c:pt>
                      <c:pt idx="3">
                        <c:v>Total de Impacto CP</c:v>
                      </c:pt>
                    </c:strCache>
                  </c:strRef>
                </c:cat>
                <c:val>
                  <c:numRef>
                    <c:extLst xmlns:c15="http://schemas.microsoft.com/office/drawing/2012/chart">
                      <c:ext xmlns:c15="http://schemas.microsoft.com/office/drawing/2012/chart" uri="{02D57815-91ED-43cb-92C2-25804820EDAC}">
                        <c15:formulaRef>
                          <c15:sqref>ResumenSprint!$F$30:$F$33</c15:sqref>
                        </c15:formulaRef>
                      </c:ext>
                    </c:extLst>
                    <c:numCache>
                      <c:formatCode>General</c:formatCode>
                      <c:ptCount val="4"/>
                    </c:numCache>
                  </c:numRef>
                </c:val>
                <c:extLst xmlns:c15="http://schemas.microsoft.com/office/drawing/2012/chart">
                  <c:ext xmlns:c16="http://schemas.microsoft.com/office/drawing/2014/chart" uri="{C3380CC4-5D6E-409C-BE32-E72D297353CC}">
                    <c16:uniqueId val="{00000003-4358-491E-9231-DED71D635895}"/>
                  </c:ext>
                </c:extLst>
              </c15:ser>
            </c15:filteredBarSeries>
          </c:ext>
        </c:extLst>
      </c:barChart>
      <c:catAx>
        <c:axId val="521937816"/>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21938144"/>
        <c:crosses val="autoZero"/>
        <c:auto val="1"/>
        <c:lblAlgn val="ctr"/>
        <c:lblOffset val="100"/>
        <c:noMultiLvlLbl val="0"/>
      </c:catAx>
      <c:valAx>
        <c:axId val="521938144"/>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52193781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1"/>
          <c:order val="1"/>
          <c:tx>
            <c:strRef>
              <c:f>ResumenSprint!$D$46</c:f>
              <c:strCache>
                <c:ptCount val="1"/>
                <c:pt idx="0">
                  <c:v>Ciclo 1</c:v>
                </c:pt>
              </c:strCache>
            </c:strRef>
          </c:tx>
          <c:spPr>
            <a:solidFill>
              <a:schemeClr val="accent2"/>
            </a:solidFill>
            <a:ln>
              <a:noFill/>
            </a:ln>
            <a:effectLst>
              <a:glow rad="63500">
                <a:schemeClr val="accent1">
                  <a:satMod val="175000"/>
                  <a:alpha val="40000"/>
                </a:schemeClr>
              </a:glow>
            </a:effectLst>
          </c:spPr>
          <c:invertIfNegative val="0"/>
          <c:dPt>
            <c:idx val="0"/>
            <c:invertIfNegative val="0"/>
            <c:bubble3D val="0"/>
            <c:spPr>
              <a:solidFill>
                <a:srgbClr val="FFFF00"/>
              </a:solidFill>
              <a:ln>
                <a:noFill/>
              </a:ln>
              <a:effectLst>
                <a:glow rad="63500">
                  <a:schemeClr val="accent1">
                    <a:satMod val="175000"/>
                    <a:alpha val="40000"/>
                  </a:schemeClr>
                </a:glow>
              </a:effectLst>
            </c:spPr>
            <c:extLst>
              <c:ext xmlns:c16="http://schemas.microsoft.com/office/drawing/2014/chart" uri="{C3380CC4-5D6E-409C-BE32-E72D297353CC}">
                <c16:uniqueId val="{00000002-A064-4192-85BF-4ED3CFC2E9ED}"/>
              </c:ext>
            </c:extLst>
          </c:dPt>
          <c:dPt>
            <c:idx val="1"/>
            <c:invertIfNegative val="0"/>
            <c:bubble3D val="0"/>
            <c:spPr>
              <a:solidFill>
                <a:schemeClr val="accent2">
                  <a:lumMod val="60000"/>
                  <a:lumOff val="40000"/>
                </a:schemeClr>
              </a:solidFill>
              <a:ln>
                <a:noFill/>
              </a:ln>
              <a:effectLst>
                <a:glow rad="63500">
                  <a:schemeClr val="accent1">
                    <a:satMod val="175000"/>
                    <a:alpha val="40000"/>
                  </a:schemeClr>
                </a:glow>
              </a:effectLst>
            </c:spPr>
            <c:extLst>
              <c:ext xmlns:c16="http://schemas.microsoft.com/office/drawing/2014/chart" uri="{C3380CC4-5D6E-409C-BE32-E72D297353CC}">
                <c16:uniqueId val="{00000003-A064-4192-85BF-4ED3CFC2E9ED}"/>
              </c:ext>
            </c:extLst>
          </c:dPt>
          <c:dPt>
            <c:idx val="2"/>
            <c:invertIfNegative val="0"/>
            <c:bubble3D val="0"/>
            <c:spPr>
              <a:solidFill>
                <a:srgbClr val="0000FF"/>
              </a:solidFill>
              <a:ln>
                <a:noFill/>
              </a:ln>
              <a:effectLst>
                <a:glow rad="63500">
                  <a:schemeClr val="accent1">
                    <a:satMod val="175000"/>
                    <a:alpha val="40000"/>
                  </a:schemeClr>
                </a:glow>
              </a:effectLst>
            </c:spPr>
            <c:extLst>
              <c:ext xmlns:c16="http://schemas.microsoft.com/office/drawing/2014/chart" uri="{C3380CC4-5D6E-409C-BE32-E72D297353CC}">
                <c16:uniqueId val="{00000004-A064-4192-85BF-4ED3CFC2E9ED}"/>
              </c:ext>
            </c:extLst>
          </c:dPt>
          <c:dPt>
            <c:idx val="3"/>
            <c:invertIfNegative val="0"/>
            <c:bubble3D val="0"/>
            <c:spPr>
              <a:solidFill>
                <a:schemeClr val="accent6">
                  <a:lumMod val="60000"/>
                  <a:lumOff val="40000"/>
                </a:schemeClr>
              </a:solidFill>
              <a:ln>
                <a:noFill/>
              </a:ln>
              <a:effectLst>
                <a:glow rad="63500">
                  <a:schemeClr val="accent1">
                    <a:satMod val="175000"/>
                    <a:alpha val="40000"/>
                  </a:schemeClr>
                </a:glow>
              </a:effectLst>
            </c:spPr>
            <c:extLst>
              <c:ext xmlns:c16="http://schemas.microsoft.com/office/drawing/2014/chart" uri="{C3380CC4-5D6E-409C-BE32-E72D297353CC}">
                <c16:uniqueId val="{00000005-A064-4192-85BF-4ED3CFC2E9ED}"/>
              </c:ext>
            </c:extLst>
          </c:dPt>
          <c:dPt>
            <c:idx val="4"/>
            <c:invertIfNegative val="0"/>
            <c:bubble3D val="0"/>
            <c:spPr>
              <a:solidFill>
                <a:schemeClr val="accent3">
                  <a:lumMod val="75000"/>
                </a:schemeClr>
              </a:solidFill>
              <a:ln>
                <a:noFill/>
              </a:ln>
              <a:effectLst>
                <a:glow rad="63500">
                  <a:schemeClr val="accent1">
                    <a:satMod val="175000"/>
                    <a:alpha val="40000"/>
                  </a:schemeClr>
                </a:glow>
              </a:effectLst>
            </c:spPr>
            <c:extLst>
              <c:ext xmlns:c16="http://schemas.microsoft.com/office/drawing/2014/chart" uri="{C3380CC4-5D6E-409C-BE32-E72D297353CC}">
                <c16:uniqueId val="{00000006-A064-4192-85BF-4ED3CFC2E9ED}"/>
              </c:ext>
            </c:extLst>
          </c:dPt>
          <c:dPt>
            <c:idx val="5"/>
            <c:invertIfNegative val="0"/>
            <c:bubble3D val="0"/>
            <c:spPr>
              <a:solidFill>
                <a:schemeClr val="accent4">
                  <a:lumMod val="20000"/>
                  <a:lumOff val="80000"/>
                </a:schemeClr>
              </a:solidFill>
              <a:ln>
                <a:noFill/>
              </a:ln>
              <a:effectLst>
                <a:glow rad="63500">
                  <a:schemeClr val="accent1">
                    <a:satMod val="175000"/>
                    <a:alpha val="40000"/>
                  </a:schemeClr>
                </a:glow>
              </a:effectLst>
            </c:spPr>
            <c:extLst>
              <c:ext xmlns:c16="http://schemas.microsoft.com/office/drawing/2014/chart" uri="{C3380CC4-5D6E-409C-BE32-E72D297353CC}">
                <c16:uniqueId val="{00000007-A064-4192-85BF-4ED3CFC2E9ED}"/>
              </c:ext>
            </c:extLst>
          </c:dPt>
          <c:cat>
            <c:strRef>
              <c:f>ResumenSprint!$B$47:$B$52</c:f>
              <c:strCache>
                <c:ptCount val="6"/>
                <c:pt idx="0">
                  <c:v>Exitoso</c:v>
                </c:pt>
                <c:pt idx="1">
                  <c:v>Fallido</c:v>
                </c:pt>
                <c:pt idx="2">
                  <c:v>Pendiente</c:v>
                </c:pt>
                <c:pt idx="3">
                  <c:v>No se pudo Ejecutar</c:v>
                </c:pt>
                <c:pt idx="4">
                  <c:v>No Aplica</c:v>
                </c:pt>
                <c:pt idx="5">
                  <c:v>Total</c:v>
                </c:pt>
              </c:strCache>
            </c:strRef>
          </c:cat>
          <c:val>
            <c:numRef>
              <c:f>ResumenSprint!$D$47:$D$52</c:f>
              <c:numCache>
                <c:formatCode>General</c:formatCode>
                <c:ptCount val="6"/>
                <c:pt idx="0">
                  <c:v>26</c:v>
                </c:pt>
                <c:pt idx="1">
                  <c:v>0</c:v>
                </c:pt>
                <c:pt idx="2">
                  <c:v>0</c:v>
                </c:pt>
                <c:pt idx="3">
                  <c:v>0</c:v>
                </c:pt>
                <c:pt idx="4">
                  <c:v>0</c:v>
                </c:pt>
                <c:pt idx="5">
                  <c:v>26</c:v>
                </c:pt>
              </c:numCache>
            </c:numRef>
          </c:val>
          <c:extLst>
            <c:ext xmlns:c16="http://schemas.microsoft.com/office/drawing/2014/chart" uri="{C3380CC4-5D6E-409C-BE32-E72D297353CC}">
              <c16:uniqueId val="{00000001-A064-4192-85BF-4ED3CFC2E9ED}"/>
            </c:ext>
          </c:extLst>
        </c:ser>
        <c:dLbls>
          <c:showLegendKey val="0"/>
          <c:showVal val="0"/>
          <c:showCatName val="0"/>
          <c:showSerName val="0"/>
          <c:showPercent val="0"/>
          <c:showBubbleSize val="0"/>
        </c:dLbls>
        <c:gapWidth val="219"/>
        <c:overlap val="-27"/>
        <c:axId val="827920600"/>
        <c:axId val="827921912"/>
        <c:extLst>
          <c:ext xmlns:c15="http://schemas.microsoft.com/office/drawing/2012/chart" uri="{02D57815-91ED-43cb-92C2-25804820EDAC}">
            <c15:filteredBarSeries>
              <c15:ser>
                <c:idx val="0"/>
                <c:order val="0"/>
                <c:tx>
                  <c:strRef>
                    <c:extLst>
                      <c:ext uri="{02D57815-91ED-43cb-92C2-25804820EDAC}">
                        <c15:formulaRef>
                          <c15:sqref>ResumenSprint!$C$46</c15:sqref>
                        </c15:formulaRef>
                      </c:ext>
                    </c:extLst>
                    <c:strCache>
                      <c:ptCount val="1"/>
                    </c:strCache>
                  </c:strRef>
                </c:tx>
                <c:spPr>
                  <a:solidFill>
                    <a:schemeClr val="accent1"/>
                  </a:solidFill>
                  <a:ln>
                    <a:noFill/>
                  </a:ln>
                  <a:effectLst/>
                </c:spPr>
                <c:invertIfNegative val="0"/>
                <c:cat>
                  <c:strRef>
                    <c:extLst>
                      <c:ext uri="{02D57815-91ED-43cb-92C2-25804820EDAC}">
                        <c15:formulaRef>
                          <c15:sqref>ResumenSprint!$B$47:$B$52</c15:sqref>
                        </c15:formulaRef>
                      </c:ext>
                    </c:extLst>
                    <c:strCache>
                      <c:ptCount val="6"/>
                      <c:pt idx="0">
                        <c:v>Exitoso</c:v>
                      </c:pt>
                      <c:pt idx="1">
                        <c:v>Fallido</c:v>
                      </c:pt>
                      <c:pt idx="2">
                        <c:v>Pendiente</c:v>
                      </c:pt>
                      <c:pt idx="3">
                        <c:v>No se pudo Ejecutar</c:v>
                      </c:pt>
                      <c:pt idx="4">
                        <c:v>No Aplica</c:v>
                      </c:pt>
                      <c:pt idx="5">
                        <c:v>Total</c:v>
                      </c:pt>
                    </c:strCache>
                  </c:strRef>
                </c:cat>
                <c:val>
                  <c:numRef>
                    <c:extLst>
                      <c:ext uri="{02D57815-91ED-43cb-92C2-25804820EDAC}">
                        <c15:formulaRef>
                          <c15:sqref>ResumenSprint!$C$47:$C$52</c15:sqref>
                        </c15:formulaRef>
                      </c:ext>
                    </c:extLst>
                    <c:numCache>
                      <c:formatCode>General</c:formatCode>
                      <c:ptCount val="6"/>
                    </c:numCache>
                  </c:numRef>
                </c:val>
                <c:extLst>
                  <c:ext xmlns:c16="http://schemas.microsoft.com/office/drawing/2014/chart" uri="{C3380CC4-5D6E-409C-BE32-E72D297353CC}">
                    <c16:uniqueId val="{00000000-A064-4192-85BF-4ED3CFC2E9ED}"/>
                  </c:ext>
                </c:extLst>
              </c15:ser>
            </c15:filteredBarSeries>
          </c:ext>
        </c:extLst>
      </c:barChart>
      <c:catAx>
        <c:axId val="827920600"/>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827921912"/>
        <c:crosses val="autoZero"/>
        <c:auto val="1"/>
        <c:lblAlgn val="ctr"/>
        <c:lblOffset val="100"/>
        <c:noMultiLvlLbl val="0"/>
      </c:catAx>
      <c:valAx>
        <c:axId val="827921912"/>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82792060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Ciclo 1 y Ciclo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1"/>
          <c:order val="1"/>
          <c:tx>
            <c:strRef>
              <c:f>ResumenSprint!$D$46</c:f>
              <c:strCache>
                <c:ptCount val="1"/>
                <c:pt idx="0">
                  <c:v>Ciclo 1</c:v>
                </c:pt>
              </c:strCache>
            </c:strRef>
          </c:tx>
          <c:spPr>
            <a:solidFill>
              <a:schemeClr val="accent2"/>
            </a:solidFill>
            <a:ln>
              <a:noFill/>
            </a:ln>
            <a:effectLst>
              <a:glow rad="63500">
                <a:schemeClr val="accent2">
                  <a:satMod val="175000"/>
                  <a:alpha val="40000"/>
                </a:schemeClr>
              </a:glow>
            </a:effectLst>
          </c:spPr>
          <c:invertIfNegative val="0"/>
          <c:cat>
            <c:strRef>
              <c:f>ResumenSprint!$B$47:$B$52</c:f>
              <c:strCache>
                <c:ptCount val="6"/>
                <c:pt idx="0">
                  <c:v>Exitoso</c:v>
                </c:pt>
                <c:pt idx="1">
                  <c:v>Fallido</c:v>
                </c:pt>
                <c:pt idx="2">
                  <c:v>Pendiente</c:v>
                </c:pt>
                <c:pt idx="3">
                  <c:v>No se pudo Ejecutar</c:v>
                </c:pt>
                <c:pt idx="4">
                  <c:v>No Aplica</c:v>
                </c:pt>
                <c:pt idx="5">
                  <c:v>Total</c:v>
                </c:pt>
              </c:strCache>
            </c:strRef>
          </c:cat>
          <c:val>
            <c:numRef>
              <c:f>ResumenSprint!$D$47:$D$52</c:f>
              <c:numCache>
                <c:formatCode>General</c:formatCode>
                <c:ptCount val="6"/>
                <c:pt idx="0">
                  <c:v>26</c:v>
                </c:pt>
                <c:pt idx="1">
                  <c:v>0</c:v>
                </c:pt>
                <c:pt idx="2">
                  <c:v>0</c:v>
                </c:pt>
                <c:pt idx="3">
                  <c:v>0</c:v>
                </c:pt>
                <c:pt idx="4">
                  <c:v>0</c:v>
                </c:pt>
                <c:pt idx="5">
                  <c:v>26</c:v>
                </c:pt>
              </c:numCache>
            </c:numRef>
          </c:val>
          <c:extLst>
            <c:ext xmlns:c16="http://schemas.microsoft.com/office/drawing/2014/chart" uri="{C3380CC4-5D6E-409C-BE32-E72D297353CC}">
              <c16:uniqueId val="{00000001-B33C-4B49-8275-9AE4B5A177DD}"/>
            </c:ext>
          </c:extLst>
        </c:ser>
        <c:ser>
          <c:idx val="2"/>
          <c:order val="2"/>
          <c:tx>
            <c:strRef>
              <c:f>ResumenSprint!$E$46</c:f>
              <c:strCache>
                <c:ptCount val="1"/>
                <c:pt idx="0">
                  <c:v>Ciclo 2</c:v>
                </c:pt>
              </c:strCache>
            </c:strRef>
          </c:tx>
          <c:spPr>
            <a:solidFill>
              <a:schemeClr val="accent6">
                <a:lumMod val="40000"/>
                <a:lumOff val="60000"/>
              </a:schemeClr>
            </a:solidFill>
            <a:ln>
              <a:noFill/>
            </a:ln>
            <a:effectLst>
              <a:glow rad="63500">
                <a:schemeClr val="accent1">
                  <a:satMod val="175000"/>
                  <a:alpha val="40000"/>
                </a:schemeClr>
              </a:glow>
            </a:effectLst>
          </c:spPr>
          <c:invertIfNegative val="0"/>
          <c:cat>
            <c:strRef>
              <c:f>ResumenSprint!$B$47:$B$52</c:f>
              <c:strCache>
                <c:ptCount val="6"/>
                <c:pt idx="0">
                  <c:v>Exitoso</c:v>
                </c:pt>
                <c:pt idx="1">
                  <c:v>Fallido</c:v>
                </c:pt>
                <c:pt idx="2">
                  <c:v>Pendiente</c:v>
                </c:pt>
                <c:pt idx="3">
                  <c:v>No se pudo Ejecutar</c:v>
                </c:pt>
                <c:pt idx="4">
                  <c:v>No Aplica</c:v>
                </c:pt>
                <c:pt idx="5">
                  <c:v>Total</c:v>
                </c:pt>
              </c:strCache>
            </c:strRef>
          </c:cat>
          <c:val>
            <c:numRef>
              <c:f>ResumenSprint!$E$47:$E$52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B33C-4B49-8275-9AE4B5A177DD}"/>
            </c:ext>
          </c:extLst>
        </c:ser>
        <c:dLbls>
          <c:showLegendKey val="0"/>
          <c:showVal val="0"/>
          <c:showCatName val="0"/>
          <c:showSerName val="0"/>
          <c:showPercent val="0"/>
          <c:showBubbleSize val="0"/>
        </c:dLbls>
        <c:gapWidth val="219"/>
        <c:overlap val="-27"/>
        <c:axId val="774458328"/>
        <c:axId val="774459968"/>
        <c:extLst>
          <c:ext xmlns:c15="http://schemas.microsoft.com/office/drawing/2012/chart" uri="{02D57815-91ED-43cb-92C2-25804820EDAC}">
            <c15:filteredBarSeries>
              <c15:ser>
                <c:idx val="0"/>
                <c:order val="0"/>
                <c:tx>
                  <c:strRef>
                    <c:extLst>
                      <c:ext uri="{02D57815-91ED-43cb-92C2-25804820EDAC}">
                        <c15:formulaRef>
                          <c15:sqref>ResumenSprint!$C$46</c15:sqref>
                        </c15:formulaRef>
                      </c:ext>
                    </c:extLst>
                    <c:strCache>
                      <c:ptCount val="1"/>
                    </c:strCache>
                  </c:strRef>
                </c:tx>
                <c:spPr>
                  <a:solidFill>
                    <a:schemeClr val="accent1"/>
                  </a:solidFill>
                  <a:ln>
                    <a:noFill/>
                  </a:ln>
                  <a:effectLst/>
                </c:spPr>
                <c:invertIfNegative val="0"/>
                <c:cat>
                  <c:strRef>
                    <c:extLst>
                      <c:ext uri="{02D57815-91ED-43cb-92C2-25804820EDAC}">
                        <c15:formulaRef>
                          <c15:sqref>ResumenSprint!$B$47:$B$52</c15:sqref>
                        </c15:formulaRef>
                      </c:ext>
                    </c:extLst>
                    <c:strCache>
                      <c:ptCount val="6"/>
                      <c:pt idx="0">
                        <c:v>Exitoso</c:v>
                      </c:pt>
                      <c:pt idx="1">
                        <c:v>Fallido</c:v>
                      </c:pt>
                      <c:pt idx="2">
                        <c:v>Pendiente</c:v>
                      </c:pt>
                      <c:pt idx="3">
                        <c:v>No se pudo Ejecutar</c:v>
                      </c:pt>
                      <c:pt idx="4">
                        <c:v>No Aplica</c:v>
                      </c:pt>
                      <c:pt idx="5">
                        <c:v>Total</c:v>
                      </c:pt>
                    </c:strCache>
                  </c:strRef>
                </c:cat>
                <c:val>
                  <c:numRef>
                    <c:extLst>
                      <c:ext uri="{02D57815-91ED-43cb-92C2-25804820EDAC}">
                        <c15:formulaRef>
                          <c15:sqref>ResumenSprint!$C$47:$C$52</c15:sqref>
                        </c15:formulaRef>
                      </c:ext>
                    </c:extLst>
                    <c:numCache>
                      <c:formatCode>General</c:formatCode>
                      <c:ptCount val="6"/>
                    </c:numCache>
                  </c:numRef>
                </c:val>
                <c:extLst>
                  <c:ext xmlns:c16="http://schemas.microsoft.com/office/drawing/2014/chart" uri="{C3380CC4-5D6E-409C-BE32-E72D297353CC}">
                    <c16:uniqueId val="{00000000-B33C-4B49-8275-9AE4B5A177DD}"/>
                  </c:ext>
                </c:extLst>
              </c15:ser>
            </c15:filteredBarSeries>
          </c:ext>
        </c:extLst>
      </c:barChart>
      <c:catAx>
        <c:axId val="774458328"/>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74459968"/>
        <c:crosses val="autoZero"/>
        <c:auto val="1"/>
        <c:lblAlgn val="ctr"/>
        <c:lblOffset val="100"/>
        <c:noMultiLvlLbl val="0"/>
      </c:catAx>
      <c:valAx>
        <c:axId val="774459968"/>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7445832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Ciclo 1 - Ciclo 2 - Ciclo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1"/>
          <c:order val="1"/>
          <c:tx>
            <c:strRef>
              <c:f>ResumenSprint!$D$46</c:f>
              <c:strCache>
                <c:ptCount val="1"/>
                <c:pt idx="0">
                  <c:v>Ciclo 1</c:v>
                </c:pt>
              </c:strCache>
            </c:strRef>
          </c:tx>
          <c:spPr>
            <a:solidFill>
              <a:schemeClr val="accent2"/>
            </a:solidFill>
            <a:ln>
              <a:noFill/>
            </a:ln>
            <a:effectLst>
              <a:glow rad="63500">
                <a:schemeClr val="accent6">
                  <a:satMod val="175000"/>
                  <a:alpha val="40000"/>
                </a:schemeClr>
              </a:glow>
            </a:effectLst>
          </c:spPr>
          <c:invertIfNegative val="0"/>
          <c:cat>
            <c:strRef>
              <c:f>ResumenSprint!$B$47:$B$52</c:f>
              <c:strCache>
                <c:ptCount val="6"/>
                <c:pt idx="0">
                  <c:v>Exitoso</c:v>
                </c:pt>
                <c:pt idx="1">
                  <c:v>Fallido</c:v>
                </c:pt>
                <c:pt idx="2">
                  <c:v>Pendiente</c:v>
                </c:pt>
                <c:pt idx="3">
                  <c:v>No se pudo Ejecutar</c:v>
                </c:pt>
                <c:pt idx="4">
                  <c:v>No Aplica</c:v>
                </c:pt>
                <c:pt idx="5">
                  <c:v>Total</c:v>
                </c:pt>
              </c:strCache>
            </c:strRef>
          </c:cat>
          <c:val>
            <c:numRef>
              <c:f>ResumenSprint!$D$47:$D$52</c:f>
              <c:numCache>
                <c:formatCode>General</c:formatCode>
                <c:ptCount val="6"/>
                <c:pt idx="0">
                  <c:v>26</c:v>
                </c:pt>
                <c:pt idx="1">
                  <c:v>0</c:v>
                </c:pt>
                <c:pt idx="2">
                  <c:v>0</c:v>
                </c:pt>
                <c:pt idx="3">
                  <c:v>0</c:v>
                </c:pt>
                <c:pt idx="4">
                  <c:v>0</c:v>
                </c:pt>
                <c:pt idx="5">
                  <c:v>26</c:v>
                </c:pt>
              </c:numCache>
            </c:numRef>
          </c:val>
          <c:extLst>
            <c:ext xmlns:c16="http://schemas.microsoft.com/office/drawing/2014/chart" uri="{C3380CC4-5D6E-409C-BE32-E72D297353CC}">
              <c16:uniqueId val="{00000001-C661-49BD-8C07-17E75E8B3A0B}"/>
            </c:ext>
          </c:extLst>
        </c:ser>
        <c:ser>
          <c:idx val="2"/>
          <c:order val="2"/>
          <c:tx>
            <c:strRef>
              <c:f>ResumenSprint!$E$46</c:f>
              <c:strCache>
                <c:ptCount val="1"/>
                <c:pt idx="0">
                  <c:v>Ciclo 2</c:v>
                </c:pt>
              </c:strCache>
            </c:strRef>
          </c:tx>
          <c:spPr>
            <a:solidFill>
              <a:schemeClr val="accent6">
                <a:lumMod val="40000"/>
                <a:lumOff val="60000"/>
              </a:schemeClr>
            </a:solidFill>
            <a:ln>
              <a:noFill/>
            </a:ln>
            <a:effectLst>
              <a:glow rad="63500">
                <a:schemeClr val="accent5">
                  <a:satMod val="175000"/>
                  <a:alpha val="40000"/>
                </a:schemeClr>
              </a:glow>
            </a:effectLst>
          </c:spPr>
          <c:invertIfNegative val="0"/>
          <c:cat>
            <c:strRef>
              <c:f>ResumenSprint!$B$47:$B$52</c:f>
              <c:strCache>
                <c:ptCount val="6"/>
                <c:pt idx="0">
                  <c:v>Exitoso</c:v>
                </c:pt>
                <c:pt idx="1">
                  <c:v>Fallido</c:v>
                </c:pt>
                <c:pt idx="2">
                  <c:v>Pendiente</c:v>
                </c:pt>
                <c:pt idx="3">
                  <c:v>No se pudo Ejecutar</c:v>
                </c:pt>
                <c:pt idx="4">
                  <c:v>No Aplica</c:v>
                </c:pt>
                <c:pt idx="5">
                  <c:v>Total</c:v>
                </c:pt>
              </c:strCache>
            </c:strRef>
          </c:cat>
          <c:val>
            <c:numRef>
              <c:f>ResumenSprint!$E$47:$E$52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C661-49BD-8C07-17E75E8B3A0B}"/>
            </c:ext>
          </c:extLst>
        </c:ser>
        <c:ser>
          <c:idx val="3"/>
          <c:order val="3"/>
          <c:tx>
            <c:strRef>
              <c:f>ResumenSprint!$F$46</c:f>
              <c:strCache>
                <c:ptCount val="1"/>
                <c:pt idx="0">
                  <c:v>Ciclo 3</c:v>
                </c:pt>
              </c:strCache>
            </c:strRef>
          </c:tx>
          <c:spPr>
            <a:solidFill>
              <a:schemeClr val="accent4"/>
            </a:solidFill>
            <a:ln>
              <a:noFill/>
            </a:ln>
            <a:effectLst>
              <a:glow rad="63500">
                <a:schemeClr val="accent4">
                  <a:satMod val="175000"/>
                  <a:alpha val="40000"/>
                </a:schemeClr>
              </a:glow>
            </a:effectLst>
          </c:spPr>
          <c:invertIfNegative val="0"/>
          <c:cat>
            <c:strRef>
              <c:f>ResumenSprint!$B$47:$B$52</c:f>
              <c:strCache>
                <c:ptCount val="6"/>
                <c:pt idx="0">
                  <c:v>Exitoso</c:v>
                </c:pt>
                <c:pt idx="1">
                  <c:v>Fallido</c:v>
                </c:pt>
                <c:pt idx="2">
                  <c:v>Pendiente</c:v>
                </c:pt>
                <c:pt idx="3">
                  <c:v>No se pudo Ejecutar</c:v>
                </c:pt>
                <c:pt idx="4">
                  <c:v>No Aplica</c:v>
                </c:pt>
                <c:pt idx="5">
                  <c:v>Total</c:v>
                </c:pt>
              </c:strCache>
            </c:strRef>
          </c:cat>
          <c:val>
            <c:numRef>
              <c:f>ResumenSprint!$F$47:$F$52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C661-49BD-8C07-17E75E8B3A0B}"/>
            </c:ext>
          </c:extLst>
        </c:ser>
        <c:dLbls>
          <c:showLegendKey val="0"/>
          <c:showVal val="0"/>
          <c:showCatName val="0"/>
          <c:showSerName val="0"/>
          <c:showPercent val="0"/>
          <c:showBubbleSize val="0"/>
        </c:dLbls>
        <c:gapWidth val="219"/>
        <c:overlap val="-27"/>
        <c:axId val="674068480"/>
        <c:axId val="674074056"/>
        <c:extLst>
          <c:ext xmlns:c15="http://schemas.microsoft.com/office/drawing/2012/chart" uri="{02D57815-91ED-43cb-92C2-25804820EDAC}">
            <c15:filteredBarSeries>
              <c15:ser>
                <c:idx val="0"/>
                <c:order val="0"/>
                <c:tx>
                  <c:strRef>
                    <c:extLst>
                      <c:ext uri="{02D57815-91ED-43cb-92C2-25804820EDAC}">
                        <c15:formulaRef>
                          <c15:sqref>ResumenSprint!$C$46</c15:sqref>
                        </c15:formulaRef>
                      </c:ext>
                    </c:extLst>
                    <c:strCache>
                      <c:ptCount val="1"/>
                    </c:strCache>
                  </c:strRef>
                </c:tx>
                <c:spPr>
                  <a:solidFill>
                    <a:schemeClr val="accent1"/>
                  </a:solidFill>
                  <a:ln>
                    <a:noFill/>
                  </a:ln>
                  <a:effectLst/>
                </c:spPr>
                <c:invertIfNegative val="0"/>
                <c:cat>
                  <c:strRef>
                    <c:extLst>
                      <c:ext uri="{02D57815-91ED-43cb-92C2-25804820EDAC}">
                        <c15:formulaRef>
                          <c15:sqref>ResumenSprint!$B$47:$B$52</c15:sqref>
                        </c15:formulaRef>
                      </c:ext>
                    </c:extLst>
                    <c:strCache>
                      <c:ptCount val="6"/>
                      <c:pt idx="0">
                        <c:v>Exitoso</c:v>
                      </c:pt>
                      <c:pt idx="1">
                        <c:v>Fallido</c:v>
                      </c:pt>
                      <c:pt idx="2">
                        <c:v>Pendiente</c:v>
                      </c:pt>
                      <c:pt idx="3">
                        <c:v>No se pudo Ejecutar</c:v>
                      </c:pt>
                      <c:pt idx="4">
                        <c:v>No Aplica</c:v>
                      </c:pt>
                      <c:pt idx="5">
                        <c:v>Total</c:v>
                      </c:pt>
                    </c:strCache>
                  </c:strRef>
                </c:cat>
                <c:val>
                  <c:numRef>
                    <c:extLst>
                      <c:ext uri="{02D57815-91ED-43cb-92C2-25804820EDAC}">
                        <c15:formulaRef>
                          <c15:sqref>ResumenSprint!$C$47:$C$52</c15:sqref>
                        </c15:formulaRef>
                      </c:ext>
                    </c:extLst>
                    <c:numCache>
                      <c:formatCode>General</c:formatCode>
                      <c:ptCount val="6"/>
                    </c:numCache>
                  </c:numRef>
                </c:val>
                <c:extLst>
                  <c:ext xmlns:c16="http://schemas.microsoft.com/office/drawing/2014/chart" uri="{C3380CC4-5D6E-409C-BE32-E72D297353CC}">
                    <c16:uniqueId val="{00000000-C661-49BD-8C07-17E75E8B3A0B}"/>
                  </c:ext>
                </c:extLst>
              </c15:ser>
            </c15:filteredBarSeries>
          </c:ext>
        </c:extLst>
      </c:barChart>
      <c:catAx>
        <c:axId val="674068480"/>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74074056"/>
        <c:crosses val="autoZero"/>
        <c:auto val="1"/>
        <c:lblAlgn val="ctr"/>
        <c:lblOffset val="100"/>
        <c:noMultiLvlLbl val="0"/>
      </c:catAx>
      <c:valAx>
        <c:axId val="674074056"/>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7406848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2"/>
          <c:order val="2"/>
          <c:tx>
            <c:strRef>
              <c:f>ResumenSprint!$E$64</c:f>
              <c:strCache>
                <c:ptCount val="1"/>
                <c:pt idx="0">
                  <c:v>Ciclo de Regresión</c:v>
                </c:pt>
              </c:strCache>
            </c:strRef>
          </c:tx>
          <c:spPr>
            <a:solidFill>
              <a:schemeClr val="accent3"/>
            </a:solidFill>
            <a:ln>
              <a:noFill/>
            </a:ln>
            <a:effectLst>
              <a:glow rad="63500">
                <a:schemeClr val="accent2">
                  <a:satMod val="175000"/>
                  <a:alpha val="40000"/>
                </a:schemeClr>
              </a:glow>
            </a:effectLst>
          </c:spPr>
          <c:invertIfNegative val="0"/>
          <c:dPt>
            <c:idx val="1"/>
            <c:invertIfNegative val="0"/>
            <c:bubble3D val="0"/>
            <c:spPr>
              <a:solidFill>
                <a:schemeClr val="accent2">
                  <a:lumMod val="75000"/>
                </a:schemeClr>
              </a:solidFill>
              <a:ln>
                <a:noFill/>
              </a:ln>
              <a:effectLst>
                <a:glow rad="63500">
                  <a:schemeClr val="accent2">
                    <a:satMod val="175000"/>
                    <a:alpha val="40000"/>
                  </a:schemeClr>
                </a:glow>
              </a:effectLst>
            </c:spPr>
            <c:extLst>
              <c:ext xmlns:c16="http://schemas.microsoft.com/office/drawing/2014/chart" uri="{C3380CC4-5D6E-409C-BE32-E72D297353CC}">
                <c16:uniqueId val="{00000005-5E94-49BB-ABFE-1D9CD804173B}"/>
              </c:ext>
            </c:extLst>
          </c:dPt>
          <c:dPt>
            <c:idx val="2"/>
            <c:invertIfNegative val="0"/>
            <c:bubble3D val="0"/>
            <c:spPr>
              <a:solidFill>
                <a:srgbClr val="FFFF00"/>
              </a:solidFill>
              <a:ln>
                <a:noFill/>
              </a:ln>
              <a:effectLst>
                <a:glow rad="63500">
                  <a:schemeClr val="accent2">
                    <a:satMod val="175000"/>
                    <a:alpha val="40000"/>
                  </a:schemeClr>
                </a:glow>
              </a:effectLst>
            </c:spPr>
            <c:extLst>
              <c:ext xmlns:c16="http://schemas.microsoft.com/office/drawing/2014/chart" uri="{C3380CC4-5D6E-409C-BE32-E72D297353CC}">
                <c16:uniqueId val="{00000006-5E94-49BB-ABFE-1D9CD804173B}"/>
              </c:ext>
            </c:extLst>
          </c:dPt>
          <c:dPt>
            <c:idx val="3"/>
            <c:invertIfNegative val="0"/>
            <c:bubble3D val="0"/>
            <c:spPr>
              <a:solidFill>
                <a:srgbClr val="92D050"/>
              </a:solidFill>
              <a:ln>
                <a:noFill/>
              </a:ln>
              <a:effectLst>
                <a:glow rad="63500">
                  <a:schemeClr val="accent2">
                    <a:satMod val="175000"/>
                    <a:alpha val="40000"/>
                  </a:schemeClr>
                </a:glow>
              </a:effectLst>
            </c:spPr>
            <c:extLst>
              <c:ext xmlns:c16="http://schemas.microsoft.com/office/drawing/2014/chart" uri="{C3380CC4-5D6E-409C-BE32-E72D297353CC}">
                <c16:uniqueId val="{00000007-5E94-49BB-ABFE-1D9CD804173B}"/>
              </c:ext>
            </c:extLst>
          </c:dPt>
          <c:dPt>
            <c:idx val="4"/>
            <c:invertIfNegative val="0"/>
            <c:bubble3D val="0"/>
            <c:spPr>
              <a:solidFill>
                <a:srgbClr val="FF0000"/>
              </a:solidFill>
              <a:ln>
                <a:noFill/>
              </a:ln>
              <a:effectLst>
                <a:glow rad="63500">
                  <a:schemeClr val="accent2">
                    <a:satMod val="175000"/>
                    <a:alpha val="40000"/>
                  </a:schemeClr>
                </a:glow>
              </a:effectLst>
            </c:spPr>
            <c:extLst>
              <c:ext xmlns:c16="http://schemas.microsoft.com/office/drawing/2014/chart" uri="{C3380CC4-5D6E-409C-BE32-E72D297353CC}">
                <c16:uniqueId val="{00000008-5E94-49BB-ABFE-1D9CD804173B}"/>
              </c:ext>
            </c:extLst>
          </c:dPt>
          <c:dPt>
            <c:idx val="5"/>
            <c:invertIfNegative val="0"/>
            <c:bubble3D val="0"/>
            <c:spPr>
              <a:solidFill>
                <a:srgbClr val="0000FF"/>
              </a:solidFill>
              <a:ln>
                <a:noFill/>
              </a:ln>
              <a:effectLst>
                <a:glow rad="63500">
                  <a:schemeClr val="accent2">
                    <a:satMod val="175000"/>
                    <a:alpha val="40000"/>
                  </a:schemeClr>
                </a:glow>
              </a:effectLst>
            </c:spPr>
            <c:extLst>
              <c:ext xmlns:c16="http://schemas.microsoft.com/office/drawing/2014/chart" uri="{C3380CC4-5D6E-409C-BE32-E72D297353CC}">
                <c16:uniqueId val="{00000009-5E94-49BB-ABFE-1D9CD804173B}"/>
              </c:ext>
            </c:extLst>
          </c:dPt>
          <c:cat>
            <c:strRef>
              <c:f>ResumenSprint!$B$65:$B$70</c:f>
              <c:strCache>
                <c:ptCount val="6"/>
                <c:pt idx="0">
                  <c:v>Exitoso</c:v>
                </c:pt>
                <c:pt idx="1">
                  <c:v>Fallido</c:v>
                </c:pt>
                <c:pt idx="2">
                  <c:v>Pendiente</c:v>
                </c:pt>
                <c:pt idx="3">
                  <c:v>No se pudo Ejecutar</c:v>
                </c:pt>
                <c:pt idx="4">
                  <c:v>No Aplica</c:v>
                </c:pt>
                <c:pt idx="5">
                  <c:v>Total</c:v>
                </c:pt>
              </c:strCache>
            </c:strRef>
          </c:cat>
          <c:val>
            <c:numRef>
              <c:f>ResumenSprint!$E$65:$E$70</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5E94-49BB-ABFE-1D9CD804173B}"/>
            </c:ext>
          </c:extLst>
        </c:ser>
        <c:dLbls>
          <c:showLegendKey val="0"/>
          <c:showVal val="0"/>
          <c:showCatName val="0"/>
          <c:showSerName val="0"/>
          <c:showPercent val="0"/>
          <c:showBubbleSize val="0"/>
        </c:dLbls>
        <c:gapWidth val="219"/>
        <c:overlap val="-27"/>
        <c:axId val="674073072"/>
        <c:axId val="674066512"/>
        <c:extLst>
          <c:ext xmlns:c15="http://schemas.microsoft.com/office/drawing/2012/chart" uri="{02D57815-91ED-43cb-92C2-25804820EDAC}">
            <c15:filteredBarSeries>
              <c15:ser>
                <c:idx val="0"/>
                <c:order val="0"/>
                <c:tx>
                  <c:strRef>
                    <c:extLst>
                      <c:ext uri="{02D57815-91ED-43cb-92C2-25804820EDAC}">
                        <c15:formulaRef>
                          <c15:sqref>ResumenSprint!$C$64</c15:sqref>
                        </c15:formulaRef>
                      </c:ext>
                    </c:extLst>
                    <c:strCache>
                      <c:ptCount val="1"/>
                    </c:strCache>
                  </c:strRef>
                </c:tx>
                <c:spPr>
                  <a:solidFill>
                    <a:schemeClr val="accent1"/>
                  </a:solidFill>
                  <a:ln>
                    <a:noFill/>
                  </a:ln>
                  <a:effectLst/>
                </c:spPr>
                <c:invertIfNegative val="0"/>
                <c:cat>
                  <c:strRef>
                    <c:extLst>
                      <c:ext uri="{02D57815-91ED-43cb-92C2-25804820EDAC}">
                        <c15:formulaRef>
                          <c15:sqref>ResumenSprint!$B$65:$B$70</c15:sqref>
                        </c15:formulaRef>
                      </c:ext>
                    </c:extLst>
                    <c:strCache>
                      <c:ptCount val="6"/>
                      <c:pt idx="0">
                        <c:v>Exitoso</c:v>
                      </c:pt>
                      <c:pt idx="1">
                        <c:v>Fallido</c:v>
                      </c:pt>
                      <c:pt idx="2">
                        <c:v>Pendiente</c:v>
                      </c:pt>
                      <c:pt idx="3">
                        <c:v>No se pudo Ejecutar</c:v>
                      </c:pt>
                      <c:pt idx="4">
                        <c:v>No Aplica</c:v>
                      </c:pt>
                      <c:pt idx="5">
                        <c:v>Total</c:v>
                      </c:pt>
                    </c:strCache>
                  </c:strRef>
                </c:cat>
                <c:val>
                  <c:numRef>
                    <c:extLst>
                      <c:ext uri="{02D57815-91ED-43cb-92C2-25804820EDAC}">
                        <c15:formulaRef>
                          <c15:sqref>ResumenSprint!$C$65:$C$70</c15:sqref>
                        </c15:formulaRef>
                      </c:ext>
                    </c:extLst>
                    <c:numCache>
                      <c:formatCode>General</c:formatCode>
                      <c:ptCount val="6"/>
                    </c:numCache>
                  </c:numRef>
                </c:val>
                <c:extLst>
                  <c:ext xmlns:c16="http://schemas.microsoft.com/office/drawing/2014/chart" uri="{C3380CC4-5D6E-409C-BE32-E72D297353CC}">
                    <c16:uniqueId val="{00000000-5E94-49BB-ABFE-1D9CD804173B}"/>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ResumenSprint!$D$64</c15:sqref>
                        </c15:formulaRef>
                      </c:ext>
                    </c:extLst>
                    <c:strCache>
                      <c:ptCount val="1"/>
                    </c:strCache>
                  </c:strRef>
                </c:tx>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ResumenSprint!$B$65:$B$70</c15:sqref>
                        </c15:formulaRef>
                      </c:ext>
                    </c:extLst>
                    <c:strCache>
                      <c:ptCount val="6"/>
                      <c:pt idx="0">
                        <c:v>Exitoso</c:v>
                      </c:pt>
                      <c:pt idx="1">
                        <c:v>Fallido</c:v>
                      </c:pt>
                      <c:pt idx="2">
                        <c:v>Pendiente</c:v>
                      </c:pt>
                      <c:pt idx="3">
                        <c:v>No se pudo Ejecutar</c:v>
                      </c:pt>
                      <c:pt idx="4">
                        <c:v>No Aplica</c:v>
                      </c:pt>
                      <c:pt idx="5">
                        <c:v>Total</c:v>
                      </c:pt>
                    </c:strCache>
                  </c:strRef>
                </c:cat>
                <c:val>
                  <c:numRef>
                    <c:extLst xmlns:c15="http://schemas.microsoft.com/office/drawing/2012/chart">
                      <c:ext xmlns:c15="http://schemas.microsoft.com/office/drawing/2012/chart" uri="{02D57815-91ED-43cb-92C2-25804820EDAC}">
                        <c15:formulaRef>
                          <c15:sqref>ResumenSprint!$D$65:$D$70</c15:sqref>
                        </c15:formulaRef>
                      </c:ext>
                    </c:extLst>
                    <c:numCache>
                      <c:formatCode>General</c:formatCode>
                      <c:ptCount val="6"/>
                    </c:numCache>
                  </c:numRef>
                </c:val>
                <c:extLst xmlns:c15="http://schemas.microsoft.com/office/drawing/2012/chart">
                  <c:ext xmlns:c16="http://schemas.microsoft.com/office/drawing/2014/chart" uri="{C3380CC4-5D6E-409C-BE32-E72D297353CC}">
                    <c16:uniqueId val="{00000001-5E94-49BB-ABFE-1D9CD804173B}"/>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ResumenSprint!$F$64</c15:sqref>
                        </c15:formulaRef>
                      </c:ext>
                    </c:extLst>
                    <c:strCache>
                      <c:ptCount val="1"/>
                    </c:strCache>
                  </c:strRef>
                </c:tx>
                <c:spPr>
                  <a:solidFill>
                    <a:schemeClr val="accent4"/>
                  </a:solidFill>
                  <a:ln>
                    <a:noFill/>
                  </a:ln>
                  <a:effectLst/>
                </c:spPr>
                <c:invertIfNegative val="0"/>
                <c:cat>
                  <c:strRef>
                    <c:extLst xmlns:c15="http://schemas.microsoft.com/office/drawing/2012/chart">
                      <c:ext xmlns:c15="http://schemas.microsoft.com/office/drawing/2012/chart" uri="{02D57815-91ED-43cb-92C2-25804820EDAC}">
                        <c15:formulaRef>
                          <c15:sqref>ResumenSprint!$B$65:$B$70</c15:sqref>
                        </c15:formulaRef>
                      </c:ext>
                    </c:extLst>
                    <c:strCache>
                      <c:ptCount val="6"/>
                      <c:pt idx="0">
                        <c:v>Exitoso</c:v>
                      </c:pt>
                      <c:pt idx="1">
                        <c:v>Fallido</c:v>
                      </c:pt>
                      <c:pt idx="2">
                        <c:v>Pendiente</c:v>
                      </c:pt>
                      <c:pt idx="3">
                        <c:v>No se pudo Ejecutar</c:v>
                      </c:pt>
                      <c:pt idx="4">
                        <c:v>No Aplica</c:v>
                      </c:pt>
                      <c:pt idx="5">
                        <c:v>Total</c:v>
                      </c:pt>
                    </c:strCache>
                  </c:strRef>
                </c:cat>
                <c:val>
                  <c:numRef>
                    <c:extLst xmlns:c15="http://schemas.microsoft.com/office/drawing/2012/chart">
                      <c:ext xmlns:c15="http://schemas.microsoft.com/office/drawing/2012/chart" uri="{02D57815-91ED-43cb-92C2-25804820EDAC}">
                        <c15:formulaRef>
                          <c15:sqref>ResumenSprint!$F$65:$F$70</c15:sqref>
                        </c15:formulaRef>
                      </c:ext>
                    </c:extLst>
                    <c:numCache>
                      <c:formatCode>General</c:formatCode>
                      <c:ptCount val="6"/>
                    </c:numCache>
                  </c:numRef>
                </c:val>
                <c:extLst xmlns:c15="http://schemas.microsoft.com/office/drawing/2012/chart">
                  <c:ext xmlns:c16="http://schemas.microsoft.com/office/drawing/2014/chart" uri="{C3380CC4-5D6E-409C-BE32-E72D297353CC}">
                    <c16:uniqueId val="{00000003-5E94-49BB-ABFE-1D9CD804173B}"/>
                  </c:ext>
                </c:extLst>
              </c15:ser>
            </c15:filteredBarSeries>
          </c:ext>
        </c:extLst>
      </c:barChart>
      <c:catAx>
        <c:axId val="674073072"/>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74066512"/>
        <c:crosses val="autoZero"/>
        <c:auto val="1"/>
        <c:lblAlgn val="ctr"/>
        <c:lblOffset val="100"/>
        <c:noMultiLvlLbl val="0"/>
      </c:catAx>
      <c:valAx>
        <c:axId val="674066512"/>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7407307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Estados</a:t>
            </a:r>
            <a:r>
              <a:rPr lang="en-US" baseline="0"/>
              <a:t> de los Bugs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2"/>
          <c:order val="2"/>
          <c:tx>
            <c:strRef>
              <c:f>ResumenSprint!$E$82</c:f>
              <c:strCache>
                <c:ptCount val="1"/>
                <c:pt idx="0">
                  <c:v>Totales</c:v>
                </c:pt>
              </c:strCache>
            </c:strRef>
          </c:tx>
          <c:spPr>
            <a:solidFill>
              <a:schemeClr val="accent3"/>
            </a:solidFill>
            <a:ln>
              <a:noFill/>
            </a:ln>
            <a:effectLst>
              <a:glow rad="63500">
                <a:schemeClr val="accent2">
                  <a:satMod val="175000"/>
                  <a:alpha val="40000"/>
                </a:schemeClr>
              </a:glow>
            </a:effectLst>
          </c:spPr>
          <c:invertIfNegative val="0"/>
          <c:dPt>
            <c:idx val="0"/>
            <c:invertIfNegative val="0"/>
            <c:bubble3D val="0"/>
            <c:spPr>
              <a:solidFill>
                <a:srgbClr val="FFFF00"/>
              </a:solidFill>
              <a:ln>
                <a:noFill/>
              </a:ln>
              <a:effectLst>
                <a:glow rad="63500">
                  <a:schemeClr val="accent2">
                    <a:satMod val="175000"/>
                    <a:alpha val="40000"/>
                  </a:schemeClr>
                </a:glow>
              </a:effectLst>
            </c:spPr>
            <c:extLst>
              <c:ext xmlns:c16="http://schemas.microsoft.com/office/drawing/2014/chart" uri="{C3380CC4-5D6E-409C-BE32-E72D297353CC}">
                <c16:uniqueId val="{00000004-3EB6-45CF-88BB-55564655A30A}"/>
              </c:ext>
            </c:extLst>
          </c:dPt>
          <c:dPt>
            <c:idx val="1"/>
            <c:invertIfNegative val="0"/>
            <c:bubble3D val="0"/>
            <c:spPr>
              <a:solidFill>
                <a:srgbClr val="3366FF"/>
              </a:solidFill>
              <a:ln>
                <a:noFill/>
              </a:ln>
              <a:effectLst>
                <a:glow rad="63500">
                  <a:schemeClr val="accent2">
                    <a:satMod val="175000"/>
                    <a:alpha val="40000"/>
                  </a:schemeClr>
                </a:glow>
              </a:effectLst>
            </c:spPr>
            <c:extLst>
              <c:ext xmlns:c16="http://schemas.microsoft.com/office/drawing/2014/chart" uri="{C3380CC4-5D6E-409C-BE32-E72D297353CC}">
                <c16:uniqueId val="{00000005-3EB6-45CF-88BB-55564655A30A}"/>
              </c:ext>
            </c:extLst>
          </c:dPt>
          <c:dPt>
            <c:idx val="2"/>
            <c:invertIfNegative val="0"/>
            <c:bubble3D val="0"/>
            <c:spPr>
              <a:solidFill>
                <a:srgbClr val="FF0000"/>
              </a:solidFill>
              <a:ln>
                <a:noFill/>
              </a:ln>
              <a:effectLst>
                <a:glow rad="63500">
                  <a:schemeClr val="accent2">
                    <a:satMod val="175000"/>
                    <a:alpha val="40000"/>
                  </a:schemeClr>
                </a:glow>
              </a:effectLst>
            </c:spPr>
            <c:extLst>
              <c:ext xmlns:c16="http://schemas.microsoft.com/office/drawing/2014/chart" uri="{C3380CC4-5D6E-409C-BE32-E72D297353CC}">
                <c16:uniqueId val="{00000006-3EB6-45CF-88BB-55564655A30A}"/>
              </c:ext>
            </c:extLst>
          </c:dPt>
          <c:dPt>
            <c:idx val="3"/>
            <c:invertIfNegative val="0"/>
            <c:bubble3D val="0"/>
            <c:spPr>
              <a:solidFill>
                <a:schemeClr val="accent2">
                  <a:lumMod val="75000"/>
                </a:schemeClr>
              </a:solidFill>
              <a:ln>
                <a:noFill/>
              </a:ln>
              <a:effectLst>
                <a:glow rad="63500">
                  <a:schemeClr val="accent2">
                    <a:satMod val="175000"/>
                    <a:alpha val="40000"/>
                  </a:schemeClr>
                </a:glow>
              </a:effectLst>
            </c:spPr>
            <c:extLst>
              <c:ext xmlns:c16="http://schemas.microsoft.com/office/drawing/2014/chart" uri="{C3380CC4-5D6E-409C-BE32-E72D297353CC}">
                <c16:uniqueId val="{00000007-3EB6-45CF-88BB-55564655A30A}"/>
              </c:ext>
            </c:extLst>
          </c:dPt>
          <c:dPt>
            <c:idx val="4"/>
            <c:invertIfNegative val="0"/>
            <c:bubble3D val="0"/>
            <c:spPr>
              <a:solidFill>
                <a:schemeClr val="accent6">
                  <a:lumMod val="75000"/>
                </a:schemeClr>
              </a:solidFill>
              <a:ln>
                <a:noFill/>
              </a:ln>
              <a:effectLst>
                <a:glow rad="63500">
                  <a:schemeClr val="accent2">
                    <a:satMod val="175000"/>
                    <a:alpha val="40000"/>
                  </a:schemeClr>
                </a:glow>
              </a:effectLst>
            </c:spPr>
            <c:extLst>
              <c:ext xmlns:c16="http://schemas.microsoft.com/office/drawing/2014/chart" uri="{C3380CC4-5D6E-409C-BE32-E72D297353CC}">
                <c16:uniqueId val="{00000008-3EB6-45CF-88BB-55564655A30A}"/>
              </c:ext>
            </c:extLst>
          </c:dPt>
          <c:dPt>
            <c:idx val="5"/>
            <c:invertIfNegative val="0"/>
            <c:bubble3D val="0"/>
            <c:spPr>
              <a:solidFill>
                <a:srgbClr val="002060"/>
              </a:solidFill>
              <a:ln>
                <a:noFill/>
              </a:ln>
              <a:effectLst>
                <a:glow rad="63500">
                  <a:schemeClr val="accent2">
                    <a:satMod val="175000"/>
                    <a:alpha val="40000"/>
                  </a:schemeClr>
                </a:glow>
              </a:effectLst>
            </c:spPr>
            <c:extLst>
              <c:ext xmlns:c16="http://schemas.microsoft.com/office/drawing/2014/chart" uri="{C3380CC4-5D6E-409C-BE32-E72D297353CC}">
                <c16:uniqueId val="{00000009-3EB6-45CF-88BB-55564655A30A}"/>
              </c:ext>
            </c:extLst>
          </c:dPt>
          <c:cat>
            <c:strRef>
              <c:f>ResumenSprint!$B$83:$B$88</c:f>
              <c:strCache>
                <c:ptCount val="6"/>
                <c:pt idx="0">
                  <c:v>Abierto</c:v>
                </c:pt>
                <c:pt idx="1">
                  <c:v>Asignado</c:v>
                </c:pt>
                <c:pt idx="2">
                  <c:v>Solucionado</c:v>
                </c:pt>
                <c:pt idx="3">
                  <c:v>Reabierto</c:v>
                </c:pt>
                <c:pt idx="4">
                  <c:v>Cerrado</c:v>
                </c:pt>
                <c:pt idx="5">
                  <c:v>Total</c:v>
                </c:pt>
              </c:strCache>
            </c:strRef>
          </c:cat>
          <c:val>
            <c:numRef>
              <c:f>ResumenSprint!$E$83:$E$88</c:f>
              <c:numCache>
                <c:formatCode>General</c:formatCode>
                <c:ptCount val="6"/>
                <c:pt idx="0">
                  <c:v>5</c:v>
                </c:pt>
                <c:pt idx="1">
                  <c:v>0</c:v>
                </c:pt>
                <c:pt idx="2">
                  <c:v>0</c:v>
                </c:pt>
                <c:pt idx="3">
                  <c:v>0</c:v>
                </c:pt>
                <c:pt idx="4">
                  <c:v>0</c:v>
                </c:pt>
                <c:pt idx="5">
                  <c:v>5</c:v>
                </c:pt>
              </c:numCache>
            </c:numRef>
          </c:val>
          <c:extLst>
            <c:ext xmlns:c16="http://schemas.microsoft.com/office/drawing/2014/chart" uri="{C3380CC4-5D6E-409C-BE32-E72D297353CC}">
              <c16:uniqueId val="{00000002-3EB6-45CF-88BB-55564655A30A}"/>
            </c:ext>
          </c:extLst>
        </c:ser>
        <c:dLbls>
          <c:showLegendKey val="0"/>
          <c:showVal val="0"/>
          <c:showCatName val="0"/>
          <c:showSerName val="0"/>
          <c:showPercent val="0"/>
          <c:showBubbleSize val="0"/>
        </c:dLbls>
        <c:gapWidth val="219"/>
        <c:overlap val="-27"/>
        <c:axId val="774456360"/>
        <c:axId val="774465544"/>
        <c:extLst>
          <c:ext xmlns:c15="http://schemas.microsoft.com/office/drawing/2012/chart" uri="{02D57815-91ED-43cb-92C2-25804820EDAC}">
            <c15:filteredBarSeries>
              <c15:ser>
                <c:idx val="0"/>
                <c:order val="0"/>
                <c:tx>
                  <c:strRef>
                    <c:extLst>
                      <c:ext uri="{02D57815-91ED-43cb-92C2-25804820EDAC}">
                        <c15:formulaRef>
                          <c15:sqref>ResumenSprint!$C$82</c15:sqref>
                        </c15:formulaRef>
                      </c:ext>
                    </c:extLst>
                    <c:strCache>
                      <c:ptCount val="1"/>
                    </c:strCache>
                  </c:strRef>
                </c:tx>
                <c:spPr>
                  <a:solidFill>
                    <a:schemeClr val="accent1"/>
                  </a:solidFill>
                  <a:ln>
                    <a:noFill/>
                  </a:ln>
                  <a:effectLst/>
                </c:spPr>
                <c:invertIfNegative val="0"/>
                <c:cat>
                  <c:strRef>
                    <c:extLst>
                      <c:ext uri="{02D57815-91ED-43cb-92C2-25804820EDAC}">
                        <c15:formulaRef>
                          <c15:sqref>ResumenSprint!$B$83:$B$88</c15:sqref>
                        </c15:formulaRef>
                      </c:ext>
                    </c:extLst>
                    <c:strCache>
                      <c:ptCount val="6"/>
                      <c:pt idx="0">
                        <c:v>Abierto</c:v>
                      </c:pt>
                      <c:pt idx="1">
                        <c:v>Asignado</c:v>
                      </c:pt>
                      <c:pt idx="2">
                        <c:v>Solucionado</c:v>
                      </c:pt>
                      <c:pt idx="3">
                        <c:v>Reabierto</c:v>
                      </c:pt>
                      <c:pt idx="4">
                        <c:v>Cerrado</c:v>
                      </c:pt>
                      <c:pt idx="5">
                        <c:v>Total</c:v>
                      </c:pt>
                    </c:strCache>
                  </c:strRef>
                </c:cat>
                <c:val>
                  <c:numRef>
                    <c:extLst>
                      <c:ext uri="{02D57815-91ED-43cb-92C2-25804820EDAC}">
                        <c15:formulaRef>
                          <c15:sqref>ResumenSprint!$C$83:$C$88</c15:sqref>
                        </c15:formulaRef>
                      </c:ext>
                    </c:extLst>
                    <c:numCache>
                      <c:formatCode>General</c:formatCode>
                      <c:ptCount val="6"/>
                    </c:numCache>
                  </c:numRef>
                </c:val>
                <c:extLst>
                  <c:ext xmlns:c16="http://schemas.microsoft.com/office/drawing/2014/chart" uri="{C3380CC4-5D6E-409C-BE32-E72D297353CC}">
                    <c16:uniqueId val="{00000000-3EB6-45CF-88BB-55564655A30A}"/>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ResumenSprint!$D$82</c15:sqref>
                        </c15:formulaRef>
                      </c:ext>
                    </c:extLst>
                    <c:strCache>
                      <c:ptCount val="1"/>
                    </c:strCache>
                  </c:strRef>
                </c:tx>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ResumenSprint!$B$83:$B$88</c15:sqref>
                        </c15:formulaRef>
                      </c:ext>
                    </c:extLst>
                    <c:strCache>
                      <c:ptCount val="6"/>
                      <c:pt idx="0">
                        <c:v>Abierto</c:v>
                      </c:pt>
                      <c:pt idx="1">
                        <c:v>Asignado</c:v>
                      </c:pt>
                      <c:pt idx="2">
                        <c:v>Solucionado</c:v>
                      </c:pt>
                      <c:pt idx="3">
                        <c:v>Reabierto</c:v>
                      </c:pt>
                      <c:pt idx="4">
                        <c:v>Cerrado</c:v>
                      </c:pt>
                      <c:pt idx="5">
                        <c:v>Total</c:v>
                      </c:pt>
                    </c:strCache>
                  </c:strRef>
                </c:cat>
                <c:val>
                  <c:numRef>
                    <c:extLst xmlns:c15="http://schemas.microsoft.com/office/drawing/2012/chart">
                      <c:ext xmlns:c15="http://schemas.microsoft.com/office/drawing/2012/chart" uri="{02D57815-91ED-43cb-92C2-25804820EDAC}">
                        <c15:formulaRef>
                          <c15:sqref>ResumenSprint!$D$83:$D$88</c15:sqref>
                        </c15:formulaRef>
                      </c:ext>
                    </c:extLst>
                    <c:numCache>
                      <c:formatCode>General</c:formatCode>
                      <c:ptCount val="6"/>
                    </c:numCache>
                  </c:numRef>
                </c:val>
                <c:extLst xmlns:c15="http://schemas.microsoft.com/office/drawing/2012/chart">
                  <c:ext xmlns:c16="http://schemas.microsoft.com/office/drawing/2014/chart" uri="{C3380CC4-5D6E-409C-BE32-E72D297353CC}">
                    <c16:uniqueId val="{00000001-3EB6-45CF-88BB-55564655A30A}"/>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ResumenSprint!$F$82</c15:sqref>
                        </c15:formulaRef>
                      </c:ext>
                    </c:extLst>
                    <c:strCache>
                      <c:ptCount val="1"/>
                    </c:strCache>
                  </c:strRef>
                </c:tx>
                <c:spPr>
                  <a:solidFill>
                    <a:schemeClr val="accent4"/>
                  </a:solidFill>
                  <a:ln>
                    <a:noFill/>
                  </a:ln>
                  <a:effectLst/>
                </c:spPr>
                <c:invertIfNegative val="0"/>
                <c:cat>
                  <c:strRef>
                    <c:extLst xmlns:c15="http://schemas.microsoft.com/office/drawing/2012/chart">
                      <c:ext xmlns:c15="http://schemas.microsoft.com/office/drawing/2012/chart" uri="{02D57815-91ED-43cb-92C2-25804820EDAC}">
                        <c15:formulaRef>
                          <c15:sqref>ResumenSprint!$B$83:$B$88</c15:sqref>
                        </c15:formulaRef>
                      </c:ext>
                    </c:extLst>
                    <c:strCache>
                      <c:ptCount val="6"/>
                      <c:pt idx="0">
                        <c:v>Abierto</c:v>
                      </c:pt>
                      <c:pt idx="1">
                        <c:v>Asignado</c:v>
                      </c:pt>
                      <c:pt idx="2">
                        <c:v>Solucionado</c:v>
                      </c:pt>
                      <c:pt idx="3">
                        <c:v>Reabierto</c:v>
                      </c:pt>
                      <c:pt idx="4">
                        <c:v>Cerrado</c:v>
                      </c:pt>
                      <c:pt idx="5">
                        <c:v>Total</c:v>
                      </c:pt>
                    </c:strCache>
                  </c:strRef>
                </c:cat>
                <c:val>
                  <c:numRef>
                    <c:extLst xmlns:c15="http://schemas.microsoft.com/office/drawing/2012/chart">
                      <c:ext xmlns:c15="http://schemas.microsoft.com/office/drawing/2012/chart" uri="{02D57815-91ED-43cb-92C2-25804820EDAC}">
                        <c15:formulaRef>
                          <c15:sqref>ResumenSprint!$F$83:$F$88</c15:sqref>
                        </c15:formulaRef>
                      </c:ext>
                    </c:extLst>
                    <c:numCache>
                      <c:formatCode>General</c:formatCode>
                      <c:ptCount val="6"/>
                    </c:numCache>
                  </c:numRef>
                </c:val>
                <c:extLst xmlns:c15="http://schemas.microsoft.com/office/drawing/2012/chart">
                  <c:ext xmlns:c16="http://schemas.microsoft.com/office/drawing/2014/chart" uri="{C3380CC4-5D6E-409C-BE32-E72D297353CC}">
                    <c16:uniqueId val="{00000003-3EB6-45CF-88BB-55564655A30A}"/>
                  </c:ext>
                </c:extLst>
              </c15:ser>
            </c15:filteredBarSeries>
          </c:ext>
        </c:extLst>
      </c:barChart>
      <c:catAx>
        <c:axId val="774456360"/>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74465544"/>
        <c:crosses val="autoZero"/>
        <c:auto val="1"/>
        <c:lblAlgn val="ctr"/>
        <c:lblOffset val="100"/>
        <c:noMultiLvlLbl val="0"/>
      </c:catAx>
      <c:valAx>
        <c:axId val="774465544"/>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7445636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Bug</a:t>
            </a:r>
            <a:r>
              <a:rPr lang="en-US" baseline="0"/>
              <a:t> Por Resolución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2"/>
          <c:order val="2"/>
          <c:tx>
            <c:strRef>
              <c:f>ResumenSprint!$E$100</c:f>
              <c:strCache>
                <c:ptCount val="1"/>
                <c:pt idx="0">
                  <c:v>Total</c:v>
                </c:pt>
              </c:strCache>
            </c:strRef>
          </c:tx>
          <c:spPr>
            <a:solidFill>
              <a:schemeClr val="accent3"/>
            </a:solidFill>
            <a:ln>
              <a:noFill/>
            </a:ln>
            <a:effectLst>
              <a:glow rad="63500">
                <a:schemeClr val="accent2">
                  <a:satMod val="175000"/>
                  <a:alpha val="40000"/>
                </a:schemeClr>
              </a:glow>
            </a:effectLst>
          </c:spPr>
          <c:invertIfNegative val="0"/>
          <c:dPt>
            <c:idx val="0"/>
            <c:invertIfNegative val="0"/>
            <c:bubble3D val="0"/>
            <c:spPr>
              <a:solidFill>
                <a:srgbClr val="FFFF00"/>
              </a:solidFill>
              <a:ln>
                <a:noFill/>
              </a:ln>
              <a:effectLst>
                <a:glow rad="63500">
                  <a:schemeClr val="accent2">
                    <a:satMod val="175000"/>
                    <a:alpha val="40000"/>
                  </a:schemeClr>
                </a:glow>
              </a:effectLst>
            </c:spPr>
            <c:extLst>
              <c:ext xmlns:c16="http://schemas.microsoft.com/office/drawing/2014/chart" uri="{C3380CC4-5D6E-409C-BE32-E72D297353CC}">
                <c16:uniqueId val="{00000004-C5A0-4EF5-91B2-1FC0F282E5C0}"/>
              </c:ext>
            </c:extLst>
          </c:dPt>
          <c:dPt>
            <c:idx val="1"/>
            <c:invertIfNegative val="0"/>
            <c:bubble3D val="0"/>
            <c:spPr>
              <a:solidFill>
                <a:schemeClr val="accent2">
                  <a:lumMod val="75000"/>
                </a:schemeClr>
              </a:solidFill>
              <a:ln>
                <a:noFill/>
              </a:ln>
              <a:effectLst>
                <a:glow rad="63500">
                  <a:schemeClr val="accent2">
                    <a:satMod val="175000"/>
                    <a:alpha val="40000"/>
                  </a:schemeClr>
                </a:glow>
              </a:effectLst>
            </c:spPr>
            <c:extLst>
              <c:ext xmlns:c16="http://schemas.microsoft.com/office/drawing/2014/chart" uri="{C3380CC4-5D6E-409C-BE32-E72D297353CC}">
                <c16:uniqueId val="{00000005-C5A0-4EF5-91B2-1FC0F282E5C0}"/>
              </c:ext>
            </c:extLst>
          </c:dPt>
          <c:dPt>
            <c:idx val="2"/>
            <c:invertIfNegative val="0"/>
            <c:bubble3D val="0"/>
            <c:spPr>
              <a:solidFill>
                <a:srgbClr val="FF0000"/>
              </a:solidFill>
              <a:ln>
                <a:noFill/>
              </a:ln>
              <a:effectLst>
                <a:glow rad="63500">
                  <a:schemeClr val="accent2">
                    <a:satMod val="175000"/>
                    <a:alpha val="40000"/>
                  </a:schemeClr>
                </a:glow>
              </a:effectLst>
            </c:spPr>
            <c:extLst>
              <c:ext xmlns:c16="http://schemas.microsoft.com/office/drawing/2014/chart" uri="{C3380CC4-5D6E-409C-BE32-E72D297353CC}">
                <c16:uniqueId val="{00000006-C5A0-4EF5-91B2-1FC0F282E5C0}"/>
              </c:ext>
            </c:extLst>
          </c:dPt>
          <c:dPt>
            <c:idx val="3"/>
            <c:invertIfNegative val="0"/>
            <c:bubble3D val="0"/>
            <c:spPr>
              <a:solidFill>
                <a:schemeClr val="accent5">
                  <a:lumMod val="75000"/>
                </a:schemeClr>
              </a:solidFill>
              <a:ln>
                <a:noFill/>
              </a:ln>
              <a:effectLst>
                <a:glow rad="63500">
                  <a:schemeClr val="accent2">
                    <a:satMod val="175000"/>
                    <a:alpha val="40000"/>
                  </a:schemeClr>
                </a:glow>
              </a:effectLst>
            </c:spPr>
            <c:extLst>
              <c:ext xmlns:c16="http://schemas.microsoft.com/office/drawing/2014/chart" uri="{C3380CC4-5D6E-409C-BE32-E72D297353CC}">
                <c16:uniqueId val="{00000007-C5A0-4EF5-91B2-1FC0F282E5C0}"/>
              </c:ext>
            </c:extLst>
          </c:dPt>
          <c:dPt>
            <c:idx val="4"/>
            <c:invertIfNegative val="0"/>
            <c:bubble3D val="0"/>
            <c:spPr>
              <a:solidFill>
                <a:schemeClr val="tx1">
                  <a:lumMod val="50000"/>
                  <a:lumOff val="50000"/>
                </a:schemeClr>
              </a:solidFill>
              <a:ln>
                <a:noFill/>
              </a:ln>
              <a:effectLst>
                <a:glow rad="63500">
                  <a:schemeClr val="accent2">
                    <a:satMod val="175000"/>
                    <a:alpha val="40000"/>
                  </a:schemeClr>
                </a:glow>
              </a:effectLst>
            </c:spPr>
            <c:extLst>
              <c:ext xmlns:c16="http://schemas.microsoft.com/office/drawing/2014/chart" uri="{C3380CC4-5D6E-409C-BE32-E72D297353CC}">
                <c16:uniqueId val="{00000008-C5A0-4EF5-91B2-1FC0F282E5C0}"/>
              </c:ext>
            </c:extLst>
          </c:dPt>
          <c:dPt>
            <c:idx val="5"/>
            <c:invertIfNegative val="0"/>
            <c:bubble3D val="0"/>
            <c:spPr>
              <a:solidFill>
                <a:schemeClr val="accent4">
                  <a:lumMod val="60000"/>
                  <a:lumOff val="40000"/>
                </a:schemeClr>
              </a:solidFill>
              <a:ln>
                <a:noFill/>
              </a:ln>
              <a:effectLst>
                <a:glow rad="63500">
                  <a:schemeClr val="accent2">
                    <a:satMod val="175000"/>
                    <a:alpha val="40000"/>
                  </a:schemeClr>
                </a:glow>
              </a:effectLst>
            </c:spPr>
            <c:extLst>
              <c:ext xmlns:c16="http://schemas.microsoft.com/office/drawing/2014/chart" uri="{C3380CC4-5D6E-409C-BE32-E72D297353CC}">
                <c16:uniqueId val="{00000009-C5A0-4EF5-91B2-1FC0F282E5C0}"/>
              </c:ext>
            </c:extLst>
          </c:dPt>
          <c:cat>
            <c:strRef>
              <c:f>ResumenSprint!$B$101:$B$106</c:f>
              <c:strCache>
                <c:ptCount val="6"/>
                <c:pt idx="0">
                  <c:v>No Aplica</c:v>
                </c:pt>
                <c:pt idx="1">
                  <c:v>Duplicado</c:v>
                </c:pt>
                <c:pt idx="2">
                  <c:v>No se pudo reproducir</c:v>
                </c:pt>
                <c:pt idx="3">
                  <c:v>Verificado</c:v>
                </c:pt>
                <c:pt idx="4">
                  <c:v>Proxima Versión</c:v>
                </c:pt>
                <c:pt idx="5">
                  <c:v>Total Bug por Resolución</c:v>
                </c:pt>
              </c:strCache>
            </c:strRef>
          </c:cat>
          <c:val>
            <c:numRef>
              <c:f>ResumenSprint!$E$101:$E$106</c:f>
              <c:numCache>
                <c:formatCode>General</c:formatCode>
                <c:ptCount val="6"/>
                <c:pt idx="0">
                  <c:v>5</c:v>
                </c:pt>
                <c:pt idx="1">
                  <c:v>0</c:v>
                </c:pt>
                <c:pt idx="2">
                  <c:v>0</c:v>
                </c:pt>
                <c:pt idx="3">
                  <c:v>0</c:v>
                </c:pt>
                <c:pt idx="4">
                  <c:v>0</c:v>
                </c:pt>
                <c:pt idx="5">
                  <c:v>5</c:v>
                </c:pt>
              </c:numCache>
            </c:numRef>
          </c:val>
          <c:extLst>
            <c:ext xmlns:c16="http://schemas.microsoft.com/office/drawing/2014/chart" uri="{C3380CC4-5D6E-409C-BE32-E72D297353CC}">
              <c16:uniqueId val="{00000002-C5A0-4EF5-91B2-1FC0F282E5C0}"/>
            </c:ext>
          </c:extLst>
        </c:ser>
        <c:dLbls>
          <c:showLegendKey val="0"/>
          <c:showVal val="0"/>
          <c:showCatName val="0"/>
          <c:showSerName val="0"/>
          <c:showPercent val="0"/>
          <c:showBubbleSize val="0"/>
        </c:dLbls>
        <c:gapWidth val="219"/>
        <c:overlap val="-27"/>
        <c:axId val="660651280"/>
        <c:axId val="660652592"/>
        <c:extLst>
          <c:ext xmlns:c15="http://schemas.microsoft.com/office/drawing/2012/chart" uri="{02D57815-91ED-43cb-92C2-25804820EDAC}">
            <c15:filteredBarSeries>
              <c15:ser>
                <c:idx val="0"/>
                <c:order val="0"/>
                <c:tx>
                  <c:strRef>
                    <c:extLst>
                      <c:ext uri="{02D57815-91ED-43cb-92C2-25804820EDAC}">
                        <c15:formulaRef>
                          <c15:sqref>ResumenSprint!$C$100</c15:sqref>
                        </c15:formulaRef>
                      </c:ext>
                    </c:extLst>
                    <c:strCache>
                      <c:ptCount val="1"/>
                    </c:strCache>
                  </c:strRef>
                </c:tx>
                <c:spPr>
                  <a:solidFill>
                    <a:schemeClr val="accent1"/>
                  </a:solidFill>
                  <a:ln>
                    <a:noFill/>
                  </a:ln>
                  <a:effectLst/>
                </c:spPr>
                <c:invertIfNegative val="0"/>
                <c:cat>
                  <c:strRef>
                    <c:extLst>
                      <c:ext uri="{02D57815-91ED-43cb-92C2-25804820EDAC}">
                        <c15:formulaRef>
                          <c15:sqref>ResumenSprint!$B$101:$B$106</c15:sqref>
                        </c15:formulaRef>
                      </c:ext>
                    </c:extLst>
                    <c:strCache>
                      <c:ptCount val="6"/>
                      <c:pt idx="0">
                        <c:v>No Aplica</c:v>
                      </c:pt>
                      <c:pt idx="1">
                        <c:v>Duplicado</c:v>
                      </c:pt>
                      <c:pt idx="2">
                        <c:v>No se pudo reproducir</c:v>
                      </c:pt>
                      <c:pt idx="3">
                        <c:v>Verificado</c:v>
                      </c:pt>
                      <c:pt idx="4">
                        <c:v>Proxima Versión</c:v>
                      </c:pt>
                      <c:pt idx="5">
                        <c:v>Total Bug por Resolución</c:v>
                      </c:pt>
                    </c:strCache>
                  </c:strRef>
                </c:cat>
                <c:val>
                  <c:numRef>
                    <c:extLst>
                      <c:ext uri="{02D57815-91ED-43cb-92C2-25804820EDAC}">
                        <c15:formulaRef>
                          <c15:sqref>ResumenSprint!$C$101:$C$106</c15:sqref>
                        </c15:formulaRef>
                      </c:ext>
                    </c:extLst>
                    <c:numCache>
                      <c:formatCode>General</c:formatCode>
                      <c:ptCount val="6"/>
                    </c:numCache>
                  </c:numRef>
                </c:val>
                <c:extLst>
                  <c:ext xmlns:c16="http://schemas.microsoft.com/office/drawing/2014/chart" uri="{C3380CC4-5D6E-409C-BE32-E72D297353CC}">
                    <c16:uniqueId val="{00000000-C5A0-4EF5-91B2-1FC0F282E5C0}"/>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ResumenSprint!$D$100</c15:sqref>
                        </c15:formulaRef>
                      </c:ext>
                    </c:extLst>
                    <c:strCache>
                      <c:ptCount val="1"/>
                    </c:strCache>
                  </c:strRef>
                </c:tx>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ResumenSprint!$B$101:$B$106</c15:sqref>
                        </c15:formulaRef>
                      </c:ext>
                    </c:extLst>
                    <c:strCache>
                      <c:ptCount val="6"/>
                      <c:pt idx="0">
                        <c:v>No Aplica</c:v>
                      </c:pt>
                      <c:pt idx="1">
                        <c:v>Duplicado</c:v>
                      </c:pt>
                      <c:pt idx="2">
                        <c:v>No se pudo reproducir</c:v>
                      </c:pt>
                      <c:pt idx="3">
                        <c:v>Verificado</c:v>
                      </c:pt>
                      <c:pt idx="4">
                        <c:v>Proxima Versión</c:v>
                      </c:pt>
                      <c:pt idx="5">
                        <c:v>Total Bug por Resolución</c:v>
                      </c:pt>
                    </c:strCache>
                  </c:strRef>
                </c:cat>
                <c:val>
                  <c:numRef>
                    <c:extLst xmlns:c15="http://schemas.microsoft.com/office/drawing/2012/chart">
                      <c:ext xmlns:c15="http://schemas.microsoft.com/office/drawing/2012/chart" uri="{02D57815-91ED-43cb-92C2-25804820EDAC}">
                        <c15:formulaRef>
                          <c15:sqref>ResumenSprint!$D$101:$D$106</c15:sqref>
                        </c15:formulaRef>
                      </c:ext>
                    </c:extLst>
                    <c:numCache>
                      <c:formatCode>General</c:formatCode>
                      <c:ptCount val="6"/>
                    </c:numCache>
                  </c:numRef>
                </c:val>
                <c:extLst xmlns:c15="http://schemas.microsoft.com/office/drawing/2012/chart">
                  <c:ext xmlns:c16="http://schemas.microsoft.com/office/drawing/2014/chart" uri="{C3380CC4-5D6E-409C-BE32-E72D297353CC}">
                    <c16:uniqueId val="{00000001-C5A0-4EF5-91B2-1FC0F282E5C0}"/>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ResumenSprint!$F$100</c15:sqref>
                        </c15:formulaRef>
                      </c:ext>
                    </c:extLst>
                    <c:strCache>
                      <c:ptCount val="1"/>
                    </c:strCache>
                  </c:strRef>
                </c:tx>
                <c:spPr>
                  <a:solidFill>
                    <a:schemeClr val="accent4"/>
                  </a:solidFill>
                  <a:ln>
                    <a:noFill/>
                  </a:ln>
                  <a:effectLst/>
                </c:spPr>
                <c:invertIfNegative val="0"/>
                <c:cat>
                  <c:strRef>
                    <c:extLst xmlns:c15="http://schemas.microsoft.com/office/drawing/2012/chart">
                      <c:ext xmlns:c15="http://schemas.microsoft.com/office/drawing/2012/chart" uri="{02D57815-91ED-43cb-92C2-25804820EDAC}">
                        <c15:formulaRef>
                          <c15:sqref>ResumenSprint!$B$101:$B$106</c15:sqref>
                        </c15:formulaRef>
                      </c:ext>
                    </c:extLst>
                    <c:strCache>
                      <c:ptCount val="6"/>
                      <c:pt idx="0">
                        <c:v>No Aplica</c:v>
                      </c:pt>
                      <c:pt idx="1">
                        <c:v>Duplicado</c:v>
                      </c:pt>
                      <c:pt idx="2">
                        <c:v>No se pudo reproducir</c:v>
                      </c:pt>
                      <c:pt idx="3">
                        <c:v>Verificado</c:v>
                      </c:pt>
                      <c:pt idx="4">
                        <c:v>Proxima Versión</c:v>
                      </c:pt>
                      <c:pt idx="5">
                        <c:v>Total Bug por Resolución</c:v>
                      </c:pt>
                    </c:strCache>
                  </c:strRef>
                </c:cat>
                <c:val>
                  <c:numRef>
                    <c:extLst xmlns:c15="http://schemas.microsoft.com/office/drawing/2012/chart">
                      <c:ext xmlns:c15="http://schemas.microsoft.com/office/drawing/2012/chart" uri="{02D57815-91ED-43cb-92C2-25804820EDAC}">
                        <c15:formulaRef>
                          <c15:sqref>ResumenSprint!$F$101:$F$106</c15:sqref>
                        </c15:formulaRef>
                      </c:ext>
                    </c:extLst>
                    <c:numCache>
                      <c:formatCode>General</c:formatCode>
                      <c:ptCount val="6"/>
                    </c:numCache>
                  </c:numRef>
                </c:val>
                <c:extLst xmlns:c15="http://schemas.microsoft.com/office/drawing/2012/chart">
                  <c:ext xmlns:c16="http://schemas.microsoft.com/office/drawing/2014/chart" uri="{C3380CC4-5D6E-409C-BE32-E72D297353CC}">
                    <c16:uniqueId val="{00000003-C5A0-4EF5-91B2-1FC0F282E5C0}"/>
                  </c:ext>
                </c:extLst>
              </c15:ser>
            </c15:filteredBarSeries>
          </c:ext>
        </c:extLst>
      </c:barChart>
      <c:catAx>
        <c:axId val="660651280"/>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60652592"/>
        <c:crosses val="autoZero"/>
        <c:auto val="1"/>
        <c:lblAlgn val="ctr"/>
        <c:lblOffset val="100"/>
        <c:noMultiLvlLbl val="0"/>
      </c:catAx>
      <c:valAx>
        <c:axId val="660652592"/>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6065128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Descripción</a:t>
            </a:r>
            <a:r>
              <a:rPr lang="en-US" baseline="0"/>
              <a:t> por Tipo de Bug</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2"/>
          <c:order val="2"/>
          <c:tx>
            <c:strRef>
              <c:f>ResumenSprint!$E$118</c:f>
              <c:strCache>
                <c:ptCount val="1"/>
                <c:pt idx="0">
                  <c:v>Total</c:v>
                </c:pt>
              </c:strCache>
            </c:strRef>
          </c:tx>
          <c:spPr>
            <a:solidFill>
              <a:schemeClr val="accent3"/>
            </a:solidFill>
            <a:ln>
              <a:noFill/>
            </a:ln>
            <a:effectLst>
              <a:outerShdw blurRad="50800" dist="101600" dir="2700000" algn="tl" rotWithShape="0">
                <a:schemeClr val="accent2">
                  <a:lumMod val="75000"/>
                  <a:alpha val="40000"/>
                </a:schemeClr>
              </a:outerShdw>
            </a:effectLst>
          </c:spPr>
          <c:invertIfNegative val="0"/>
          <c:dPt>
            <c:idx val="0"/>
            <c:invertIfNegative val="0"/>
            <c:bubble3D val="0"/>
            <c:spPr>
              <a:solidFill>
                <a:srgbClr val="FFFF00"/>
              </a:solidFill>
              <a:ln>
                <a:noFill/>
              </a:ln>
              <a:effectLst>
                <a:outerShdw blurRad="50800" dist="101600" dir="2700000" algn="tl" rotWithShape="0">
                  <a:schemeClr val="accent2">
                    <a:lumMod val="75000"/>
                    <a:alpha val="40000"/>
                  </a:schemeClr>
                </a:outerShdw>
              </a:effectLst>
            </c:spPr>
            <c:extLst>
              <c:ext xmlns:c16="http://schemas.microsoft.com/office/drawing/2014/chart" uri="{C3380CC4-5D6E-409C-BE32-E72D297353CC}">
                <c16:uniqueId val="{00000004-C95A-4385-8B4C-D150634308DE}"/>
              </c:ext>
            </c:extLst>
          </c:dPt>
          <c:dPt>
            <c:idx val="1"/>
            <c:invertIfNegative val="0"/>
            <c:bubble3D val="0"/>
            <c:spPr>
              <a:solidFill>
                <a:schemeClr val="accent5">
                  <a:lumMod val="75000"/>
                </a:schemeClr>
              </a:solidFill>
              <a:ln>
                <a:noFill/>
              </a:ln>
              <a:effectLst>
                <a:outerShdw blurRad="50800" dist="101600" dir="2700000" algn="tl" rotWithShape="0">
                  <a:schemeClr val="accent2">
                    <a:lumMod val="75000"/>
                    <a:alpha val="40000"/>
                  </a:schemeClr>
                </a:outerShdw>
              </a:effectLst>
            </c:spPr>
            <c:extLst>
              <c:ext xmlns:c16="http://schemas.microsoft.com/office/drawing/2014/chart" uri="{C3380CC4-5D6E-409C-BE32-E72D297353CC}">
                <c16:uniqueId val="{00000005-C95A-4385-8B4C-D150634308DE}"/>
              </c:ext>
            </c:extLst>
          </c:dPt>
          <c:dPt>
            <c:idx val="2"/>
            <c:invertIfNegative val="0"/>
            <c:bubble3D val="0"/>
            <c:spPr>
              <a:solidFill>
                <a:srgbClr val="FF0000"/>
              </a:solidFill>
              <a:ln>
                <a:noFill/>
              </a:ln>
              <a:effectLst>
                <a:outerShdw blurRad="50800" dist="101600" dir="2700000" algn="tl" rotWithShape="0">
                  <a:schemeClr val="accent2">
                    <a:lumMod val="75000"/>
                    <a:alpha val="40000"/>
                  </a:schemeClr>
                </a:outerShdw>
              </a:effectLst>
            </c:spPr>
            <c:extLst>
              <c:ext xmlns:c16="http://schemas.microsoft.com/office/drawing/2014/chart" uri="{C3380CC4-5D6E-409C-BE32-E72D297353CC}">
                <c16:uniqueId val="{00000006-C95A-4385-8B4C-D150634308DE}"/>
              </c:ext>
            </c:extLst>
          </c:dPt>
          <c:dPt>
            <c:idx val="3"/>
            <c:invertIfNegative val="0"/>
            <c:bubble3D val="0"/>
            <c:spPr>
              <a:solidFill>
                <a:schemeClr val="accent2">
                  <a:lumMod val="75000"/>
                </a:schemeClr>
              </a:solidFill>
              <a:ln>
                <a:noFill/>
              </a:ln>
              <a:effectLst>
                <a:outerShdw blurRad="50800" dist="101600" dir="2700000" algn="tl" rotWithShape="0">
                  <a:schemeClr val="accent2">
                    <a:lumMod val="75000"/>
                    <a:alpha val="40000"/>
                  </a:schemeClr>
                </a:outerShdw>
              </a:effectLst>
            </c:spPr>
            <c:extLst>
              <c:ext xmlns:c16="http://schemas.microsoft.com/office/drawing/2014/chart" uri="{C3380CC4-5D6E-409C-BE32-E72D297353CC}">
                <c16:uniqueId val="{00000007-C95A-4385-8B4C-D150634308DE}"/>
              </c:ext>
            </c:extLst>
          </c:dPt>
          <c:dPt>
            <c:idx val="4"/>
            <c:invertIfNegative val="0"/>
            <c:bubble3D val="0"/>
            <c:spPr>
              <a:solidFill>
                <a:schemeClr val="accent6">
                  <a:lumMod val="75000"/>
                </a:schemeClr>
              </a:solidFill>
              <a:ln>
                <a:noFill/>
              </a:ln>
              <a:effectLst>
                <a:outerShdw blurRad="50800" dist="101600" dir="2700000" algn="tl" rotWithShape="0">
                  <a:schemeClr val="accent2">
                    <a:lumMod val="75000"/>
                    <a:alpha val="40000"/>
                  </a:schemeClr>
                </a:outerShdw>
              </a:effectLst>
            </c:spPr>
            <c:extLst>
              <c:ext xmlns:c16="http://schemas.microsoft.com/office/drawing/2014/chart" uri="{C3380CC4-5D6E-409C-BE32-E72D297353CC}">
                <c16:uniqueId val="{00000008-C95A-4385-8B4C-D150634308DE}"/>
              </c:ext>
            </c:extLst>
          </c:dPt>
          <c:dPt>
            <c:idx val="5"/>
            <c:invertIfNegative val="0"/>
            <c:bubble3D val="0"/>
            <c:spPr>
              <a:solidFill>
                <a:srgbClr val="7030A0"/>
              </a:solidFill>
              <a:ln>
                <a:noFill/>
              </a:ln>
              <a:effectLst>
                <a:outerShdw blurRad="50800" dist="101600" dir="2700000" algn="tl" rotWithShape="0">
                  <a:schemeClr val="accent2">
                    <a:lumMod val="75000"/>
                    <a:alpha val="40000"/>
                  </a:schemeClr>
                </a:outerShdw>
              </a:effectLst>
            </c:spPr>
            <c:extLst>
              <c:ext xmlns:c16="http://schemas.microsoft.com/office/drawing/2014/chart" uri="{C3380CC4-5D6E-409C-BE32-E72D297353CC}">
                <c16:uniqueId val="{00000009-C95A-4385-8B4C-D150634308DE}"/>
              </c:ext>
            </c:extLst>
          </c:dPt>
          <c:cat>
            <c:strRef>
              <c:f>ResumenSprint!$B$119:$B$124</c:f>
              <c:strCache>
                <c:ptCount val="6"/>
                <c:pt idx="0">
                  <c:v>Error</c:v>
                </c:pt>
                <c:pt idx="1">
                  <c:v>Consideración</c:v>
                </c:pt>
                <c:pt idx="2">
                  <c:v>Sugerencia</c:v>
                </c:pt>
                <c:pt idx="3">
                  <c:v>Cambio/Mejora</c:v>
                </c:pt>
                <c:pt idx="4">
                  <c:v>Hallazgo</c:v>
                </c:pt>
                <c:pt idx="5">
                  <c:v>Sumatoria Total</c:v>
                </c:pt>
              </c:strCache>
            </c:strRef>
          </c:cat>
          <c:val>
            <c:numRef>
              <c:f>ResumenSprint!$E$119:$E$124</c:f>
              <c:numCache>
                <c:formatCode>General</c:formatCode>
                <c:ptCount val="6"/>
                <c:pt idx="0">
                  <c:v>0</c:v>
                </c:pt>
                <c:pt idx="1">
                  <c:v>0</c:v>
                </c:pt>
                <c:pt idx="2">
                  <c:v>0</c:v>
                </c:pt>
                <c:pt idx="3">
                  <c:v>0</c:v>
                </c:pt>
                <c:pt idx="4">
                  <c:v>5</c:v>
                </c:pt>
                <c:pt idx="5">
                  <c:v>5</c:v>
                </c:pt>
              </c:numCache>
            </c:numRef>
          </c:val>
          <c:extLst>
            <c:ext xmlns:c16="http://schemas.microsoft.com/office/drawing/2014/chart" uri="{C3380CC4-5D6E-409C-BE32-E72D297353CC}">
              <c16:uniqueId val="{00000002-C95A-4385-8B4C-D150634308DE}"/>
            </c:ext>
          </c:extLst>
        </c:ser>
        <c:dLbls>
          <c:showLegendKey val="0"/>
          <c:showVal val="0"/>
          <c:showCatName val="0"/>
          <c:showSerName val="0"/>
          <c:showPercent val="0"/>
          <c:showBubbleSize val="0"/>
        </c:dLbls>
        <c:gapWidth val="219"/>
        <c:overlap val="-27"/>
        <c:axId val="726801440"/>
        <c:axId val="726799800"/>
        <c:extLst>
          <c:ext xmlns:c15="http://schemas.microsoft.com/office/drawing/2012/chart" uri="{02D57815-91ED-43cb-92C2-25804820EDAC}">
            <c15:filteredBarSeries>
              <c15:ser>
                <c:idx val="0"/>
                <c:order val="0"/>
                <c:tx>
                  <c:strRef>
                    <c:extLst>
                      <c:ext uri="{02D57815-91ED-43cb-92C2-25804820EDAC}">
                        <c15:formulaRef>
                          <c15:sqref>ResumenSprint!$C$118</c15:sqref>
                        </c15:formulaRef>
                      </c:ext>
                    </c:extLst>
                    <c:strCache>
                      <c:ptCount val="1"/>
                    </c:strCache>
                  </c:strRef>
                </c:tx>
                <c:spPr>
                  <a:solidFill>
                    <a:schemeClr val="accent1"/>
                  </a:solidFill>
                  <a:ln>
                    <a:noFill/>
                  </a:ln>
                  <a:effectLst/>
                </c:spPr>
                <c:invertIfNegative val="0"/>
                <c:cat>
                  <c:strRef>
                    <c:extLst>
                      <c:ext uri="{02D57815-91ED-43cb-92C2-25804820EDAC}">
                        <c15:formulaRef>
                          <c15:sqref>ResumenSprint!$B$119:$B$124</c15:sqref>
                        </c15:formulaRef>
                      </c:ext>
                    </c:extLst>
                    <c:strCache>
                      <c:ptCount val="6"/>
                      <c:pt idx="0">
                        <c:v>Error</c:v>
                      </c:pt>
                      <c:pt idx="1">
                        <c:v>Consideración</c:v>
                      </c:pt>
                      <c:pt idx="2">
                        <c:v>Sugerencia</c:v>
                      </c:pt>
                      <c:pt idx="3">
                        <c:v>Cambio/Mejora</c:v>
                      </c:pt>
                      <c:pt idx="4">
                        <c:v>Hallazgo</c:v>
                      </c:pt>
                      <c:pt idx="5">
                        <c:v>Sumatoria Total</c:v>
                      </c:pt>
                    </c:strCache>
                  </c:strRef>
                </c:cat>
                <c:val>
                  <c:numRef>
                    <c:extLst>
                      <c:ext uri="{02D57815-91ED-43cb-92C2-25804820EDAC}">
                        <c15:formulaRef>
                          <c15:sqref>ResumenSprint!$C$119:$C$124</c15:sqref>
                        </c15:formulaRef>
                      </c:ext>
                    </c:extLst>
                    <c:numCache>
                      <c:formatCode>General</c:formatCode>
                      <c:ptCount val="6"/>
                    </c:numCache>
                  </c:numRef>
                </c:val>
                <c:extLst>
                  <c:ext xmlns:c16="http://schemas.microsoft.com/office/drawing/2014/chart" uri="{C3380CC4-5D6E-409C-BE32-E72D297353CC}">
                    <c16:uniqueId val="{00000000-C95A-4385-8B4C-D150634308DE}"/>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ResumenSprint!$D$118</c15:sqref>
                        </c15:formulaRef>
                      </c:ext>
                    </c:extLst>
                    <c:strCache>
                      <c:ptCount val="1"/>
                    </c:strCache>
                  </c:strRef>
                </c:tx>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ResumenSprint!$B$119:$B$124</c15:sqref>
                        </c15:formulaRef>
                      </c:ext>
                    </c:extLst>
                    <c:strCache>
                      <c:ptCount val="6"/>
                      <c:pt idx="0">
                        <c:v>Error</c:v>
                      </c:pt>
                      <c:pt idx="1">
                        <c:v>Consideración</c:v>
                      </c:pt>
                      <c:pt idx="2">
                        <c:v>Sugerencia</c:v>
                      </c:pt>
                      <c:pt idx="3">
                        <c:v>Cambio/Mejora</c:v>
                      </c:pt>
                      <c:pt idx="4">
                        <c:v>Hallazgo</c:v>
                      </c:pt>
                      <c:pt idx="5">
                        <c:v>Sumatoria Total</c:v>
                      </c:pt>
                    </c:strCache>
                  </c:strRef>
                </c:cat>
                <c:val>
                  <c:numRef>
                    <c:extLst xmlns:c15="http://schemas.microsoft.com/office/drawing/2012/chart">
                      <c:ext xmlns:c15="http://schemas.microsoft.com/office/drawing/2012/chart" uri="{02D57815-91ED-43cb-92C2-25804820EDAC}">
                        <c15:formulaRef>
                          <c15:sqref>ResumenSprint!$D$119:$D$124</c15:sqref>
                        </c15:formulaRef>
                      </c:ext>
                    </c:extLst>
                    <c:numCache>
                      <c:formatCode>General</c:formatCode>
                      <c:ptCount val="6"/>
                    </c:numCache>
                  </c:numRef>
                </c:val>
                <c:extLst xmlns:c15="http://schemas.microsoft.com/office/drawing/2012/chart">
                  <c:ext xmlns:c16="http://schemas.microsoft.com/office/drawing/2014/chart" uri="{C3380CC4-5D6E-409C-BE32-E72D297353CC}">
                    <c16:uniqueId val="{00000001-C95A-4385-8B4C-D150634308DE}"/>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ResumenSprint!$F$118</c15:sqref>
                        </c15:formulaRef>
                      </c:ext>
                    </c:extLst>
                    <c:strCache>
                      <c:ptCount val="1"/>
                    </c:strCache>
                  </c:strRef>
                </c:tx>
                <c:spPr>
                  <a:solidFill>
                    <a:schemeClr val="accent4"/>
                  </a:solidFill>
                  <a:ln>
                    <a:noFill/>
                  </a:ln>
                  <a:effectLst/>
                </c:spPr>
                <c:invertIfNegative val="0"/>
                <c:cat>
                  <c:strRef>
                    <c:extLst xmlns:c15="http://schemas.microsoft.com/office/drawing/2012/chart">
                      <c:ext xmlns:c15="http://schemas.microsoft.com/office/drawing/2012/chart" uri="{02D57815-91ED-43cb-92C2-25804820EDAC}">
                        <c15:formulaRef>
                          <c15:sqref>ResumenSprint!$B$119:$B$124</c15:sqref>
                        </c15:formulaRef>
                      </c:ext>
                    </c:extLst>
                    <c:strCache>
                      <c:ptCount val="6"/>
                      <c:pt idx="0">
                        <c:v>Error</c:v>
                      </c:pt>
                      <c:pt idx="1">
                        <c:v>Consideración</c:v>
                      </c:pt>
                      <c:pt idx="2">
                        <c:v>Sugerencia</c:v>
                      </c:pt>
                      <c:pt idx="3">
                        <c:v>Cambio/Mejora</c:v>
                      </c:pt>
                      <c:pt idx="4">
                        <c:v>Hallazgo</c:v>
                      </c:pt>
                      <c:pt idx="5">
                        <c:v>Sumatoria Total</c:v>
                      </c:pt>
                    </c:strCache>
                  </c:strRef>
                </c:cat>
                <c:val>
                  <c:numRef>
                    <c:extLst xmlns:c15="http://schemas.microsoft.com/office/drawing/2012/chart">
                      <c:ext xmlns:c15="http://schemas.microsoft.com/office/drawing/2012/chart" uri="{02D57815-91ED-43cb-92C2-25804820EDAC}">
                        <c15:formulaRef>
                          <c15:sqref>ResumenSprint!$F$119:$F$124</c15:sqref>
                        </c15:formulaRef>
                      </c:ext>
                    </c:extLst>
                    <c:numCache>
                      <c:formatCode>General</c:formatCode>
                      <c:ptCount val="6"/>
                    </c:numCache>
                  </c:numRef>
                </c:val>
                <c:extLst xmlns:c15="http://schemas.microsoft.com/office/drawing/2012/chart">
                  <c:ext xmlns:c16="http://schemas.microsoft.com/office/drawing/2014/chart" uri="{C3380CC4-5D6E-409C-BE32-E72D297353CC}">
                    <c16:uniqueId val="{00000003-C95A-4385-8B4C-D150634308DE}"/>
                  </c:ext>
                </c:extLst>
              </c15:ser>
            </c15:filteredBarSeries>
          </c:ext>
        </c:extLst>
      </c:barChart>
      <c:catAx>
        <c:axId val="726801440"/>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26799800"/>
        <c:crosses val="autoZero"/>
        <c:auto val="1"/>
        <c:lblAlgn val="ctr"/>
        <c:lblOffset val="100"/>
        <c:noMultiLvlLbl val="0"/>
      </c:catAx>
      <c:valAx>
        <c:axId val="726799800"/>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2680144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Bug</a:t>
            </a:r>
            <a:r>
              <a:rPr lang="en-US" baseline="0"/>
              <a:t> por Impacto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2"/>
          <c:order val="2"/>
          <c:tx>
            <c:strRef>
              <c:f>ResumenSprint!$E$136</c:f>
              <c:strCache>
                <c:ptCount val="1"/>
                <c:pt idx="0">
                  <c:v>Total</c:v>
                </c:pt>
              </c:strCache>
            </c:strRef>
          </c:tx>
          <c:spPr>
            <a:solidFill>
              <a:schemeClr val="accent3"/>
            </a:solidFill>
            <a:ln>
              <a:noFill/>
            </a:ln>
            <a:effectLst>
              <a:glow rad="63500">
                <a:schemeClr val="accent2">
                  <a:satMod val="175000"/>
                  <a:alpha val="40000"/>
                </a:schemeClr>
              </a:glow>
            </a:effectLst>
          </c:spPr>
          <c:invertIfNegative val="0"/>
          <c:dPt>
            <c:idx val="0"/>
            <c:invertIfNegative val="0"/>
            <c:bubble3D val="0"/>
            <c:spPr>
              <a:solidFill>
                <a:srgbClr val="FFFF00"/>
              </a:solidFill>
              <a:ln>
                <a:noFill/>
              </a:ln>
              <a:effectLst>
                <a:glow rad="63500">
                  <a:schemeClr val="accent2">
                    <a:satMod val="175000"/>
                    <a:alpha val="40000"/>
                  </a:schemeClr>
                </a:glow>
              </a:effectLst>
            </c:spPr>
            <c:extLst>
              <c:ext xmlns:c16="http://schemas.microsoft.com/office/drawing/2014/chart" uri="{C3380CC4-5D6E-409C-BE32-E72D297353CC}">
                <c16:uniqueId val="{00000004-953B-4BD8-8D7E-C28ED3699517}"/>
              </c:ext>
            </c:extLst>
          </c:dPt>
          <c:dPt>
            <c:idx val="1"/>
            <c:invertIfNegative val="0"/>
            <c:bubble3D val="0"/>
            <c:spPr>
              <a:solidFill>
                <a:srgbClr val="0000FF"/>
              </a:solidFill>
              <a:ln>
                <a:noFill/>
              </a:ln>
              <a:effectLst>
                <a:glow rad="63500">
                  <a:schemeClr val="accent2">
                    <a:satMod val="175000"/>
                    <a:alpha val="40000"/>
                  </a:schemeClr>
                </a:glow>
              </a:effectLst>
            </c:spPr>
            <c:extLst>
              <c:ext xmlns:c16="http://schemas.microsoft.com/office/drawing/2014/chart" uri="{C3380CC4-5D6E-409C-BE32-E72D297353CC}">
                <c16:uniqueId val="{00000005-953B-4BD8-8D7E-C28ED3699517}"/>
              </c:ext>
            </c:extLst>
          </c:dPt>
          <c:dPt>
            <c:idx val="2"/>
            <c:invertIfNegative val="0"/>
            <c:bubble3D val="0"/>
            <c:spPr>
              <a:solidFill>
                <a:srgbClr val="FF0000"/>
              </a:solidFill>
              <a:ln>
                <a:noFill/>
              </a:ln>
              <a:effectLst>
                <a:glow rad="63500">
                  <a:schemeClr val="accent2">
                    <a:satMod val="175000"/>
                    <a:alpha val="40000"/>
                  </a:schemeClr>
                </a:glow>
              </a:effectLst>
            </c:spPr>
            <c:extLst>
              <c:ext xmlns:c16="http://schemas.microsoft.com/office/drawing/2014/chart" uri="{C3380CC4-5D6E-409C-BE32-E72D297353CC}">
                <c16:uniqueId val="{00000006-953B-4BD8-8D7E-C28ED3699517}"/>
              </c:ext>
            </c:extLst>
          </c:dPt>
          <c:dPt>
            <c:idx val="3"/>
            <c:invertIfNegative val="0"/>
            <c:bubble3D val="0"/>
            <c:spPr>
              <a:solidFill>
                <a:schemeClr val="accent6">
                  <a:lumMod val="75000"/>
                </a:schemeClr>
              </a:solidFill>
              <a:ln>
                <a:noFill/>
              </a:ln>
              <a:effectLst>
                <a:glow rad="63500">
                  <a:schemeClr val="accent2">
                    <a:satMod val="175000"/>
                    <a:alpha val="40000"/>
                  </a:schemeClr>
                </a:glow>
              </a:effectLst>
            </c:spPr>
            <c:extLst>
              <c:ext xmlns:c16="http://schemas.microsoft.com/office/drawing/2014/chart" uri="{C3380CC4-5D6E-409C-BE32-E72D297353CC}">
                <c16:uniqueId val="{00000007-953B-4BD8-8D7E-C28ED3699517}"/>
              </c:ext>
            </c:extLst>
          </c:dPt>
          <c:dPt>
            <c:idx val="4"/>
            <c:invertIfNegative val="0"/>
            <c:bubble3D val="0"/>
            <c:spPr>
              <a:solidFill>
                <a:srgbClr val="7030A0"/>
              </a:solidFill>
              <a:ln>
                <a:noFill/>
              </a:ln>
              <a:effectLst>
                <a:glow rad="63500">
                  <a:schemeClr val="accent2">
                    <a:satMod val="175000"/>
                    <a:alpha val="40000"/>
                  </a:schemeClr>
                </a:glow>
              </a:effectLst>
            </c:spPr>
            <c:extLst>
              <c:ext xmlns:c16="http://schemas.microsoft.com/office/drawing/2014/chart" uri="{C3380CC4-5D6E-409C-BE32-E72D297353CC}">
                <c16:uniqueId val="{00000008-953B-4BD8-8D7E-C28ED3699517}"/>
              </c:ext>
            </c:extLst>
          </c:dPt>
          <c:cat>
            <c:strRef>
              <c:f>ResumenSprint!$B$137:$B$141</c:f>
              <c:strCache>
                <c:ptCount val="5"/>
                <c:pt idx="0">
                  <c:v>Stopper</c:v>
                </c:pt>
                <c:pt idx="1">
                  <c:v>Alta</c:v>
                </c:pt>
                <c:pt idx="2">
                  <c:v>Medio</c:v>
                </c:pt>
                <c:pt idx="3">
                  <c:v>Baja</c:v>
                </c:pt>
                <c:pt idx="4">
                  <c:v>Total</c:v>
                </c:pt>
              </c:strCache>
            </c:strRef>
          </c:cat>
          <c:val>
            <c:numRef>
              <c:f>ResumenSprint!$E$137:$E$141</c:f>
              <c:numCache>
                <c:formatCode>General</c:formatCode>
                <c:ptCount val="5"/>
                <c:pt idx="0">
                  <c:v>0</c:v>
                </c:pt>
                <c:pt idx="1">
                  <c:v>5</c:v>
                </c:pt>
                <c:pt idx="2">
                  <c:v>0</c:v>
                </c:pt>
                <c:pt idx="3">
                  <c:v>0</c:v>
                </c:pt>
                <c:pt idx="4">
                  <c:v>5</c:v>
                </c:pt>
              </c:numCache>
            </c:numRef>
          </c:val>
          <c:extLst>
            <c:ext xmlns:c16="http://schemas.microsoft.com/office/drawing/2014/chart" uri="{C3380CC4-5D6E-409C-BE32-E72D297353CC}">
              <c16:uniqueId val="{00000002-953B-4BD8-8D7E-C28ED3699517}"/>
            </c:ext>
          </c:extLst>
        </c:ser>
        <c:dLbls>
          <c:showLegendKey val="0"/>
          <c:showVal val="0"/>
          <c:showCatName val="0"/>
          <c:showSerName val="0"/>
          <c:showPercent val="0"/>
          <c:showBubbleSize val="0"/>
        </c:dLbls>
        <c:gapWidth val="219"/>
        <c:overlap val="-27"/>
        <c:axId val="725512752"/>
        <c:axId val="725511768"/>
        <c:extLst>
          <c:ext xmlns:c15="http://schemas.microsoft.com/office/drawing/2012/chart" uri="{02D57815-91ED-43cb-92C2-25804820EDAC}">
            <c15:filteredBarSeries>
              <c15:ser>
                <c:idx val="0"/>
                <c:order val="0"/>
                <c:tx>
                  <c:strRef>
                    <c:extLst>
                      <c:ext uri="{02D57815-91ED-43cb-92C2-25804820EDAC}">
                        <c15:formulaRef>
                          <c15:sqref>ResumenSprint!$C$136</c15:sqref>
                        </c15:formulaRef>
                      </c:ext>
                    </c:extLst>
                    <c:strCache>
                      <c:ptCount val="1"/>
                    </c:strCache>
                  </c:strRef>
                </c:tx>
                <c:spPr>
                  <a:solidFill>
                    <a:schemeClr val="accent1"/>
                  </a:solidFill>
                  <a:ln>
                    <a:noFill/>
                  </a:ln>
                  <a:effectLst/>
                </c:spPr>
                <c:invertIfNegative val="0"/>
                <c:cat>
                  <c:strRef>
                    <c:extLst>
                      <c:ext uri="{02D57815-91ED-43cb-92C2-25804820EDAC}">
                        <c15:formulaRef>
                          <c15:sqref>ResumenSprint!$B$137:$B$141</c15:sqref>
                        </c15:formulaRef>
                      </c:ext>
                    </c:extLst>
                    <c:strCache>
                      <c:ptCount val="5"/>
                      <c:pt idx="0">
                        <c:v>Stopper</c:v>
                      </c:pt>
                      <c:pt idx="1">
                        <c:v>Alta</c:v>
                      </c:pt>
                      <c:pt idx="2">
                        <c:v>Medio</c:v>
                      </c:pt>
                      <c:pt idx="3">
                        <c:v>Baja</c:v>
                      </c:pt>
                      <c:pt idx="4">
                        <c:v>Total</c:v>
                      </c:pt>
                    </c:strCache>
                  </c:strRef>
                </c:cat>
                <c:val>
                  <c:numRef>
                    <c:extLst>
                      <c:ext uri="{02D57815-91ED-43cb-92C2-25804820EDAC}">
                        <c15:formulaRef>
                          <c15:sqref>ResumenSprint!$C$137:$C$141</c15:sqref>
                        </c15:formulaRef>
                      </c:ext>
                    </c:extLst>
                    <c:numCache>
                      <c:formatCode>General</c:formatCode>
                      <c:ptCount val="5"/>
                    </c:numCache>
                  </c:numRef>
                </c:val>
                <c:extLst>
                  <c:ext xmlns:c16="http://schemas.microsoft.com/office/drawing/2014/chart" uri="{C3380CC4-5D6E-409C-BE32-E72D297353CC}">
                    <c16:uniqueId val="{00000000-953B-4BD8-8D7E-C28ED3699517}"/>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ResumenSprint!$D$136</c15:sqref>
                        </c15:formulaRef>
                      </c:ext>
                    </c:extLst>
                    <c:strCache>
                      <c:ptCount val="1"/>
                    </c:strCache>
                  </c:strRef>
                </c:tx>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ResumenSprint!$B$137:$B$141</c15:sqref>
                        </c15:formulaRef>
                      </c:ext>
                    </c:extLst>
                    <c:strCache>
                      <c:ptCount val="5"/>
                      <c:pt idx="0">
                        <c:v>Stopper</c:v>
                      </c:pt>
                      <c:pt idx="1">
                        <c:v>Alta</c:v>
                      </c:pt>
                      <c:pt idx="2">
                        <c:v>Medio</c:v>
                      </c:pt>
                      <c:pt idx="3">
                        <c:v>Baja</c:v>
                      </c:pt>
                      <c:pt idx="4">
                        <c:v>Total</c:v>
                      </c:pt>
                    </c:strCache>
                  </c:strRef>
                </c:cat>
                <c:val>
                  <c:numRef>
                    <c:extLst xmlns:c15="http://schemas.microsoft.com/office/drawing/2012/chart">
                      <c:ext xmlns:c15="http://schemas.microsoft.com/office/drawing/2012/chart" uri="{02D57815-91ED-43cb-92C2-25804820EDAC}">
                        <c15:formulaRef>
                          <c15:sqref>ResumenSprint!$D$137:$D$141</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01-953B-4BD8-8D7E-C28ED3699517}"/>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ResumenSprint!$F$136</c15:sqref>
                        </c15:formulaRef>
                      </c:ext>
                    </c:extLst>
                    <c:strCache>
                      <c:ptCount val="1"/>
                    </c:strCache>
                  </c:strRef>
                </c:tx>
                <c:spPr>
                  <a:solidFill>
                    <a:schemeClr val="accent4"/>
                  </a:solidFill>
                  <a:ln>
                    <a:noFill/>
                  </a:ln>
                  <a:effectLst/>
                </c:spPr>
                <c:invertIfNegative val="0"/>
                <c:cat>
                  <c:strRef>
                    <c:extLst xmlns:c15="http://schemas.microsoft.com/office/drawing/2012/chart">
                      <c:ext xmlns:c15="http://schemas.microsoft.com/office/drawing/2012/chart" uri="{02D57815-91ED-43cb-92C2-25804820EDAC}">
                        <c15:formulaRef>
                          <c15:sqref>ResumenSprint!$B$137:$B$141</c15:sqref>
                        </c15:formulaRef>
                      </c:ext>
                    </c:extLst>
                    <c:strCache>
                      <c:ptCount val="5"/>
                      <c:pt idx="0">
                        <c:v>Stopper</c:v>
                      </c:pt>
                      <c:pt idx="1">
                        <c:v>Alta</c:v>
                      </c:pt>
                      <c:pt idx="2">
                        <c:v>Medio</c:v>
                      </c:pt>
                      <c:pt idx="3">
                        <c:v>Baja</c:v>
                      </c:pt>
                      <c:pt idx="4">
                        <c:v>Total</c:v>
                      </c:pt>
                    </c:strCache>
                  </c:strRef>
                </c:cat>
                <c:val>
                  <c:numRef>
                    <c:extLst xmlns:c15="http://schemas.microsoft.com/office/drawing/2012/chart">
                      <c:ext xmlns:c15="http://schemas.microsoft.com/office/drawing/2012/chart" uri="{02D57815-91ED-43cb-92C2-25804820EDAC}">
                        <c15:formulaRef>
                          <c15:sqref>ResumenSprint!$F$137:$F$141</c15:sqref>
                        </c15:formulaRef>
                      </c:ext>
                    </c:extLst>
                    <c:numCache>
                      <c:formatCode>General</c:formatCode>
                      <c:ptCount val="5"/>
                    </c:numCache>
                  </c:numRef>
                </c:val>
                <c:extLst xmlns:c15="http://schemas.microsoft.com/office/drawing/2012/chart">
                  <c:ext xmlns:c16="http://schemas.microsoft.com/office/drawing/2014/chart" uri="{C3380CC4-5D6E-409C-BE32-E72D297353CC}">
                    <c16:uniqueId val="{00000003-953B-4BD8-8D7E-C28ED3699517}"/>
                  </c:ext>
                </c:extLst>
              </c15:ser>
            </c15:filteredBarSeries>
          </c:ext>
        </c:extLst>
      </c:barChart>
      <c:catAx>
        <c:axId val="725512752"/>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25511768"/>
        <c:crosses val="autoZero"/>
        <c:auto val="1"/>
        <c:lblAlgn val="ctr"/>
        <c:lblOffset val="100"/>
        <c:noMultiLvlLbl val="0"/>
      </c:catAx>
      <c:valAx>
        <c:axId val="725511768"/>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2551275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Bug por Impacto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2"/>
          <c:order val="2"/>
          <c:tx>
            <c:strRef>
              <c:f>ResumenSprint!$E$154</c:f>
              <c:strCache>
                <c:ptCount val="1"/>
                <c:pt idx="0">
                  <c:v>Total</c:v>
                </c:pt>
              </c:strCache>
            </c:strRef>
          </c:tx>
          <c:spPr>
            <a:solidFill>
              <a:schemeClr val="accent3"/>
            </a:solidFill>
            <a:ln>
              <a:noFill/>
            </a:ln>
            <a:effectLst>
              <a:glow rad="63500">
                <a:schemeClr val="accent2">
                  <a:satMod val="175000"/>
                  <a:alpha val="40000"/>
                </a:schemeClr>
              </a:glow>
            </a:effectLst>
          </c:spPr>
          <c:invertIfNegative val="0"/>
          <c:dPt>
            <c:idx val="0"/>
            <c:invertIfNegative val="0"/>
            <c:bubble3D val="0"/>
            <c:spPr>
              <a:solidFill>
                <a:srgbClr val="FFC000"/>
              </a:solidFill>
              <a:ln>
                <a:noFill/>
              </a:ln>
              <a:effectLst>
                <a:glow rad="63500">
                  <a:schemeClr val="accent2">
                    <a:satMod val="175000"/>
                    <a:alpha val="40000"/>
                  </a:schemeClr>
                </a:glow>
              </a:effectLst>
            </c:spPr>
            <c:extLst>
              <c:ext xmlns:c16="http://schemas.microsoft.com/office/drawing/2014/chart" uri="{C3380CC4-5D6E-409C-BE32-E72D297353CC}">
                <c16:uniqueId val="{00000004-CB58-4FCF-9E1B-0BE7BB86F708}"/>
              </c:ext>
            </c:extLst>
          </c:dPt>
          <c:dPt>
            <c:idx val="1"/>
            <c:invertIfNegative val="0"/>
            <c:bubble3D val="0"/>
            <c:spPr>
              <a:solidFill>
                <a:srgbClr val="0000FF"/>
              </a:solidFill>
              <a:ln>
                <a:noFill/>
              </a:ln>
              <a:effectLst>
                <a:glow rad="63500">
                  <a:schemeClr val="accent2">
                    <a:satMod val="175000"/>
                    <a:alpha val="40000"/>
                  </a:schemeClr>
                </a:glow>
              </a:effectLst>
            </c:spPr>
            <c:extLst>
              <c:ext xmlns:c16="http://schemas.microsoft.com/office/drawing/2014/chart" uri="{C3380CC4-5D6E-409C-BE32-E72D297353CC}">
                <c16:uniqueId val="{00000005-CB58-4FCF-9E1B-0BE7BB86F708}"/>
              </c:ext>
            </c:extLst>
          </c:dPt>
          <c:dPt>
            <c:idx val="2"/>
            <c:invertIfNegative val="0"/>
            <c:bubble3D val="0"/>
            <c:spPr>
              <a:solidFill>
                <a:srgbClr val="FF0000"/>
              </a:solidFill>
              <a:ln>
                <a:noFill/>
              </a:ln>
              <a:effectLst>
                <a:glow rad="63500">
                  <a:schemeClr val="accent2">
                    <a:satMod val="175000"/>
                    <a:alpha val="40000"/>
                  </a:schemeClr>
                </a:glow>
              </a:effectLst>
            </c:spPr>
            <c:extLst>
              <c:ext xmlns:c16="http://schemas.microsoft.com/office/drawing/2014/chart" uri="{C3380CC4-5D6E-409C-BE32-E72D297353CC}">
                <c16:uniqueId val="{00000006-CB58-4FCF-9E1B-0BE7BB86F708}"/>
              </c:ext>
            </c:extLst>
          </c:dPt>
          <c:dPt>
            <c:idx val="3"/>
            <c:invertIfNegative val="0"/>
            <c:bubble3D val="0"/>
            <c:spPr>
              <a:solidFill>
                <a:srgbClr val="00B050"/>
              </a:solidFill>
              <a:ln>
                <a:noFill/>
              </a:ln>
              <a:effectLst>
                <a:glow rad="63500">
                  <a:schemeClr val="accent2">
                    <a:satMod val="175000"/>
                    <a:alpha val="40000"/>
                  </a:schemeClr>
                </a:glow>
              </a:effectLst>
            </c:spPr>
            <c:extLst>
              <c:ext xmlns:c16="http://schemas.microsoft.com/office/drawing/2014/chart" uri="{C3380CC4-5D6E-409C-BE32-E72D297353CC}">
                <c16:uniqueId val="{00000007-CB58-4FCF-9E1B-0BE7BB86F708}"/>
              </c:ext>
            </c:extLst>
          </c:dPt>
          <c:dPt>
            <c:idx val="4"/>
            <c:invertIfNegative val="0"/>
            <c:bubble3D val="0"/>
            <c:spPr>
              <a:solidFill>
                <a:schemeClr val="accent2">
                  <a:lumMod val="60000"/>
                  <a:lumOff val="40000"/>
                </a:schemeClr>
              </a:solidFill>
              <a:ln>
                <a:noFill/>
              </a:ln>
              <a:effectLst>
                <a:glow rad="63500">
                  <a:schemeClr val="accent2">
                    <a:satMod val="175000"/>
                    <a:alpha val="40000"/>
                  </a:schemeClr>
                </a:glow>
              </a:effectLst>
            </c:spPr>
            <c:extLst>
              <c:ext xmlns:c16="http://schemas.microsoft.com/office/drawing/2014/chart" uri="{C3380CC4-5D6E-409C-BE32-E72D297353CC}">
                <c16:uniqueId val="{00000008-CB58-4FCF-9E1B-0BE7BB86F708}"/>
              </c:ext>
            </c:extLst>
          </c:dPt>
          <c:dPt>
            <c:idx val="5"/>
            <c:invertIfNegative val="0"/>
            <c:bubble3D val="0"/>
            <c:spPr>
              <a:solidFill>
                <a:srgbClr val="002060"/>
              </a:solidFill>
              <a:ln>
                <a:noFill/>
              </a:ln>
              <a:effectLst>
                <a:glow rad="63500">
                  <a:schemeClr val="accent2">
                    <a:satMod val="175000"/>
                    <a:alpha val="40000"/>
                  </a:schemeClr>
                </a:glow>
              </a:effectLst>
            </c:spPr>
            <c:extLst>
              <c:ext xmlns:c16="http://schemas.microsoft.com/office/drawing/2014/chart" uri="{C3380CC4-5D6E-409C-BE32-E72D297353CC}">
                <c16:uniqueId val="{00000009-CB58-4FCF-9E1B-0BE7BB86F708}"/>
              </c:ext>
            </c:extLst>
          </c:dPt>
          <c:dPt>
            <c:idx val="6"/>
            <c:invertIfNegative val="0"/>
            <c:bubble3D val="0"/>
            <c:spPr>
              <a:solidFill>
                <a:schemeClr val="accent6">
                  <a:lumMod val="75000"/>
                </a:schemeClr>
              </a:solidFill>
              <a:ln>
                <a:noFill/>
              </a:ln>
              <a:effectLst>
                <a:glow rad="63500">
                  <a:schemeClr val="accent2">
                    <a:satMod val="175000"/>
                    <a:alpha val="40000"/>
                  </a:schemeClr>
                </a:glow>
              </a:effectLst>
            </c:spPr>
            <c:extLst>
              <c:ext xmlns:c16="http://schemas.microsoft.com/office/drawing/2014/chart" uri="{C3380CC4-5D6E-409C-BE32-E72D297353CC}">
                <c16:uniqueId val="{0000000A-CB58-4FCF-9E1B-0BE7BB86F708}"/>
              </c:ext>
            </c:extLst>
          </c:dPt>
          <c:dPt>
            <c:idx val="7"/>
            <c:invertIfNegative val="0"/>
            <c:bubble3D val="0"/>
            <c:spPr>
              <a:solidFill>
                <a:schemeClr val="accent4">
                  <a:lumMod val="60000"/>
                  <a:lumOff val="40000"/>
                </a:schemeClr>
              </a:solidFill>
              <a:ln>
                <a:noFill/>
              </a:ln>
              <a:effectLst>
                <a:glow rad="63500">
                  <a:schemeClr val="accent2">
                    <a:satMod val="175000"/>
                    <a:alpha val="40000"/>
                  </a:schemeClr>
                </a:glow>
              </a:effectLst>
            </c:spPr>
            <c:extLst>
              <c:ext xmlns:c16="http://schemas.microsoft.com/office/drawing/2014/chart" uri="{C3380CC4-5D6E-409C-BE32-E72D297353CC}">
                <c16:uniqueId val="{0000000B-CB58-4FCF-9E1B-0BE7BB86F708}"/>
              </c:ext>
            </c:extLst>
          </c:dPt>
          <c:cat>
            <c:strRef>
              <c:f>ResumenSprint!$B$155:$B$162</c:f>
              <c:strCache>
                <c:ptCount val="8"/>
                <c:pt idx="0">
                  <c:v>Ambiente</c:v>
                </c:pt>
                <c:pt idx="1">
                  <c:v>Datos</c:v>
                </c:pt>
                <c:pt idx="2">
                  <c:v>Documentación</c:v>
                </c:pt>
                <c:pt idx="3">
                  <c:v>Funcionalidad</c:v>
                </c:pt>
                <c:pt idx="4">
                  <c:v>Presentacion</c:v>
                </c:pt>
                <c:pt idx="5">
                  <c:v>Rendimiento</c:v>
                </c:pt>
                <c:pt idx="6">
                  <c:v>Seguridad</c:v>
                </c:pt>
                <c:pt idx="7">
                  <c:v>Total</c:v>
                </c:pt>
              </c:strCache>
            </c:strRef>
          </c:cat>
          <c:val>
            <c:numRef>
              <c:f>ResumenSprint!$E$155:$E$162</c:f>
              <c:numCache>
                <c:formatCode>General</c:formatCode>
                <c:ptCount val="8"/>
                <c:pt idx="0">
                  <c:v>0</c:v>
                </c:pt>
                <c:pt idx="1">
                  <c:v>5</c:v>
                </c:pt>
                <c:pt idx="2">
                  <c:v>0</c:v>
                </c:pt>
                <c:pt idx="3">
                  <c:v>0</c:v>
                </c:pt>
                <c:pt idx="4">
                  <c:v>0</c:v>
                </c:pt>
                <c:pt idx="5">
                  <c:v>0</c:v>
                </c:pt>
                <c:pt idx="6">
                  <c:v>0</c:v>
                </c:pt>
                <c:pt idx="7">
                  <c:v>5</c:v>
                </c:pt>
              </c:numCache>
            </c:numRef>
          </c:val>
          <c:extLst>
            <c:ext xmlns:c16="http://schemas.microsoft.com/office/drawing/2014/chart" uri="{C3380CC4-5D6E-409C-BE32-E72D297353CC}">
              <c16:uniqueId val="{00000002-CB58-4FCF-9E1B-0BE7BB86F708}"/>
            </c:ext>
          </c:extLst>
        </c:ser>
        <c:dLbls>
          <c:showLegendKey val="0"/>
          <c:showVal val="0"/>
          <c:showCatName val="0"/>
          <c:showSerName val="0"/>
          <c:showPercent val="0"/>
          <c:showBubbleSize val="0"/>
        </c:dLbls>
        <c:gapWidth val="219"/>
        <c:overlap val="-27"/>
        <c:axId val="660652920"/>
        <c:axId val="660651936"/>
        <c:extLst>
          <c:ext xmlns:c15="http://schemas.microsoft.com/office/drawing/2012/chart" uri="{02D57815-91ED-43cb-92C2-25804820EDAC}">
            <c15:filteredBarSeries>
              <c15:ser>
                <c:idx val="0"/>
                <c:order val="0"/>
                <c:tx>
                  <c:strRef>
                    <c:extLst>
                      <c:ext uri="{02D57815-91ED-43cb-92C2-25804820EDAC}">
                        <c15:formulaRef>
                          <c15:sqref>ResumenSprint!$C$154</c15:sqref>
                        </c15:formulaRef>
                      </c:ext>
                    </c:extLst>
                    <c:strCache>
                      <c:ptCount val="1"/>
                    </c:strCache>
                  </c:strRef>
                </c:tx>
                <c:spPr>
                  <a:solidFill>
                    <a:schemeClr val="accent1"/>
                  </a:solidFill>
                  <a:ln>
                    <a:noFill/>
                  </a:ln>
                  <a:effectLst/>
                </c:spPr>
                <c:invertIfNegative val="0"/>
                <c:cat>
                  <c:strRef>
                    <c:extLst>
                      <c:ext uri="{02D57815-91ED-43cb-92C2-25804820EDAC}">
                        <c15:formulaRef>
                          <c15:sqref>ResumenSprint!$B$155:$B$162</c15:sqref>
                        </c15:formulaRef>
                      </c:ext>
                    </c:extLst>
                    <c:strCache>
                      <c:ptCount val="8"/>
                      <c:pt idx="0">
                        <c:v>Ambiente</c:v>
                      </c:pt>
                      <c:pt idx="1">
                        <c:v>Datos</c:v>
                      </c:pt>
                      <c:pt idx="2">
                        <c:v>Documentación</c:v>
                      </c:pt>
                      <c:pt idx="3">
                        <c:v>Funcionalidad</c:v>
                      </c:pt>
                      <c:pt idx="4">
                        <c:v>Presentacion</c:v>
                      </c:pt>
                      <c:pt idx="5">
                        <c:v>Rendimiento</c:v>
                      </c:pt>
                      <c:pt idx="6">
                        <c:v>Seguridad</c:v>
                      </c:pt>
                      <c:pt idx="7">
                        <c:v>Total</c:v>
                      </c:pt>
                    </c:strCache>
                  </c:strRef>
                </c:cat>
                <c:val>
                  <c:numRef>
                    <c:extLst>
                      <c:ext uri="{02D57815-91ED-43cb-92C2-25804820EDAC}">
                        <c15:formulaRef>
                          <c15:sqref>ResumenSprint!$C$155:$C$162</c15:sqref>
                        </c15:formulaRef>
                      </c:ext>
                    </c:extLst>
                    <c:numCache>
                      <c:formatCode>General</c:formatCode>
                      <c:ptCount val="8"/>
                    </c:numCache>
                  </c:numRef>
                </c:val>
                <c:extLst>
                  <c:ext xmlns:c16="http://schemas.microsoft.com/office/drawing/2014/chart" uri="{C3380CC4-5D6E-409C-BE32-E72D297353CC}">
                    <c16:uniqueId val="{00000000-CB58-4FCF-9E1B-0BE7BB86F708}"/>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ResumenSprint!$D$154</c15:sqref>
                        </c15:formulaRef>
                      </c:ext>
                    </c:extLst>
                    <c:strCache>
                      <c:ptCount val="1"/>
                    </c:strCache>
                  </c:strRef>
                </c:tx>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ResumenSprint!$B$155:$B$162</c15:sqref>
                        </c15:formulaRef>
                      </c:ext>
                    </c:extLst>
                    <c:strCache>
                      <c:ptCount val="8"/>
                      <c:pt idx="0">
                        <c:v>Ambiente</c:v>
                      </c:pt>
                      <c:pt idx="1">
                        <c:v>Datos</c:v>
                      </c:pt>
                      <c:pt idx="2">
                        <c:v>Documentación</c:v>
                      </c:pt>
                      <c:pt idx="3">
                        <c:v>Funcionalidad</c:v>
                      </c:pt>
                      <c:pt idx="4">
                        <c:v>Presentacion</c:v>
                      </c:pt>
                      <c:pt idx="5">
                        <c:v>Rendimiento</c:v>
                      </c:pt>
                      <c:pt idx="6">
                        <c:v>Seguridad</c:v>
                      </c:pt>
                      <c:pt idx="7">
                        <c:v>Total</c:v>
                      </c:pt>
                    </c:strCache>
                  </c:strRef>
                </c:cat>
                <c:val>
                  <c:numRef>
                    <c:extLst xmlns:c15="http://schemas.microsoft.com/office/drawing/2012/chart">
                      <c:ext xmlns:c15="http://schemas.microsoft.com/office/drawing/2012/chart" uri="{02D57815-91ED-43cb-92C2-25804820EDAC}">
                        <c15:formulaRef>
                          <c15:sqref>ResumenSprint!$D$155:$D$162</c15:sqref>
                        </c15:formulaRef>
                      </c:ext>
                    </c:extLst>
                    <c:numCache>
                      <c:formatCode>General</c:formatCode>
                      <c:ptCount val="8"/>
                    </c:numCache>
                  </c:numRef>
                </c:val>
                <c:extLst xmlns:c15="http://schemas.microsoft.com/office/drawing/2012/chart">
                  <c:ext xmlns:c16="http://schemas.microsoft.com/office/drawing/2014/chart" uri="{C3380CC4-5D6E-409C-BE32-E72D297353CC}">
                    <c16:uniqueId val="{00000001-CB58-4FCF-9E1B-0BE7BB86F708}"/>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ResumenSprint!$F$154</c15:sqref>
                        </c15:formulaRef>
                      </c:ext>
                    </c:extLst>
                    <c:strCache>
                      <c:ptCount val="1"/>
                    </c:strCache>
                  </c:strRef>
                </c:tx>
                <c:spPr>
                  <a:solidFill>
                    <a:schemeClr val="accent4"/>
                  </a:solidFill>
                  <a:ln>
                    <a:noFill/>
                  </a:ln>
                  <a:effectLst/>
                </c:spPr>
                <c:invertIfNegative val="0"/>
                <c:cat>
                  <c:strRef>
                    <c:extLst xmlns:c15="http://schemas.microsoft.com/office/drawing/2012/chart">
                      <c:ext xmlns:c15="http://schemas.microsoft.com/office/drawing/2012/chart" uri="{02D57815-91ED-43cb-92C2-25804820EDAC}">
                        <c15:formulaRef>
                          <c15:sqref>ResumenSprint!$B$155:$B$162</c15:sqref>
                        </c15:formulaRef>
                      </c:ext>
                    </c:extLst>
                    <c:strCache>
                      <c:ptCount val="8"/>
                      <c:pt idx="0">
                        <c:v>Ambiente</c:v>
                      </c:pt>
                      <c:pt idx="1">
                        <c:v>Datos</c:v>
                      </c:pt>
                      <c:pt idx="2">
                        <c:v>Documentación</c:v>
                      </c:pt>
                      <c:pt idx="3">
                        <c:v>Funcionalidad</c:v>
                      </c:pt>
                      <c:pt idx="4">
                        <c:v>Presentacion</c:v>
                      </c:pt>
                      <c:pt idx="5">
                        <c:v>Rendimiento</c:v>
                      </c:pt>
                      <c:pt idx="6">
                        <c:v>Seguridad</c:v>
                      </c:pt>
                      <c:pt idx="7">
                        <c:v>Total</c:v>
                      </c:pt>
                    </c:strCache>
                  </c:strRef>
                </c:cat>
                <c:val>
                  <c:numRef>
                    <c:extLst xmlns:c15="http://schemas.microsoft.com/office/drawing/2012/chart">
                      <c:ext xmlns:c15="http://schemas.microsoft.com/office/drawing/2012/chart" uri="{02D57815-91ED-43cb-92C2-25804820EDAC}">
                        <c15:formulaRef>
                          <c15:sqref>ResumenSprint!$F$155:$F$162</c15:sqref>
                        </c15:formulaRef>
                      </c:ext>
                    </c:extLst>
                    <c:numCache>
                      <c:formatCode>General</c:formatCode>
                      <c:ptCount val="8"/>
                    </c:numCache>
                  </c:numRef>
                </c:val>
                <c:extLst xmlns:c15="http://schemas.microsoft.com/office/drawing/2012/chart">
                  <c:ext xmlns:c16="http://schemas.microsoft.com/office/drawing/2014/chart" uri="{C3380CC4-5D6E-409C-BE32-E72D297353CC}">
                    <c16:uniqueId val="{00000003-CB58-4FCF-9E1B-0BE7BB86F708}"/>
                  </c:ext>
                </c:extLst>
              </c15:ser>
            </c15:filteredBarSeries>
          </c:ext>
        </c:extLst>
      </c:barChart>
      <c:catAx>
        <c:axId val="660652920"/>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60651936"/>
        <c:crosses val="autoZero"/>
        <c:auto val="1"/>
        <c:lblAlgn val="ctr"/>
        <c:lblOffset val="100"/>
        <c:noMultiLvlLbl val="0"/>
      </c:catAx>
      <c:valAx>
        <c:axId val="660651936"/>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6065292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Tiempos</a:t>
            </a:r>
            <a:r>
              <a:rPr lang="en-US" baseline="0"/>
              <a:t> de Solución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2"/>
          <c:order val="2"/>
          <c:tx>
            <c:strRef>
              <c:f>ResumenSprint!$E$172</c:f>
              <c:strCache>
                <c:ptCount val="1"/>
                <c:pt idx="0">
                  <c:v>Total</c:v>
                </c:pt>
              </c:strCache>
            </c:strRef>
          </c:tx>
          <c:spPr>
            <a:solidFill>
              <a:schemeClr val="accent3"/>
            </a:solidFill>
            <a:ln>
              <a:noFill/>
            </a:ln>
            <a:effectLst/>
          </c:spPr>
          <c:invertIfNegative val="0"/>
          <c:dPt>
            <c:idx val="0"/>
            <c:invertIfNegative val="0"/>
            <c:bubble3D val="0"/>
            <c:spPr>
              <a:solidFill>
                <a:srgbClr val="FFFF00"/>
              </a:solidFill>
              <a:ln>
                <a:noFill/>
              </a:ln>
              <a:effectLst/>
            </c:spPr>
            <c:extLst>
              <c:ext xmlns:c16="http://schemas.microsoft.com/office/drawing/2014/chart" uri="{C3380CC4-5D6E-409C-BE32-E72D297353CC}">
                <c16:uniqueId val="{00000004-2DB8-4669-8B01-685B0A3D063F}"/>
              </c:ext>
            </c:extLst>
          </c:dPt>
          <c:dPt>
            <c:idx val="1"/>
            <c:invertIfNegative val="0"/>
            <c:bubble3D val="0"/>
            <c:spPr>
              <a:solidFill>
                <a:srgbClr val="0000FF"/>
              </a:solidFill>
              <a:ln>
                <a:noFill/>
              </a:ln>
              <a:effectLst/>
            </c:spPr>
            <c:extLst>
              <c:ext xmlns:c16="http://schemas.microsoft.com/office/drawing/2014/chart" uri="{C3380CC4-5D6E-409C-BE32-E72D297353CC}">
                <c16:uniqueId val="{00000005-2DB8-4669-8B01-685B0A3D063F}"/>
              </c:ext>
            </c:extLst>
          </c:dPt>
          <c:dPt>
            <c:idx val="2"/>
            <c:invertIfNegative val="0"/>
            <c:bubble3D val="0"/>
            <c:spPr>
              <a:solidFill>
                <a:srgbClr val="FF0000"/>
              </a:solidFill>
              <a:ln>
                <a:noFill/>
              </a:ln>
              <a:effectLst/>
            </c:spPr>
            <c:extLst>
              <c:ext xmlns:c16="http://schemas.microsoft.com/office/drawing/2014/chart" uri="{C3380CC4-5D6E-409C-BE32-E72D297353CC}">
                <c16:uniqueId val="{00000006-2DB8-4669-8B01-685B0A3D063F}"/>
              </c:ext>
            </c:extLst>
          </c:dPt>
          <c:cat>
            <c:strRef>
              <c:f>ResumenSprint!$B$173:$B$175</c:f>
              <c:strCache>
                <c:ptCount val="3"/>
                <c:pt idx="0">
                  <c:v>Cantidad de Bug</c:v>
                </c:pt>
                <c:pt idx="1">
                  <c:v>0 Incidente(s) representan, esta candidad de días</c:v>
                </c:pt>
                <c:pt idx="2">
                  <c:v>Horas invertidas en la solución</c:v>
                </c:pt>
              </c:strCache>
            </c:strRef>
          </c:cat>
          <c:val>
            <c:numRef>
              <c:f>ResumenSprint!$E$173:$E$175</c:f>
              <c:numCache>
                <c:formatCode>General</c:formatCode>
                <c:ptCount val="3"/>
                <c:pt idx="0">
                  <c:v>5</c:v>
                </c:pt>
                <c:pt idx="1">
                  <c:v>0</c:v>
                </c:pt>
                <c:pt idx="2">
                  <c:v>0</c:v>
                </c:pt>
              </c:numCache>
            </c:numRef>
          </c:val>
          <c:extLst>
            <c:ext xmlns:c16="http://schemas.microsoft.com/office/drawing/2014/chart" uri="{C3380CC4-5D6E-409C-BE32-E72D297353CC}">
              <c16:uniqueId val="{00000002-2DB8-4669-8B01-685B0A3D063F}"/>
            </c:ext>
          </c:extLst>
        </c:ser>
        <c:dLbls>
          <c:showLegendKey val="0"/>
          <c:showVal val="0"/>
          <c:showCatName val="0"/>
          <c:showSerName val="0"/>
          <c:showPercent val="0"/>
          <c:showBubbleSize val="0"/>
        </c:dLbls>
        <c:gapWidth val="219"/>
        <c:overlap val="-27"/>
        <c:axId val="780362800"/>
        <c:axId val="780356240"/>
        <c:extLst>
          <c:ext xmlns:c15="http://schemas.microsoft.com/office/drawing/2012/chart" uri="{02D57815-91ED-43cb-92C2-25804820EDAC}">
            <c15:filteredBarSeries>
              <c15:ser>
                <c:idx val="0"/>
                <c:order val="0"/>
                <c:tx>
                  <c:strRef>
                    <c:extLst>
                      <c:ext uri="{02D57815-91ED-43cb-92C2-25804820EDAC}">
                        <c15:formulaRef>
                          <c15:sqref>ResumenSprint!$C$172</c15:sqref>
                        </c15:formulaRef>
                      </c:ext>
                    </c:extLst>
                    <c:strCache>
                      <c:ptCount val="1"/>
                    </c:strCache>
                  </c:strRef>
                </c:tx>
                <c:spPr>
                  <a:solidFill>
                    <a:schemeClr val="accent1"/>
                  </a:solidFill>
                  <a:ln>
                    <a:noFill/>
                  </a:ln>
                  <a:effectLst/>
                </c:spPr>
                <c:invertIfNegative val="0"/>
                <c:cat>
                  <c:strRef>
                    <c:extLst>
                      <c:ext uri="{02D57815-91ED-43cb-92C2-25804820EDAC}">
                        <c15:formulaRef>
                          <c15:sqref>ResumenSprint!$B$173:$B$175</c15:sqref>
                        </c15:formulaRef>
                      </c:ext>
                    </c:extLst>
                    <c:strCache>
                      <c:ptCount val="3"/>
                      <c:pt idx="0">
                        <c:v>Cantidad de Bug</c:v>
                      </c:pt>
                      <c:pt idx="1">
                        <c:v>0 Incidente(s) representan, esta candidad de días</c:v>
                      </c:pt>
                      <c:pt idx="2">
                        <c:v>Horas invertidas en la solución</c:v>
                      </c:pt>
                    </c:strCache>
                  </c:strRef>
                </c:cat>
                <c:val>
                  <c:numRef>
                    <c:extLst>
                      <c:ext uri="{02D57815-91ED-43cb-92C2-25804820EDAC}">
                        <c15:formulaRef>
                          <c15:sqref>ResumenSprint!$C$173:$C$175</c15:sqref>
                        </c15:formulaRef>
                      </c:ext>
                    </c:extLst>
                    <c:numCache>
                      <c:formatCode>General</c:formatCode>
                      <c:ptCount val="3"/>
                    </c:numCache>
                  </c:numRef>
                </c:val>
                <c:extLst>
                  <c:ext xmlns:c16="http://schemas.microsoft.com/office/drawing/2014/chart" uri="{C3380CC4-5D6E-409C-BE32-E72D297353CC}">
                    <c16:uniqueId val="{00000000-2DB8-4669-8B01-685B0A3D063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ResumenSprint!$D$172</c15:sqref>
                        </c15:formulaRef>
                      </c:ext>
                    </c:extLst>
                    <c:strCache>
                      <c:ptCount val="1"/>
                    </c:strCache>
                  </c:strRef>
                </c:tx>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ResumenSprint!$B$173:$B$175</c15:sqref>
                        </c15:formulaRef>
                      </c:ext>
                    </c:extLst>
                    <c:strCache>
                      <c:ptCount val="3"/>
                      <c:pt idx="0">
                        <c:v>Cantidad de Bug</c:v>
                      </c:pt>
                      <c:pt idx="1">
                        <c:v>0 Incidente(s) representan, esta candidad de días</c:v>
                      </c:pt>
                      <c:pt idx="2">
                        <c:v>Horas invertidas en la solución</c:v>
                      </c:pt>
                    </c:strCache>
                  </c:strRef>
                </c:cat>
                <c:val>
                  <c:numRef>
                    <c:extLst xmlns:c15="http://schemas.microsoft.com/office/drawing/2012/chart">
                      <c:ext xmlns:c15="http://schemas.microsoft.com/office/drawing/2012/chart" uri="{02D57815-91ED-43cb-92C2-25804820EDAC}">
                        <c15:formulaRef>
                          <c15:sqref>ResumenSprint!$D$173:$D$175</c15:sqref>
                        </c15:formulaRef>
                      </c:ext>
                    </c:extLst>
                    <c:numCache>
                      <c:formatCode>General</c:formatCode>
                      <c:ptCount val="3"/>
                    </c:numCache>
                  </c:numRef>
                </c:val>
                <c:extLst xmlns:c15="http://schemas.microsoft.com/office/drawing/2012/chart">
                  <c:ext xmlns:c16="http://schemas.microsoft.com/office/drawing/2014/chart" uri="{C3380CC4-5D6E-409C-BE32-E72D297353CC}">
                    <c16:uniqueId val="{00000001-2DB8-4669-8B01-685B0A3D063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ResumenSprint!$F$172</c15:sqref>
                        </c15:formulaRef>
                      </c:ext>
                    </c:extLst>
                    <c:strCache>
                      <c:ptCount val="1"/>
                    </c:strCache>
                  </c:strRef>
                </c:tx>
                <c:spPr>
                  <a:solidFill>
                    <a:schemeClr val="accent4"/>
                  </a:solidFill>
                  <a:ln>
                    <a:noFill/>
                  </a:ln>
                  <a:effectLst/>
                </c:spPr>
                <c:invertIfNegative val="0"/>
                <c:cat>
                  <c:strRef>
                    <c:extLst xmlns:c15="http://schemas.microsoft.com/office/drawing/2012/chart">
                      <c:ext xmlns:c15="http://schemas.microsoft.com/office/drawing/2012/chart" uri="{02D57815-91ED-43cb-92C2-25804820EDAC}">
                        <c15:formulaRef>
                          <c15:sqref>ResumenSprint!$B$173:$B$175</c15:sqref>
                        </c15:formulaRef>
                      </c:ext>
                    </c:extLst>
                    <c:strCache>
                      <c:ptCount val="3"/>
                      <c:pt idx="0">
                        <c:v>Cantidad de Bug</c:v>
                      </c:pt>
                      <c:pt idx="1">
                        <c:v>0 Incidente(s) representan, esta candidad de días</c:v>
                      </c:pt>
                      <c:pt idx="2">
                        <c:v>Horas invertidas en la solución</c:v>
                      </c:pt>
                    </c:strCache>
                  </c:strRef>
                </c:cat>
                <c:val>
                  <c:numRef>
                    <c:extLst xmlns:c15="http://schemas.microsoft.com/office/drawing/2012/chart">
                      <c:ext xmlns:c15="http://schemas.microsoft.com/office/drawing/2012/chart" uri="{02D57815-91ED-43cb-92C2-25804820EDAC}">
                        <c15:formulaRef>
                          <c15:sqref>ResumenSprint!$F$173:$F$175</c15:sqref>
                        </c15:formulaRef>
                      </c:ext>
                    </c:extLst>
                    <c:numCache>
                      <c:formatCode>General</c:formatCode>
                      <c:ptCount val="3"/>
                    </c:numCache>
                  </c:numRef>
                </c:val>
                <c:extLst xmlns:c15="http://schemas.microsoft.com/office/drawing/2012/chart">
                  <c:ext xmlns:c16="http://schemas.microsoft.com/office/drawing/2014/chart" uri="{C3380CC4-5D6E-409C-BE32-E72D297353CC}">
                    <c16:uniqueId val="{00000003-2DB8-4669-8B01-685B0A3D063F}"/>
                  </c:ext>
                </c:extLst>
              </c15:ser>
            </c15:filteredBarSeries>
          </c:ext>
        </c:extLst>
      </c:barChart>
      <c:catAx>
        <c:axId val="780362800"/>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80356240"/>
        <c:crosses val="autoZero"/>
        <c:auto val="1"/>
        <c:lblAlgn val="ctr"/>
        <c:lblOffset val="100"/>
        <c:noMultiLvlLbl val="0"/>
      </c:catAx>
      <c:valAx>
        <c:axId val="780356240"/>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8036280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7.png"/></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0.png"/></Relationships>
</file>

<file path=xl/drawings/_rels/drawing5.xml.rels><?xml version="1.0" encoding="UTF-8" standalone="yes"?>
<Relationships xmlns="http://schemas.openxmlformats.org/package/2006/relationships"><Relationship Id="rId1" Type="http://schemas.openxmlformats.org/officeDocument/2006/relationships/image" Target="../media/image11.png"/></Relationships>
</file>

<file path=xl/drawings/_rels/drawing6.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12" Type="http://schemas.openxmlformats.org/officeDocument/2006/relationships/chart" Target="../charts/chart11.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2.png"/><Relationship Id="rId11" Type="http://schemas.openxmlformats.org/officeDocument/2006/relationships/chart" Target="../charts/chart10.xml"/><Relationship Id="rId5" Type="http://schemas.openxmlformats.org/officeDocument/2006/relationships/chart" Target="../charts/chart5.xml"/><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29</xdr:row>
          <xdr:rowOff>161925</xdr:rowOff>
        </xdr:from>
        <xdr:to>
          <xdr:col>5</xdr:col>
          <xdr:colOff>238125</xdr:colOff>
          <xdr:row>34</xdr:row>
          <xdr:rowOff>114300</xdr:rowOff>
        </xdr:to>
        <xdr:sp macro="" textlink="">
          <xdr:nvSpPr>
            <xdr:cNvPr id="1026" name="CommandButton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533400</xdr:colOff>
          <xdr:row>29</xdr:row>
          <xdr:rowOff>180975</xdr:rowOff>
        </xdr:from>
        <xdr:to>
          <xdr:col>13</xdr:col>
          <xdr:colOff>723900</xdr:colOff>
          <xdr:row>34</xdr:row>
          <xdr:rowOff>133350</xdr:rowOff>
        </xdr:to>
        <xdr:sp macro="" textlink="">
          <xdr:nvSpPr>
            <xdr:cNvPr id="1027" name="CommandButton2"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38</xdr:row>
          <xdr:rowOff>0</xdr:rowOff>
        </xdr:from>
        <xdr:to>
          <xdr:col>7</xdr:col>
          <xdr:colOff>209550</xdr:colOff>
          <xdr:row>42</xdr:row>
          <xdr:rowOff>142875</xdr:rowOff>
        </xdr:to>
        <xdr:sp macro="" textlink="">
          <xdr:nvSpPr>
            <xdr:cNvPr id="1028" name="CommandButton3"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381000</xdr:colOff>
          <xdr:row>46</xdr:row>
          <xdr:rowOff>19050</xdr:rowOff>
        </xdr:from>
        <xdr:to>
          <xdr:col>12</xdr:col>
          <xdr:colOff>571500</xdr:colOff>
          <xdr:row>50</xdr:row>
          <xdr:rowOff>161925</xdr:rowOff>
        </xdr:to>
        <xdr:sp macro="" textlink="">
          <xdr:nvSpPr>
            <xdr:cNvPr id="1029" name="CommandButton4"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6</xdr:col>
      <xdr:colOff>428625</xdr:colOff>
      <xdr:row>28</xdr:row>
      <xdr:rowOff>161925</xdr:rowOff>
    </xdr:from>
    <xdr:to>
      <xdr:col>8</xdr:col>
      <xdr:colOff>533400</xdr:colOff>
      <xdr:row>36</xdr:row>
      <xdr:rowOff>103823</xdr:rowOff>
    </xdr:to>
    <xdr:pic>
      <xdr:nvPicPr>
        <xdr:cNvPr id="7" name="Imagen 6" descr="Resultado de imagen para iconos de planeacion.pn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00625" y="6019800"/>
          <a:ext cx="1628775" cy="1465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8</xdr:col>
          <xdr:colOff>390525</xdr:colOff>
          <xdr:row>38</xdr:row>
          <xdr:rowOff>0</xdr:rowOff>
        </xdr:from>
        <xdr:to>
          <xdr:col>12</xdr:col>
          <xdr:colOff>581025</xdr:colOff>
          <xdr:row>42</xdr:row>
          <xdr:rowOff>142875</xdr:rowOff>
        </xdr:to>
        <xdr:sp macro="" textlink="">
          <xdr:nvSpPr>
            <xdr:cNvPr id="1030" name="CommandButton5"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46</xdr:row>
          <xdr:rowOff>0</xdr:rowOff>
        </xdr:from>
        <xdr:to>
          <xdr:col>7</xdr:col>
          <xdr:colOff>228600</xdr:colOff>
          <xdr:row>50</xdr:row>
          <xdr:rowOff>142875</xdr:rowOff>
        </xdr:to>
        <xdr:sp macro="" textlink="">
          <xdr:nvSpPr>
            <xdr:cNvPr id="1031" name="CommandButton6"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14</xdr:col>
      <xdr:colOff>733425</xdr:colOff>
      <xdr:row>1</xdr:row>
      <xdr:rowOff>19051</xdr:rowOff>
    </xdr:from>
    <xdr:to>
      <xdr:col>16</xdr:col>
      <xdr:colOff>642953</xdr:colOff>
      <xdr:row>8</xdr:row>
      <xdr:rowOff>0</xdr:rowOff>
    </xdr:to>
    <xdr:pic>
      <xdr:nvPicPr>
        <xdr:cNvPr id="7" name="Imagen 6" descr="Resultado de imagen para planeacion icono png">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01425" y="457201"/>
          <a:ext cx="1433528" cy="13144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419100</xdr:colOff>
      <xdr:row>8</xdr:row>
      <xdr:rowOff>47625</xdr:rowOff>
    </xdr:from>
    <xdr:to>
      <xdr:col>9</xdr:col>
      <xdr:colOff>542924</xdr:colOff>
      <xdr:row>17</xdr:row>
      <xdr:rowOff>57149</xdr:rowOff>
    </xdr:to>
    <xdr:pic>
      <xdr:nvPicPr>
        <xdr:cNvPr id="3" name="Imagen 2" descr="Resultado de imagen para diseÃ±o icono png">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144125" y="1819275"/>
          <a:ext cx="1724024" cy="17240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304800</xdr:colOff>
      <xdr:row>7</xdr:row>
      <xdr:rowOff>104775</xdr:rowOff>
    </xdr:from>
    <xdr:to>
      <xdr:col>8</xdr:col>
      <xdr:colOff>2009775</xdr:colOff>
      <xdr:row>20</xdr:row>
      <xdr:rowOff>95250</xdr:rowOff>
    </xdr:to>
    <xdr:pic>
      <xdr:nvPicPr>
        <xdr:cNvPr id="7" name="Imagen 6" descr="Resultado de imagen para Bug software.png">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67750" y="1685925"/>
          <a:ext cx="2466975" cy="2466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428627</xdr:colOff>
      <xdr:row>0</xdr:row>
      <xdr:rowOff>428626</xdr:rowOff>
    </xdr:from>
    <xdr:to>
      <xdr:col>16</xdr:col>
      <xdr:colOff>1</xdr:colOff>
      <xdr:row>6</xdr:row>
      <xdr:rowOff>133350</xdr:rowOff>
    </xdr:to>
    <xdr:pic>
      <xdr:nvPicPr>
        <xdr:cNvPr id="2" name="Imagen 1" descr="Imagen relacionada">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096627" y="428626"/>
          <a:ext cx="1095374" cy="10953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371475</xdr:colOff>
      <xdr:row>25</xdr:row>
      <xdr:rowOff>185737</xdr:rowOff>
    </xdr:from>
    <xdr:to>
      <xdr:col>13</xdr:col>
      <xdr:colOff>371475</xdr:colOff>
      <xdr:row>40</xdr:row>
      <xdr:rowOff>71437</xdr:rowOff>
    </xdr:to>
    <xdr:graphicFrame macro="">
      <xdr:nvGraphicFramePr>
        <xdr:cNvPr id="6" name="Gráfico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390525</xdr:colOff>
      <xdr:row>42</xdr:row>
      <xdr:rowOff>176212</xdr:rowOff>
    </xdr:from>
    <xdr:to>
      <xdr:col>13</xdr:col>
      <xdr:colOff>390525</xdr:colOff>
      <xdr:row>57</xdr:row>
      <xdr:rowOff>61912</xdr:rowOff>
    </xdr:to>
    <xdr:graphicFrame macro="">
      <xdr:nvGraphicFramePr>
        <xdr:cNvPr id="7" name="Gráfico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409575</xdr:colOff>
      <xdr:row>42</xdr:row>
      <xdr:rowOff>138112</xdr:rowOff>
    </xdr:from>
    <xdr:to>
      <xdr:col>20</xdr:col>
      <xdr:colOff>409575</xdr:colOff>
      <xdr:row>57</xdr:row>
      <xdr:rowOff>23812</xdr:rowOff>
    </xdr:to>
    <xdr:graphicFrame macro="">
      <xdr:nvGraphicFramePr>
        <xdr:cNvPr id="8" name="Gráfico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485775</xdr:colOff>
      <xdr:row>42</xdr:row>
      <xdr:rowOff>157162</xdr:rowOff>
    </xdr:from>
    <xdr:to>
      <xdr:col>27</xdr:col>
      <xdr:colOff>485775</xdr:colOff>
      <xdr:row>57</xdr:row>
      <xdr:rowOff>42862</xdr:rowOff>
    </xdr:to>
    <xdr:graphicFrame macro="">
      <xdr:nvGraphicFramePr>
        <xdr:cNvPr id="11" name="Gráfico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438150</xdr:colOff>
      <xdr:row>60</xdr:row>
      <xdr:rowOff>100012</xdr:rowOff>
    </xdr:from>
    <xdr:to>
      <xdr:col>13</xdr:col>
      <xdr:colOff>438150</xdr:colOff>
      <xdr:row>74</xdr:row>
      <xdr:rowOff>176212</xdr:rowOff>
    </xdr:to>
    <xdr:graphicFrame macro="">
      <xdr:nvGraphicFramePr>
        <xdr:cNvPr id="12" name="Gráfico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7</xdr:col>
      <xdr:colOff>371476</xdr:colOff>
      <xdr:row>12</xdr:row>
      <xdr:rowOff>134893</xdr:rowOff>
    </xdr:from>
    <xdr:to>
      <xdr:col>13</xdr:col>
      <xdr:colOff>123826</xdr:colOff>
      <xdr:row>25</xdr:row>
      <xdr:rowOff>39374</xdr:rowOff>
    </xdr:to>
    <xdr:pic>
      <xdr:nvPicPr>
        <xdr:cNvPr id="13" name="Imagen 12" descr="Resultado de imagen para tipos de pruebas software">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705476" y="2411368"/>
          <a:ext cx="4324350" cy="23809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438150</xdr:colOff>
      <xdr:row>78</xdr:row>
      <xdr:rowOff>128587</xdr:rowOff>
    </xdr:from>
    <xdr:to>
      <xdr:col>13</xdr:col>
      <xdr:colOff>438150</xdr:colOff>
      <xdr:row>93</xdr:row>
      <xdr:rowOff>14287</xdr:rowOff>
    </xdr:to>
    <xdr:graphicFrame macro="">
      <xdr:nvGraphicFramePr>
        <xdr:cNvPr id="14" name="Gráfico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400050</xdr:colOff>
      <xdr:row>96</xdr:row>
      <xdr:rowOff>100012</xdr:rowOff>
    </xdr:from>
    <xdr:to>
      <xdr:col>13</xdr:col>
      <xdr:colOff>400050</xdr:colOff>
      <xdr:row>110</xdr:row>
      <xdr:rowOff>176212</xdr:rowOff>
    </xdr:to>
    <xdr:graphicFrame macro="">
      <xdr:nvGraphicFramePr>
        <xdr:cNvPr id="15" name="Gráfico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409575</xdr:colOff>
      <xdr:row>114</xdr:row>
      <xdr:rowOff>109537</xdr:rowOff>
    </xdr:from>
    <xdr:to>
      <xdr:col>13</xdr:col>
      <xdr:colOff>409575</xdr:colOff>
      <xdr:row>128</xdr:row>
      <xdr:rowOff>185737</xdr:rowOff>
    </xdr:to>
    <xdr:graphicFrame macro="">
      <xdr:nvGraphicFramePr>
        <xdr:cNvPr id="16" name="Gráfico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447675</xdr:colOff>
      <xdr:row>132</xdr:row>
      <xdr:rowOff>109537</xdr:rowOff>
    </xdr:from>
    <xdr:to>
      <xdr:col>13</xdr:col>
      <xdr:colOff>447675</xdr:colOff>
      <xdr:row>146</xdr:row>
      <xdr:rowOff>185737</xdr:rowOff>
    </xdr:to>
    <xdr:graphicFrame macro="">
      <xdr:nvGraphicFramePr>
        <xdr:cNvPr id="17" name="Gráfico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457200</xdr:colOff>
      <xdr:row>150</xdr:row>
      <xdr:rowOff>80962</xdr:rowOff>
    </xdr:from>
    <xdr:to>
      <xdr:col>13</xdr:col>
      <xdr:colOff>457200</xdr:colOff>
      <xdr:row>164</xdr:row>
      <xdr:rowOff>157162</xdr:rowOff>
    </xdr:to>
    <xdr:graphicFrame macro="">
      <xdr:nvGraphicFramePr>
        <xdr:cNvPr id="18" name="Gráfico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533400</xdr:colOff>
      <xdr:row>168</xdr:row>
      <xdr:rowOff>90487</xdr:rowOff>
    </xdr:from>
    <xdr:to>
      <xdr:col>13</xdr:col>
      <xdr:colOff>533400</xdr:colOff>
      <xdr:row>180</xdr:row>
      <xdr:rowOff>176212</xdr:rowOff>
    </xdr:to>
    <xdr:graphicFrame macro="">
      <xdr:nvGraphicFramePr>
        <xdr:cNvPr id="19" name="Gráfico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107A5-CF9C-4D36-9CAF-D8F4485408CA}">
  <sheetPr codeName="Hoja1"/>
  <dimension ref="B1:O28"/>
  <sheetViews>
    <sheetView topLeftCell="A34" workbookViewId="0">
      <selection activeCell="H44" sqref="H44"/>
    </sheetView>
  </sheetViews>
  <sheetFormatPr baseColWidth="10" defaultRowHeight="15" x14ac:dyDescent="0.25"/>
  <cols>
    <col min="1" max="16384" width="11.42578125" style="1"/>
  </cols>
  <sheetData>
    <row r="1" spans="2:14" ht="35.1" customHeight="1" x14ac:dyDescent="0.25"/>
    <row r="2" spans="2:14" x14ac:dyDescent="0.25">
      <c r="B2" s="102"/>
      <c r="C2" s="103"/>
      <c r="D2" s="104"/>
      <c r="E2" s="98" t="s">
        <v>0</v>
      </c>
      <c r="F2" s="98"/>
      <c r="G2" s="98"/>
      <c r="H2" s="98"/>
      <c r="I2" s="98"/>
      <c r="J2" s="98"/>
      <c r="K2" s="98"/>
      <c r="L2" s="99"/>
      <c r="M2" s="120" t="s">
        <v>1</v>
      </c>
      <c r="N2" s="121"/>
    </row>
    <row r="3" spans="2:14" x14ac:dyDescent="0.25">
      <c r="B3" s="105"/>
      <c r="C3" s="106"/>
      <c r="D3" s="107"/>
      <c r="E3" s="100"/>
      <c r="F3" s="100"/>
      <c r="G3" s="100"/>
      <c r="H3" s="100"/>
      <c r="I3" s="100"/>
      <c r="J3" s="100"/>
      <c r="K3" s="100"/>
      <c r="L3" s="101"/>
      <c r="M3" s="122"/>
      <c r="N3" s="123"/>
    </row>
    <row r="4" spans="2:14" x14ac:dyDescent="0.25">
      <c r="B4" s="105"/>
      <c r="C4" s="106"/>
      <c r="D4" s="107"/>
      <c r="E4" s="111" t="s">
        <v>2</v>
      </c>
      <c r="F4" s="112"/>
      <c r="G4" s="112"/>
      <c r="H4" s="112"/>
      <c r="I4" s="112"/>
      <c r="J4" s="112"/>
      <c r="K4" s="112"/>
      <c r="L4" s="113"/>
      <c r="M4" s="122"/>
      <c r="N4" s="123"/>
    </row>
    <row r="5" spans="2:14" x14ac:dyDescent="0.25">
      <c r="B5" s="105"/>
      <c r="C5" s="106"/>
      <c r="D5" s="107"/>
      <c r="E5" s="114"/>
      <c r="F5" s="115"/>
      <c r="G5" s="115"/>
      <c r="H5" s="115"/>
      <c r="I5" s="115"/>
      <c r="J5" s="115"/>
      <c r="K5" s="115"/>
      <c r="L5" s="116"/>
      <c r="M5" s="122"/>
      <c r="N5" s="123"/>
    </row>
    <row r="6" spans="2:14" x14ac:dyDescent="0.25">
      <c r="B6" s="105"/>
      <c r="C6" s="106"/>
      <c r="D6" s="107"/>
      <c r="E6" s="114"/>
      <c r="F6" s="115"/>
      <c r="G6" s="115"/>
      <c r="H6" s="115"/>
      <c r="I6" s="115"/>
      <c r="J6" s="115"/>
      <c r="K6" s="115"/>
      <c r="L6" s="116"/>
      <c r="M6" s="122"/>
      <c r="N6" s="123"/>
    </row>
    <row r="7" spans="2:14" x14ac:dyDescent="0.25">
      <c r="B7" s="108"/>
      <c r="C7" s="109"/>
      <c r="D7" s="110"/>
      <c r="E7" s="117"/>
      <c r="F7" s="118"/>
      <c r="G7" s="118"/>
      <c r="H7" s="118"/>
      <c r="I7" s="118"/>
      <c r="J7" s="118"/>
      <c r="K7" s="118"/>
      <c r="L7" s="119"/>
      <c r="M7" s="124"/>
      <c r="N7" s="125"/>
    </row>
    <row r="9" spans="2:14" x14ac:dyDescent="0.25">
      <c r="E9" s="2"/>
      <c r="F9" s="2"/>
      <c r="G9" s="2"/>
    </row>
    <row r="10" spans="2:14" x14ac:dyDescent="0.25">
      <c r="B10" s="94" t="s">
        <v>3</v>
      </c>
      <c r="C10" s="95"/>
      <c r="D10" s="95"/>
      <c r="E10" s="83" t="s">
        <v>345</v>
      </c>
      <c r="F10" s="84"/>
      <c r="G10" s="84"/>
      <c r="H10" s="84"/>
      <c r="I10" s="84"/>
      <c r="J10" s="84"/>
      <c r="K10" s="84"/>
      <c r="L10" s="84"/>
      <c r="M10" s="84"/>
      <c r="N10" s="85"/>
    </row>
    <row r="11" spans="2:14" x14ac:dyDescent="0.25">
      <c r="C11" s="2"/>
      <c r="D11" s="2"/>
      <c r="I11" s="2"/>
      <c r="J11" s="2"/>
      <c r="K11" s="2"/>
      <c r="L11" s="2"/>
    </row>
    <row r="12" spans="2:14" x14ac:dyDescent="0.25">
      <c r="B12" s="94" t="s">
        <v>332</v>
      </c>
      <c r="C12" s="95"/>
      <c r="D12" s="95"/>
      <c r="E12" s="83" t="s">
        <v>346</v>
      </c>
      <c r="F12" s="84"/>
      <c r="G12" s="84"/>
      <c r="H12" s="84"/>
      <c r="I12" s="84"/>
      <c r="J12" s="84"/>
      <c r="K12" s="84"/>
      <c r="L12" s="84"/>
      <c r="M12" s="84"/>
      <c r="N12" s="85"/>
    </row>
    <row r="13" spans="2:14" x14ac:dyDescent="0.25">
      <c r="B13" s="3"/>
    </row>
    <row r="14" spans="2:14" x14ac:dyDescent="0.25">
      <c r="B14" s="88" t="s">
        <v>4</v>
      </c>
      <c r="C14" s="89"/>
      <c r="D14" s="89"/>
      <c r="E14" s="83" t="s">
        <v>347</v>
      </c>
      <c r="F14" s="84"/>
      <c r="G14" s="84"/>
      <c r="H14" s="84"/>
      <c r="I14" s="84"/>
      <c r="J14" s="84"/>
      <c r="K14" s="84"/>
      <c r="L14" s="84"/>
      <c r="M14" s="84"/>
      <c r="N14" s="85"/>
    </row>
    <row r="15" spans="2:14" x14ac:dyDescent="0.25">
      <c r="C15" s="2"/>
    </row>
    <row r="16" spans="2:14" ht="35.25" customHeight="1" x14ac:dyDescent="0.25">
      <c r="B16" s="96" t="s">
        <v>5</v>
      </c>
      <c r="C16" s="97"/>
      <c r="D16" s="97"/>
      <c r="E16" s="133">
        <v>1</v>
      </c>
      <c r="F16" s="134"/>
      <c r="G16" s="134"/>
      <c r="H16" s="134"/>
      <c r="I16" s="134"/>
      <c r="J16" s="134"/>
      <c r="K16" s="134"/>
      <c r="L16" s="134"/>
      <c r="M16" s="134"/>
      <c r="N16" s="135"/>
    </row>
    <row r="17" spans="2:15" x14ac:dyDescent="0.25">
      <c r="C17" s="3"/>
    </row>
    <row r="18" spans="2:15" x14ac:dyDescent="0.25">
      <c r="B18" s="94" t="s">
        <v>6</v>
      </c>
      <c r="C18" s="95"/>
      <c r="D18" s="132"/>
      <c r="E18" s="83">
        <v>1</v>
      </c>
      <c r="F18" s="84"/>
      <c r="G18" s="84"/>
      <c r="H18" s="84"/>
      <c r="I18" s="84"/>
      <c r="J18" s="84"/>
      <c r="K18" s="84"/>
      <c r="L18" s="84"/>
      <c r="M18" s="84"/>
      <c r="N18" s="85"/>
    </row>
    <row r="19" spans="2:15" x14ac:dyDescent="0.25">
      <c r="E19" s="6"/>
      <c r="H19" s="6"/>
      <c r="L19" s="6"/>
    </row>
    <row r="20" spans="2:15" x14ac:dyDescent="0.25">
      <c r="B20" s="94" t="s">
        <v>7</v>
      </c>
      <c r="C20" s="95"/>
      <c r="D20" s="95"/>
      <c r="E20" s="90">
        <v>43966</v>
      </c>
      <c r="F20" s="84"/>
      <c r="G20" s="84"/>
      <c r="H20" s="91"/>
      <c r="I20" s="96" t="s">
        <v>9</v>
      </c>
      <c r="J20" s="97"/>
      <c r="K20" s="97"/>
      <c r="L20" s="90">
        <v>43973</v>
      </c>
      <c r="M20" s="92"/>
      <c r="N20" s="93"/>
      <c r="O20" s="5"/>
    </row>
    <row r="21" spans="2:15" x14ac:dyDescent="0.25">
      <c r="F21" s="6"/>
      <c r="G21" s="6"/>
      <c r="H21" s="6"/>
      <c r="L21" s="6"/>
      <c r="M21" s="6"/>
      <c r="N21" s="6"/>
    </row>
    <row r="22" spans="2:15" x14ac:dyDescent="0.25">
      <c r="B22" s="86" t="s">
        <v>8</v>
      </c>
      <c r="C22" s="87"/>
      <c r="D22" s="87"/>
      <c r="E22" s="90">
        <v>43966</v>
      </c>
      <c r="F22" s="84"/>
      <c r="G22" s="84"/>
      <c r="H22" s="91"/>
      <c r="I22" s="88" t="s">
        <v>10</v>
      </c>
      <c r="J22" s="89"/>
      <c r="K22" s="89"/>
      <c r="L22" s="90">
        <v>43973</v>
      </c>
      <c r="M22" s="84"/>
      <c r="N22" s="85"/>
      <c r="O22" s="5"/>
    </row>
    <row r="23" spans="2:15" x14ac:dyDescent="0.25">
      <c r="F23" s="4"/>
      <c r="G23" s="4"/>
      <c r="H23" s="4"/>
      <c r="L23" s="4"/>
      <c r="N23" s="4"/>
    </row>
    <row r="24" spans="2:15" x14ac:dyDescent="0.25">
      <c r="B24" s="94" t="s">
        <v>12</v>
      </c>
      <c r="C24" s="95"/>
      <c r="D24" s="132"/>
      <c r="E24" s="83" t="s">
        <v>321</v>
      </c>
      <c r="F24" s="84"/>
      <c r="G24" s="84"/>
      <c r="H24" s="84"/>
      <c r="I24" s="84"/>
      <c r="J24" s="84"/>
      <c r="K24" s="84"/>
      <c r="L24" s="84"/>
      <c r="M24" s="84"/>
      <c r="N24" s="85"/>
    </row>
    <row r="25" spans="2:15" x14ac:dyDescent="0.25">
      <c r="F25" s="2"/>
      <c r="G25" s="2"/>
      <c r="H25" s="2"/>
      <c r="L25" s="2"/>
      <c r="N25" s="2"/>
    </row>
    <row r="26" spans="2:15" ht="15.75" thickBot="1" x14ac:dyDescent="0.3"/>
    <row r="27" spans="2:15" x14ac:dyDescent="0.25">
      <c r="B27" s="126" t="s">
        <v>344</v>
      </c>
      <c r="C27" s="127"/>
      <c r="D27" s="127"/>
      <c r="E27" s="127"/>
      <c r="F27" s="127"/>
      <c r="G27" s="127"/>
      <c r="H27" s="127"/>
      <c r="I27" s="127"/>
      <c r="J27" s="127"/>
      <c r="K27" s="127"/>
      <c r="L27" s="127"/>
      <c r="M27" s="127"/>
      <c r="N27" s="128"/>
    </row>
    <row r="28" spans="2:15" ht="15.75" thickBot="1" x14ac:dyDescent="0.3">
      <c r="B28" s="129"/>
      <c r="C28" s="130"/>
      <c r="D28" s="130"/>
      <c r="E28" s="130"/>
      <c r="F28" s="130"/>
      <c r="G28" s="130"/>
      <c r="H28" s="130"/>
      <c r="I28" s="130"/>
      <c r="J28" s="130"/>
      <c r="K28" s="130"/>
      <c r="L28" s="130"/>
      <c r="M28" s="130"/>
      <c r="N28" s="131"/>
    </row>
  </sheetData>
  <mergeCells count="25">
    <mergeCell ref="E2:L3"/>
    <mergeCell ref="B2:D7"/>
    <mergeCell ref="E4:L7"/>
    <mergeCell ref="M2:N7"/>
    <mergeCell ref="B27:N28"/>
    <mergeCell ref="B24:D24"/>
    <mergeCell ref="E24:N24"/>
    <mergeCell ref="B10:D10"/>
    <mergeCell ref="B16:D16"/>
    <mergeCell ref="B14:D14"/>
    <mergeCell ref="B18:D18"/>
    <mergeCell ref="B12:D12"/>
    <mergeCell ref="E10:N10"/>
    <mergeCell ref="E12:N12"/>
    <mergeCell ref="E14:N14"/>
    <mergeCell ref="E16:N16"/>
    <mergeCell ref="E18:N18"/>
    <mergeCell ref="B22:D22"/>
    <mergeCell ref="I22:K22"/>
    <mergeCell ref="E20:H20"/>
    <mergeCell ref="E22:H22"/>
    <mergeCell ref="L20:N20"/>
    <mergeCell ref="L22:N22"/>
    <mergeCell ref="B20:D20"/>
    <mergeCell ref="I20:K20"/>
  </mergeCells>
  <pageMargins left="0.7" right="0.7" top="0.75" bottom="0.75" header="0.3" footer="0.3"/>
  <pageSetup paperSize="9" orientation="portrait" horizontalDpi="4294967295" verticalDpi="4294967295" r:id="rId1"/>
  <drawing r:id="rId2"/>
  <legacyDrawing r:id="rId3"/>
  <controls>
    <mc:AlternateContent xmlns:mc="http://schemas.openxmlformats.org/markup-compatibility/2006">
      <mc:Choice Requires="x14">
        <control shapeId="1031" r:id="rId4" name="CommandButton6">
          <controlPr defaultSize="0" autoLine="0" r:id="rId5">
            <anchor moveWithCells="1">
              <from>
                <xdr:col>3</xdr:col>
                <xdr:colOff>38100</xdr:colOff>
                <xdr:row>46</xdr:row>
                <xdr:rowOff>0</xdr:rowOff>
              </from>
              <to>
                <xdr:col>7</xdr:col>
                <xdr:colOff>228600</xdr:colOff>
                <xdr:row>50</xdr:row>
                <xdr:rowOff>142875</xdr:rowOff>
              </to>
            </anchor>
          </controlPr>
        </control>
      </mc:Choice>
      <mc:Fallback>
        <control shapeId="1031" r:id="rId4" name="CommandButton6"/>
      </mc:Fallback>
    </mc:AlternateContent>
    <mc:AlternateContent xmlns:mc="http://schemas.openxmlformats.org/markup-compatibility/2006">
      <mc:Choice Requires="x14">
        <control shapeId="1030" r:id="rId6" name="CommandButton5">
          <controlPr defaultSize="0" autoLine="0" r:id="rId7">
            <anchor moveWithCells="1">
              <from>
                <xdr:col>8</xdr:col>
                <xdr:colOff>390525</xdr:colOff>
                <xdr:row>38</xdr:row>
                <xdr:rowOff>0</xdr:rowOff>
              </from>
              <to>
                <xdr:col>12</xdr:col>
                <xdr:colOff>581025</xdr:colOff>
                <xdr:row>42</xdr:row>
                <xdr:rowOff>142875</xdr:rowOff>
              </to>
            </anchor>
          </controlPr>
        </control>
      </mc:Choice>
      <mc:Fallback>
        <control shapeId="1030" r:id="rId6" name="CommandButton5"/>
      </mc:Fallback>
    </mc:AlternateContent>
    <mc:AlternateContent xmlns:mc="http://schemas.openxmlformats.org/markup-compatibility/2006">
      <mc:Choice Requires="x14">
        <control shapeId="1026" r:id="rId8" name="CommandButton1">
          <controlPr defaultSize="0" autoLine="0" r:id="rId9">
            <anchor moveWithCells="1">
              <from>
                <xdr:col>1</xdr:col>
                <xdr:colOff>47625</xdr:colOff>
                <xdr:row>29</xdr:row>
                <xdr:rowOff>161925</xdr:rowOff>
              </from>
              <to>
                <xdr:col>5</xdr:col>
                <xdr:colOff>238125</xdr:colOff>
                <xdr:row>34</xdr:row>
                <xdr:rowOff>114300</xdr:rowOff>
              </to>
            </anchor>
          </controlPr>
        </control>
      </mc:Choice>
      <mc:Fallback>
        <control shapeId="1026" r:id="rId8" name="CommandButton1"/>
      </mc:Fallback>
    </mc:AlternateContent>
    <mc:AlternateContent xmlns:mc="http://schemas.openxmlformats.org/markup-compatibility/2006">
      <mc:Choice Requires="x14">
        <control shapeId="1027" r:id="rId10" name="CommandButton2">
          <controlPr defaultSize="0" autoLine="0" r:id="rId11">
            <anchor moveWithCells="1">
              <from>
                <xdr:col>9</xdr:col>
                <xdr:colOff>533400</xdr:colOff>
                <xdr:row>29</xdr:row>
                <xdr:rowOff>180975</xdr:rowOff>
              </from>
              <to>
                <xdr:col>13</xdr:col>
                <xdr:colOff>723900</xdr:colOff>
                <xdr:row>34</xdr:row>
                <xdr:rowOff>133350</xdr:rowOff>
              </to>
            </anchor>
          </controlPr>
        </control>
      </mc:Choice>
      <mc:Fallback>
        <control shapeId="1027" r:id="rId10" name="CommandButton2"/>
      </mc:Fallback>
    </mc:AlternateContent>
    <mc:AlternateContent xmlns:mc="http://schemas.openxmlformats.org/markup-compatibility/2006">
      <mc:Choice Requires="x14">
        <control shapeId="1028" r:id="rId12" name="CommandButton3">
          <controlPr defaultSize="0" autoLine="0" r:id="rId13">
            <anchor moveWithCells="1">
              <from>
                <xdr:col>3</xdr:col>
                <xdr:colOff>19050</xdr:colOff>
                <xdr:row>38</xdr:row>
                <xdr:rowOff>0</xdr:rowOff>
              </from>
              <to>
                <xdr:col>7</xdr:col>
                <xdr:colOff>209550</xdr:colOff>
                <xdr:row>42</xdr:row>
                <xdr:rowOff>142875</xdr:rowOff>
              </to>
            </anchor>
          </controlPr>
        </control>
      </mc:Choice>
      <mc:Fallback>
        <control shapeId="1028" r:id="rId12" name="CommandButton3"/>
      </mc:Fallback>
    </mc:AlternateContent>
    <mc:AlternateContent xmlns:mc="http://schemas.openxmlformats.org/markup-compatibility/2006">
      <mc:Choice Requires="x14">
        <control shapeId="1029" r:id="rId14" name="CommandButton4">
          <controlPr defaultSize="0" autoLine="0" r:id="rId15">
            <anchor moveWithCells="1">
              <from>
                <xdr:col>8</xdr:col>
                <xdr:colOff>381000</xdr:colOff>
                <xdr:row>46</xdr:row>
                <xdr:rowOff>19050</xdr:rowOff>
              </from>
              <to>
                <xdr:col>12</xdr:col>
                <xdr:colOff>571500</xdr:colOff>
                <xdr:row>50</xdr:row>
                <xdr:rowOff>161925</xdr:rowOff>
              </to>
            </anchor>
          </controlPr>
        </control>
      </mc:Choice>
      <mc:Fallback>
        <control shapeId="1029" r:id="rId14" name="CommandButton4"/>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7E1379-5684-40BA-A6C2-82D0BC613B45}">
  <sheetPr codeName="Hoja8"/>
  <dimension ref="B2:N37"/>
  <sheetViews>
    <sheetView topLeftCell="A10" workbookViewId="0">
      <selection activeCell="G13" sqref="G13:I13"/>
    </sheetView>
  </sheetViews>
  <sheetFormatPr baseColWidth="10" defaultRowHeight="15" x14ac:dyDescent="0.25"/>
  <cols>
    <col min="1" max="16384" width="11.42578125" style="1"/>
  </cols>
  <sheetData>
    <row r="2" spans="2:14" x14ac:dyDescent="0.25">
      <c r="B2" s="102"/>
      <c r="C2" s="103"/>
      <c r="D2" s="104"/>
      <c r="E2" s="98" t="s">
        <v>0</v>
      </c>
      <c r="F2" s="98"/>
      <c r="G2" s="98"/>
      <c r="H2" s="98"/>
      <c r="I2" s="98"/>
      <c r="J2" s="98"/>
      <c r="K2" s="98"/>
      <c r="L2" s="99"/>
      <c r="M2" s="144" t="s">
        <v>1</v>
      </c>
      <c r="N2" s="145"/>
    </row>
    <row r="3" spans="2:14" x14ac:dyDescent="0.25">
      <c r="B3" s="105"/>
      <c r="C3" s="106"/>
      <c r="D3" s="107"/>
      <c r="E3" s="100"/>
      <c r="F3" s="100"/>
      <c r="G3" s="100"/>
      <c r="H3" s="100"/>
      <c r="I3" s="100"/>
      <c r="J3" s="100"/>
      <c r="K3" s="100"/>
      <c r="L3" s="101"/>
      <c r="M3" s="146"/>
      <c r="N3" s="147"/>
    </row>
    <row r="4" spans="2:14" x14ac:dyDescent="0.25">
      <c r="B4" s="105"/>
      <c r="C4" s="106"/>
      <c r="D4" s="107"/>
      <c r="E4" s="111" t="s">
        <v>333</v>
      </c>
      <c r="F4" s="112"/>
      <c r="G4" s="112"/>
      <c r="H4" s="112"/>
      <c r="I4" s="112"/>
      <c r="J4" s="112"/>
      <c r="K4" s="112"/>
      <c r="L4" s="113"/>
      <c r="M4" s="146"/>
      <c r="N4" s="147"/>
    </row>
    <row r="5" spans="2:14" x14ac:dyDescent="0.25">
      <c r="B5" s="105"/>
      <c r="C5" s="106"/>
      <c r="D5" s="107"/>
      <c r="E5" s="114"/>
      <c r="F5" s="115"/>
      <c r="G5" s="115"/>
      <c r="H5" s="115"/>
      <c r="I5" s="115"/>
      <c r="J5" s="115"/>
      <c r="K5" s="115"/>
      <c r="L5" s="116"/>
      <c r="M5" s="146"/>
      <c r="N5" s="147"/>
    </row>
    <row r="6" spans="2:14" x14ac:dyDescent="0.25">
      <c r="B6" s="105"/>
      <c r="C6" s="106"/>
      <c r="D6" s="107"/>
      <c r="E6" s="114"/>
      <c r="F6" s="115"/>
      <c r="G6" s="115"/>
      <c r="H6" s="115"/>
      <c r="I6" s="115"/>
      <c r="J6" s="115"/>
      <c r="K6" s="115"/>
      <c r="L6" s="116"/>
      <c r="M6" s="146"/>
      <c r="N6" s="147"/>
    </row>
    <row r="7" spans="2:14" x14ac:dyDescent="0.25">
      <c r="B7" s="108"/>
      <c r="C7" s="109"/>
      <c r="D7" s="110"/>
      <c r="E7" s="117"/>
      <c r="F7" s="118"/>
      <c r="G7" s="118"/>
      <c r="H7" s="118"/>
      <c r="I7" s="118"/>
      <c r="J7" s="118"/>
      <c r="K7" s="118"/>
      <c r="L7" s="119"/>
      <c r="M7" s="148"/>
      <c r="N7" s="149"/>
    </row>
    <row r="9" spans="2:14" ht="30" customHeight="1" x14ac:dyDescent="0.25">
      <c r="B9" s="150" t="s">
        <v>241</v>
      </c>
      <c r="C9" s="150"/>
      <c r="D9" s="150"/>
      <c r="E9" s="150"/>
      <c r="F9" s="150"/>
      <c r="G9" s="150" t="s">
        <v>243</v>
      </c>
      <c r="H9" s="150"/>
      <c r="I9" s="150"/>
      <c r="J9" s="150" t="s">
        <v>64</v>
      </c>
      <c r="K9" s="150"/>
      <c r="L9" s="150"/>
      <c r="M9" s="150"/>
      <c r="N9" s="150"/>
    </row>
    <row r="11" spans="2:14" ht="39.950000000000003" customHeight="1" x14ac:dyDescent="0.25">
      <c r="B11" s="142" t="s">
        <v>252</v>
      </c>
      <c r="C11" s="142"/>
      <c r="D11" s="142"/>
      <c r="E11" s="142"/>
      <c r="F11" s="142"/>
      <c r="G11" s="136" t="s">
        <v>255</v>
      </c>
      <c r="H11" s="137"/>
      <c r="I11" s="138"/>
      <c r="J11" s="151"/>
      <c r="K11" s="152"/>
      <c r="L11" s="152"/>
      <c r="M11" s="152"/>
      <c r="N11" s="153"/>
    </row>
    <row r="12" spans="2:14" ht="39.950000000000003" customHeight="1" x14ac:dyDescent="0.25">
      <c r="B12" s="143" t="s">
        <v>253</v>
      </c>
      <c r="C12" s="143"/>
      <c r="D12" s="143"/>
      <c r="E12" s="143"/>
      <c r="F12" s="143"/>
      <c r="G12" s="139" t="s">
        <v>255</v>
      </c>
      <c r="H12" s="140"/>
      <c r="I12" s="141"/>
      <c r="J12" s="154"/>
      <c r="K12" s="155"/>
      <c r="L12" s="155"/>
      <c r="M12" s="155"/>
      <c r="N12" s="156"/>
    </row>
    <row r="13" spans="2:14" ht="39.950000000000003" customHeight="1" x14ac:dyDescent="0.25">
      <c r="B13" s="142" t="s">
        <v>244</v>
      </c>
      <c r="C13" s="142"/>
      <c r="D13" s="142"/>
      <c r="E13" s="142"/>
      <c r="F13" s="142"/>
      <c r="G13" s="136" t="s">
        <v>255</v>
      </c>
      <c r="H13" s="137"/>
      <c r="I13" s="138"/>
      <c r="J13" s="151"/>
      <c r="K13" s="152"/>
      <c r="L13" s="152"/>
      <c r="M13" s="152"/>
      <c r="N13" s="153"/>
    </row>
    <row r="14" spans="2:14" ht="39.950000000000003" customHeight="1" x14ac:dyDescent="0.25">
      <c r="B14" s="143" t="s">
        <v>254</v>
      </c>
      <c r="C14" s="143"/>
      <c r="D14" s="143"/>
      <c r="E14" s="143"/>
      <c r="F14" s="143"/>
      <c r="G14" s="139" t="s">
        <v>255</v>
      </c>
      <c r="H14" s="140"/>
      <c r="I14" s="141"/>
      <c r="J14" s="154"/>
      <c r="K14" s="155"/>
      <c r="L14" s="155"/>
      <c r="M14" s="155"/>
      <c r="N14" s="156"/>
    </row>
    <row r="15" spans="2:14" ht="39.950000000000003" customHeight="1" x14ac:dyDescent="0.25">
      <c r="B15" s="142" t="s">
        <v>245</v>
      </c>
      <c r="C15" s="142"/>
      <c r="D15" s="142"/>
      <c r="E15" s="142"/>
      <c r="F15" s="142"/>
      <c r="G15" s="136" t="s">
        <v>255</v>
      </c>
      <c r="H15" s="137"/>
      <c r="I15" s="138"/>
      <c r="J15" s="151"/>
      <c r="K15" s="152"/>
      <c r="L15" s="152"/>
      <c r="M15" s="152"/>
      <c r="N15" s="153"/>
    </row>
    <row r="16" spans="2:14" ht="39.950000000000003" customHeight="1" x14ac:dyDescent="0.25">
      <c r="B16" s="143" t="s">
        <v>246</v>
      </c>
      <c r="C16" s="143"/>
      <c r="D16" s="143"/>
      <c r="E16" s="143"/>
      <c r="F16" s="143"/>
      <c r="G16" s="139" t="s">
        <v>255</v>
      </c>
      <c r="H16" s="140"/>
      <c r="I16" s="141"/>
      <c r="J16" s="154"/>
      <c r="K16" s="155"/>
      <c r="L16" s="155"/>
      <c r="M16" s="155"/>
      <c r="N16" s="156"/>
    </row>
    <row r="17" spans="2:14" ht="39.950000000000003" customHeight="1" x14ac:dyDescent="0.25">
      <c r="B17" s="142" t="s">
        <v>247</v>
      </c>
      <c r="C17" s="142"/>
      <c r="D17" s="142"/>
      <c r="E17" s="142"/>
      <c r="F17" s="142"/>
      <c r="G17" s="136" t="s">
        <v>255</v>
      </c>
      <c r="H17" s="137"/>
      <c r="I17" s="138"/>
      <c r="J17" s="151"/>
      <c r="K17" s="152"/>
      <c r="L17" s="152"/>
      <c r="M17" s="152"/>
      <c r="N17" s="153"/>
    </row>
    <row r="18" spans="2:14" ht="39.950000000000003" customHeight="1" x14ac:dyDescent="0.25">
      <c r="B18" s="143" t="s">
        <v>248</v>
      </c>
      <c r="C18" s="143"/>
      <c r="D18" s="143"/>
      <c r="E18" s="143"/>
      <c r="F18" s="143"/>
      <c r="G18" s="139" t="s">
        <v>255</v>
      </c>
      <c r="H18" s="140"/>
      <c r="I18" s="141"/>
      <c r="J18" s="154"/>
      <c r="K18" s="155"/>
      <c r="L18" s="155"/>
      <c r="M18" s="155"/>
      <c r="N18" s="156"/>
    </row>
    <row r="19" spans="2:14" ht="39.950000000000003" customHeight="1" x14ac:dyDescent="0.25">
      <c r="B19" s="142" t="s">
        <v>249</v>
      </c>
      <c r="C19" s="142"/>
      <c r="D19" s="142"/>
      <c r="E19" s="142"/>
      <c r="F19" s="142"/>
      <c r="G19" s="136" t="s">
        <v>255</v>
      </c>
      <c r="H19" s="137"/>
      <c r="I19" s="138"/>
      <c r="J19" s="151"/>
      <c r="K19" s="152"/>
      <c r="L19" s="152"/>
      <c r="M19" s="152"/>
      <c r="N19" s="153"/>
    </row>
    <row r="20" spans="2:14" ht="39.950000000000003" customHeight="1" x14ac:dyDescent="0.25">
      <c r="B20" s="143" t="s">
        <v>250</v>
      </c>
      <c r="C20" s="143"/>
      <c r="D20" s="143"/>
      <c r="E20" s="143"/>
      <c r="F20" s="143"/>
      <c r="G20" s="139" t="s">
        <v>255</v>
      </c>
      <c r="H20" s="140"/>
      <c r="I20" s="141"/>
      <c r="J20" s="154"/>
      <c r="K20" s="155"/>
      <c r="L20" s="155"/>
      <c r="M20" s="155"/>
      <c r="N20" s="156"/>
    </row>
    <row r="21" spans="2:14" ht="39.950000000000003" customHeight="1" x14ac:dyDescent="0.25">
      <c r="B21" s="142" t="s">
        <v>251</v>
      </c>
      <c r="C21" s="142"/>
      <c r="D21" s="142"/>
      <c r="E21" s="142"/>
      <c r="F21" s="142"/>
      <c r="G21" s="136" t="s">
        <v>257</v>
      </c>
      <c r="H21" s="137"/>
      <c r="I21" s="138"/>
      <c r="J21" s="151"/>
      <c r="K21" s="152"/>
      <c r="L21" s="152"/>
      <c r="M21" s="152"/>
      <c r="N21" s="153"/>
    </row>
    <row r="22" spans="2:14" ht="39.950000000000003" customHeight="1" x14ac:dyDescent="0.25">
      <c r="B22" s="143" t="s">
        <v>272</v>
      </c>
      <c r="C22" s="143"/>
      <c r="D22" s="143"/>
      <c r="E22" s="143"/>
      <c r="F22" s="143"/>
      <c r="G22" s="139" t="s">
        <v>257</v>
      </c>
      <c r="H22" s="140"/>
      <c r="I22" s="141"/>
      <c r="J22" s="154"/>
      <c r="K22" s="155"/>
      <c r="L22" s="155"/>
      <c r="M22" s="155"/>
      <c r="N22" s="156"/>
    </row>
    <row r="23" spans="2:14" ht="39.950000000000003" customHeight="1" x14ac:dyDescent="0.25">
      <c r="B23" s="142" t="s">
        <v>273</v>
      </c>
      <c r="C23" s="142"/>
      <c r="D23" s="142"/>
      <c r="E23" s="142"/>
      <c r="F23" s="142"/>
      <c r="G23" s="136" t="s">
        <v>257</v>
      </c>
      <c r="H23" s="137"/>
      <c r="I23" s="138"/>
      <c r="J23" s="151"/>
      <c r="K23" s="152"/>
      <c r="L23" s="152"/>
      <c r="M23" s="152"/>
      <c r="N23" s="153"/>
    </row>
    <row r="24" spans="2:14" ht="39.950000000000003" customHeight="1" x14ac:dyDescent="0.25">
      <c r="B24" s="143" t="s">
        <v>274</v>
      </c>
      <c r="C24" s="143"/>
      <c r="D24" s="143"/>
      <c r="E24" s="143"/>
      <c r="F24" s="143"/>
      <c r="G24" s="139" t="s">
        <v>255</v>
      </c>
      <c r="H24" s="140"/>
      <c r="I24" s="141"/>
      <c r="J24" s="154"/>
      <c r="K24" s="155"/>
      <c r="L24" s="155"/>
      <c r="M24" s="155"/>
      <c r="N24" s="156"/>
    </row>
    <row r="25" spans="2:14" ht="39.950000000000003" customHeight="1" x14ac:dyDescent="0.25">
      <c r="B25" s="142" t="s">
        <v>275</v>
      </c>
      <c r="C25" s="142"/>
      <c r="D25" s="142"/>
      <c r="E25" s="142"/>
      <c r="F25" s="142"/>
      <c r="G25" s="136" t="s">
        <v>255</v>
      </c>
      <c r="H25" s="137"/>
      <c r="I25" s="138"/>
      <c r="J25" s="151"/>
      <c r="K25" s="152"/>
      <c r="L25" s="152"/>
      <c r="M25" s="152"/>
      <c r="N25" s="153"/>
    </row>
    <row r="26" spans="2:14" ht="39.950000000000003" customHeight="1" x14ac:dyDescent="0.25">
      <c r="B26" s="143" t="s">
        <v>276</v>
      </c>
      <c r="C26" s="143"/>
      <c r="D26" s="143"/>
      <c r="E26" s="143"/>
      <c r="F26" s="143"/>
      <c r="G26" s="139" t="s">
        <v>255</v>
      </c>
      <c r="H26" s="140"/>
      <c r="I26" s="141"/>
      <c r="J26" s="154"/>
      <c r="K26" s="155"/>
      <c r="L26" s="155"/>
      <c r="M26" s="155"/>
      <c r="N26" s="156"/>
    </row>
    <row r="27" spans="2:14" ht="39.950000000000003" customHeight="1" x14ac:dyDescent="0.25">
      <c r="B27" s="142" t="s">
        <v>277</v>
      </c>
      <c r="C27" s="142"/>
      <c r="D27" s="142"/>
      <c r="E27" s="142"/>
      <c r="F27" s="142"/>
      <c r="G27" s="136" t="s">
        <v>255</v>
      </c>
      <c r="H27" s="137"/>
      <c r="I27" s="138"/>
      <c r="J27" s="151"/>
      <c r="K27" s="152"/>
      <c r="L27" s="152"/>
      <c r="M27" s="152"/>
      <c r="N27" s="153"/>
    </row>
    <row r="28" spans="2:14" ht="39.950000000000003" customHeight="1" x14ac:dyDescent="0.25">
      <c r="B28" s="143" t="s">
        <v>278</v>
      </c>
      <c r="C28" s="143"/>
      <c r="D28" s="143"/>
      <c r="E28" s="143"/>
      <c r="F28" s="143"/>
      <c r="G28" s="139" t="s">
        <v>255</v>
      </c>
      <c r="H28" s="140"/>
      <c r="I28" s="141"/>
      <c r="J28" s="154"/>
      <c r="K28" s="155"/>
      <c r="L28" s="155"/>
      <c r="M28" s="155"/>
      <c r="N28" s="156"/>
    </row>
    <row r="29" spans="2:14" ht="39.950000000000003" customHeight="1" x14ac:dyDescent="0.25">
      <c r="B29" s="142" t="s">
        <v>279</v>
      </c>
      <c r="C29" s="142"/>
      <c r="D29" s="142"/>
      <c r="E29" s="142"/>
      <c r="F29" s="142"/>
      <c r="G29" s="136" t="s">
        <v>257</v>
      </c>
      <c r="H29" s="137"/>
      <c r="I29" s="138"/>
      <c r="J29" s="151"/>
      <c r="K29" s="152"/>
      <c r="L29" s="152"/>
      <c r="M29" s="152"/>
      <c r="N29" s="153"/>
    </row>
    <row r="30" spans="2:14" ht="39.950000000000003" customHeight="1" x14ac:dyDescent="0.25">
      <c r="B30" s="143" t="s">
        <v>280</v>
      </c>
      <c r="C30" s="143"/>
      <c r="D30" s="143"/>
      <c r="E30" s="143"/>
      <c r="F30" s="143"/>
      <c r="G30" s="139" t="s">
        <v>255</v>
      </c>
      <c r="H30" s="140"/>
      <c r="I30" s="141"/>
      <c r="J30" s="154"/>
      <c r="K30" s="155"/>
      <c r="L30" s="155"/>
      <c r="M30" s="155"/>
      <c r="N30" s="156"/>
    </row>
    <row r="31" spans="2:14" ht="39.950000000000003" customHeight="1" x14ac:dyDescent="0.25">
      <c r="B31" s="142" t="s">
        <v>281</v>
      </c>
      <c r="C31" s="142"/>
      <c r="D31" s="142"/>
      <c r="E31" s="142"/>
      <c r="F31" s="142"/>
      <c r="G31" s="136" t="s">
        <v>255</v>
      </c>
      <c r="H31" s="137"/>
      <c r="I31" s="138"/>
      <c r="J31" s="151"/>
      <c r="K31" s="152"/>
      <c r="L31" s="152"/>
      <c r="M31" s="152"/>
      <c r="N31" s="153"/>
    </row>
    <row r="32" spans="2:14" ht="39.950000000000003" customHeight="1" x14ac:dyDescent="0.25">
      <c r="B32" s="143" t="s">
        <v>282</v>
      </c>
      <c r="C32" s="143"/>
      <c r="D32" s="143"/>
      <c r="E32" s="143"/>
      <c r="F32" s="143"/>
      <c r="G32" s="139" t="s">
        <v>255</v>
      </c>
      <c r="H32" s="140"/>
      <c r="I32" s="141"/>
      <c r="J32" s="154"/>
      <c r="K32" s="155"/>
      <c r="L32" s="155"/>
      <c r="M32" s="155"/>
      <c r="N32" s="156"/>
    </row>
    <row r="33" spans="2:14" ht="39.950000000000003" customHeight="1" x14ac:dyDescent="0.25">
      <c r="B33" s="142" t="s">
        <v>283</v>
      </c>
      <c r="C33" s="142"/>
      <c r="D33" s="142"/>
      <c r="E33" s="142"/>
      <c r="F33" s="142"/>
      <c r="G33" s="136" t="s">
        <v>255</v>
      </c>
      <c r="H33" s="137"/>
      <c r="I33" s="138"/>
      <c r="J33" s="151"/>
      <c r="K33" s="152"/>
      <c r="L33" s="152"/>
      <c r="M33" s="152"/>
      <c r="N33" s="153"/>
    </row>
    <row r="34" spans="2:14" ht="39.950000000000003" customHeight="1" x14ac:dyDescent="0.25">
      <c r="B34" s="143" t="s">
        <v>284</v>
      </c>
      <c r="C34" s="143"/>
      <c r="D34" s="143"/>
      <c r="E34" s="143"/>
      <c r="F34" s="143"/>
      <c r="G34" s="139" t="s">
        <v>255</v>
      </c>
      <c r="H34" s="140"/>
      <c r="I34" s="141"/>
      <c r="J34" s="154"/>
      <c r="K34" s="155"/>
      <c r="L34" s="155"/>
      <c r="M34" s="155"/>
      <c r="N34" s="156"/>
    </row>
    <row r="35" spans="2:14" ht="39.950000000000003" customHeight="1" x14ac:dyDescent="0.25">
      <c r="B35" s="142" t="s">
        <v>285</v>
      </c>
      <c r="C35" s="142"/>
      <c r="D35" s="142"/>
      <c r="E35" s="142"/>
      <c r="F35" s="142"/>
      <c r="G35" s="136" t="s">
        <v>255</v>
      </c>
      <c r="H35" s="137"/>
      <c r="I35" s="138"/>
      <c r="J35" s="151"/>
      <c r="K35" s="152"/>
      <c r="L35" s="152"/>
      <c r="M35" s="152"/>
      <c r="N35" s="153"/>
    </row>
    <row r="36" spans="2:14" ht="39.950000000000003" customHeight="1" x14ac:dyDescent="0.25">
      <c r="B36" s="143" t="s">
        <v>286</v>
      </c>
      <c r="C36" s="143"/>
      <c r="D36" s="143"/>
      <c r="E36" s="143"/>
      <c r="F36" s="143"/>
      <c r="G36" s="139" t="s">
        <v>255</v>
      </c>
      <c r="H36" s="140"/>
      <c r="I36" s="141"/>
      <c r="J36" s="154"/>
      <c r="K36" s="155"/>
      <c r="L36" s="155"/>
      <c r="M36" s="155"/>
      <c r="N36" s="156"/>
    </row>
    <row r="37" spans="2:14" ht="39.950000000000003" customHeight="1" x14ac:dyDescent="0.25">
      <c r="B37" s="142" t="s">
        <v>287</v>
      </c>
      <c r="C37" s="142"/>
      <c r="D37" s="142"/>
      <c r="E37" s="142"/>
      <c r="F37" s="142"/>
      <c r="G37" s="136" t="s">
        <v>255</v>
      </c>
      <c r="H37" s="137"/>
      <c r="I37" s="138"/>
      <c r="J37" s="151"/>
      <c r="K37" s="152"/>
      <c r="L37" s="152"/>
      <c r="M37" s="152"/>
      <c r="N37" s="153"/>
    </row>
  </sheetData>
  <mergeCells count="88">
    <mergeCell ref="B37:F37"/>
    <mergeCell ref="G37:I37"/>
    <mergeCell ref="J37:N37"/>
    <mergeCell ref="B35:F35"/>
    <mergeCell ref="G35:I35"/>
    <mergeCell ref="J35:N35"/>
    <mergeCell ref="B36:F36"/>
    <mergeCell ref="G36:I36"/>
    <mergeCell ref="J36:N36"/>
    <mergeCell ref="B33:F33"/>
    <mergeCell ref="G33:I33"/>
    <mergeCell ref="J33:N33"/>
    <mergeCell ref="B34:F34"/>
    <mergeCell ref="G34:I34"/>
    <mergeCell ref="J34:N34"/>
    <mergeCell ref="B31:F31"/>
    <mergeCell ref="G31:I31"/>
    <mergeCell ref="J31:N31"/>
    <mergeCell ref="B32:F32"/>
    <mergeCell ref="G32:I32"/>
    <mergeCell ref="J32:N32"/>
    <mergeCell ref="B29:F29"/>
    <mergeCell ref="G29:I29"/>
    <mergeCell ref="J29:N29"/>
    <mergeCell ref="B30:F30"/>
    <mergeCell ref="G30:I30"/>
    <mergeCell ref="J30:N30"/>
    <mergeCell ref="B27:F27"/>
    <mergeCell ref="G27:I27"/>
    <mergeCell ref="J27:N27"/>
    <mergeCell ref="B28:F28"/>
    <mergeCell ref="G28:I28"/>
    <mergeCell ref="J28:N28"/>
    <mergeCell ref="B25:F25"/>
    <mergeCell ref="G25:I25"/>
    <mergeCell ref="J25:N25"/>
    <mergeCell ref="B26:F26"/>
    <mergeCell ref="G26:I26"/>
    <mergeCell ref="J26:N26"/>
    <mergeCell ref="B23:F23"/>
    <mergeCell ref="G23:I23"/>
    <mergeCell ref="J23:N23"/>
    <mergeCell ref="B24:F24"/>
    <mergeCell ref="G24:I24"/>
    <mergeCell ref="J24:N24"/>
    <mergeCell ref="B22:F22"/>
    <mergeCell ref="G22:I22"/>
    <mergeCell ref="J22:N22"/>
    <mergeCell ref="J21:N21"/>
    <mergeCell ref="J20:N20"/>
    <mergeCell ref="G20:I20"/>
    <mergeCell ref="G21:I21"/>
    <mergeCell ref="B20:F20"/>
    <mergeCell ref="B21:F21"/>
    <mergeCell ref="B17:F17"/>
    <mergeCell ref="B18:F18"/>
    <mergeCell ref="B19:F19"/>
    <mergeCell ref="B16:F16"/>
    <mergeCell ref="J16:N16"/>
    <mergeCell ref="G16:I16"/>
    <mergeCell ref="G17:I17"/>
    <mergeCell ref="G18:I18"/>
    <mergeCell ref="G19:I19"/>
    <mergeCell ref="J19:N19"/>
    <mergeCell ref="J18:N18"/>
    <mergeCell ref="J17:N17"/>
    <mergeCell ref="B14:F14"/>
    <mergeCell ref="B15:F15"/>
    <mergeCell ref="B2:D7"/>
    <mergeCell ref="E2:L3"/>
    <mergeCell ref="M2:N7"/>
    <mergeCell ref="E4:L7"/>
    <mergeCell ref="B9:F9"/>
    <mergeCell ref="G9:I9"/>
    <mergeCell ref="J9:N9"/>
    <mergeCell ref="G14:I14"/>
    <mergeCell ref="G15:I15"/>
    <mergeCell ref="J15:N15"/>
    <mergeCell ref="J14:N14"/>
    <mergeCell ref="J13:N13"/>
    <mergeCell ref="J12:N12"/>
    <mergeCell ref="J11:N11"/>
    <mergeCell ref="G11:I11"/>
    <mergeCell ref="G12:I12"/>
    <mergeCell ref="G13:I13"/>
    <mergeCell ref="B11:F11"/>
    <mergeCell ref="B12:F12"/>
    <mergeCell ref="B13:F13"/>
  </mergeCell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D6026BF9-E0B3-43AB-A5EC-44AF330F5762}">
          <x14:formula1>
            <xm:f>Datos!$N$2:$N$4</xm:f>
          </x14:formula1>
          <xm:sqref>G11:I37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183BD-1B89-4711-9018-1985F3744B1C}">
  <sheetPr codeName="Hoja2"/>
  <dimension ref="B1:BA146"/>
  <sheetViews>
    <sheetView topLeftCell="A67" zoomScale="90" zoomScaleNormal="90" workbookViewId="0">
      <selection activeCell="I138" sqref="I138"/>
    </sheetView>
  </sheetViews>
  <sheetFormatPr baseColWidth="10" defaultRowHeight="15" x14ac:dyDescent="0.25"/>
  <cols>
    <col min="1" max="16384" width="11.42578125" style="1"/>
  </cols>
  <sheetData>
    <row r="1" spans="2:15" ht="35.1" customHeight="1" x14ac:dyDescent="0.25"/>
    <row r="2" spans="2:15" ht="15" customHeight="1" x14ac:dyDescent="0.25">
      <c r="B2" s="102"/>
      <c r="C2" s="103"/>
      <c r="D2" s="104"/>
      <c r="E2" s="98" t="s">
        <v>0</v>
      </c>
      <c r="F2" s="98"/>
      <c r="G2" s="98"/>
      <c r="H2" s="98"/>
      <c r="I2" s="98"/>
      <c r="J2" s="98"/>
      <c r="K2" s="98"/>
      <c r="L2" s="99"/>
      <c r="M2" s="120" t="s">
        <v>1</v>
      </c>
      <c r="N2" s="121"/>
    </row>
    <row r="3" spans="2:15" ht="15" customHeight="1" x14ac:dyDescent="0.25">
      <c r="B3" s="105"/>
      <c r="C3" s="106"/>
      <c r="D3" s="107"/>
      <c r="E3" s="100"/>
      <c r="F3" s="100"/>
      <c r="G3" s="100"/>
      <c r="H3" s="100"/>
      <c r="I3" s="100"/>
      <c r="J3" s="100"/>
      <c r="K3" s="100"/>
      <c r="L3" s="101"/>
      <c r="M3" s="122"/>
      <c r="N3" s="123"/>
    </row>
    <row r="4" spans="2:15" x14ac:dyDescent="0.25">
      <c r="B4" s="105"/>
      <c r="C4" s="106"/>
      <c r="D4" s="107"/>
      <c r="E4" s="111" t="s">
        <v>60</v>
      </c>
      <c r="F4" s="112"/>
      <c r="G4" s="112"/>
      <c r="H4" s="112"/>
      <c r="I4" s="112"/>
      <c r="J4" s="112"/>
      <c r="K4" s="112"/>
      <c r="L4" s="113"/>
      <c r="M4" s="122"/>
      <c r="N4" s="123"/>
    </row>
    <row r="5" spans="2:15" x14ac:dyDescent="0.25">
      <c r="B5" s="105"/>
      <c r="C5" s="106"/>
      <c r="D5" s="107"/>
      <c r="E5" s="114"/>
      <c r="F5" s="115"/>
      <c r="G5" s="115"/>
      <c r="H5" s="115"/>
      <c r="I5" s="115"/>
      <c r="J5" s="115"/>
      <c r="K5" s="115"/>
      <c r="L5" s="116"/>
      <c r="M5" s="122"/>
      <c r="N5" s="123"/>
    </row>
    <row r="6" spans="2:15" x14ac:dyDescent="0.25">
      <c r="B6" s="105"/>
      <c r="C6" s="106"/>
      <c r="D6" s="107"/>
      <c r="E6" s="114"/>
      <c r="F6" s="115"/>
      <c r="G6" s="115"/>
      <c r="H6" s="115"/>
      <c r="I6" s="115"/>
      <c r="J6" s="115"/>
      <c r="K6" s="115"/>
      <c r="L6" s="116"/>
      <c r="M6" s="122"/>
      <c r="N6" s="123"/>
    </row>
    <row r="7" spans="2:15" x14ac:dyDescent="0.25">
      <c r="B7" s="108"/>
      <c r="C7" s="109"/>
      <c r="D7" s="110"/>
      <c r="E7" s="117"/>
      <c r="F7" s="118"/>
      <c r="G7" s="118"/>
      <c r="H7" s="118"/>
      <c r="I7" s="118"/>
      <c r="J7" s="118"/>
      <c r="K7" s="118"/>
      <c r="L7" s="119"/>
      <c r="M7" s="124"/>
      <c r="N7" s="125"/>
    </row>
    <row r="9" spans="2:15" x14ac:dyDescent="0.25">
      <c r="B9" s="94" t="s">
        <v>13</v>
      </c>
      <c r="C9" s="95"/>
      <c r="D9" s="95"/>
      <c r="E9" s="83" t="s">
        <v>348</v>
      </c>
      <c r="F9" s="84"/>
      <c r="G9" s="84"/>
      <c r="H9" s="84"/>
      <c r="I9" s="84"/>
      <c r="J9" s="84"/>
      <c r="K9" s="84"/>
      <c r="L9" s="84"/>
      <c r="M9" s="84"/>
      <c r="N9" s="85"/>
    </row>
    <row r="11" spans="2:15" x14ac:dyDescent="0.25">
      <c r="B11" s="94" t="s">
        <v>59</v>
      </c>
      <c r="C11" s="95"/>
      <c r="D11" s="95"/>
      <c r="E11" s="83" t="s">
        <v>334</v>
      </c>
      <c r="F11" s="84"/>
      <c r="G11" s="84"/>
      <c r="H11" s="84"/>
      <c r="I11" s="84"/>
      <c r="J11" s="84"/>
      <c r="K11" s="84"/>
      <c r="L11" s="84"/>
      <c r="M11" s="84"/>
      <c r="N11" s="85"/>
    </row>
    <row r="12" spans="2:15" x14ac:dyDescent="0.25">
      <c r="E12" s="4"/>
    </row>
    <row r="13" spans="2:15" x14ac:dyDescent="0.25">
      <c r="B13" s="94" t="s">
        <v>16</v>
      </c>
      <c r="C13" s="95"/>
      <c r="D13" s="95"/>
      <c r="E13" s="157" t="s">
        <v>351</v>
      </c>
      <c r="F13" s="158"/>
      <c r="G13" s="158"/>
      <c r="H13" s="158"/>
      <c r="I13" s="158"/>
      <c r="J13" s="158"/>
      <c r="K13" s="158"/>
      <c r="L13" s="158"/>
      <c r="M13" s="158"/>
      <c r="N13" s="159"/>
      <c r="O13" s="2"/>
    </row>
    <row r="14" spans="2:15" x14ac:dyDescent="0.25">
      <c r="E14" s="160"/>
      <c r="F14" s="161"/>
      <c r="G14" s="161"/>
      <c r="H14" s="161"/>
      <c r="I14" s="161"/>
      <c r="J14" s="161"/>
      <c r="K14" s="161"/>
      <c r="L14" s="161"/>
      <c r="M14" s="161"/>
      <c r="N14" s="162"/>
      <c r="O14" s="2"/>
    </row>
    <row r="15" spans="2:15" x14ac:dyDescent="0.25">
      <c r="E15" s="160"/>
      <c r="F15" s="161"/>
      <c r="G15" s="161"/>
      <c r="H15" s="161"/>
      <c r="I15" s="161"/>
      <c r="J15" s="161"/>
      <c r="K15" s="161"/>
      <c r="L15" s="161"/>
      <c r="M15" s="161"/>
      <c r="N15" s="162"/>
    </row>
    <row r="16" spans="2:15" x14ac:dyDescent="0.25">
      <c r="E16" s="160"/>
      <c r="F16" s="161"/>
      <c r="G16" s="161"/>
      <c r="H16" s="161"/>
      <c r="I16" s="161"/>
      <c r="J16" s="161"/>
      <c r="K16" s="161"/>
      <c r="L16" s="161"/>
      <c r="M16" s="161"/>
      <c r="N16" s="162"/>
    </row>
    <row r="17" spans="2:53" x14ac:dyDescent="0.25">
      <c r="E17" s="160"/>
      <c r="F17" s="161"/>
      <c r="G17" s="161"/>
      <c r="H17" s="161"/>
      <c r="I17" s="161"/>
      <c r="J17" s="161"/>
      <c r="K17" s="161"/>
      <c r="L17" s="161"/>
      <c r="M17" s="161"/>
      <c r="N17" s="162"/>
    </row>
    <row r="18" spans="2:53" x14ac:dyDescent="0.25">
      <c r="E18" s="160"/>
      <c r="F18" s="161"/>
      <c r="G18" s="161"/>
      <c r="H18" s="161"/>
      <c r="I18" s="161"/>
      <c r="J18" s="161"/>
      <c r="K18" s="161"/>
      <c r="L18" s="161"/>
      <c r="M18" s="161"/>
      <c r="N18" s="162"/>
    </row>
    <row r="19" spans="2:53" x14ac:dyDescent="0.25">
      <c r="E19" s="163"/>
      <c r="F19" s="164"/>
      <c r="G19" s="164"/>
      <c r="H19" s="164"/>
      <c r="I19" s="164"/>
      <c r="J19" s="164"/>
      <c r="K19" s="164"/>
      <c r="L19" s="164"/>
      <c r="M19" s="164"/>
      <c r="N19" s="165"/>
    </row>
    <row r="20" spans="2:53" x14ac:dyDescent="0.25">
      <c r="B20" s="9"/>
      <c r="C20" s="9"/>
      <c r="D20" s="9"/>
      <c r="F20" s="4"/>
      <c r="G20" s="4"/>
      <c r="H20" s="4"/>
    </row>
    <row r="21" spans="2:53" x14ac:dyDescent="0.25">
      <c r="B21" s="169" t="s">
        <v>224</v>
      </c>
      <c r="C21" s="170"/>
      <c r="D21" s="170"/>
      <c r="E21" s="171" t="s">
        <v>102</v>
      </c>
      <c r="F21" s="172"/>
      <c r="G21" s="172"/>
      <c r="H21" s="173"/>
      <c r="I21" s="31"/>
      <c r="J21" s="169" t="s">
        <v>225</v>
      </c>
      <c r="K21" s="170"/>
      <c r="L21" s="170"/>
      <c r="M21" s="171"/>
      <c r="N21" s="172"/>
      <c r="O21" s="172"/>
      <c r="P21" s="173"/>
      <c r="R21" s="169" t="s">
        <v>226</v>
      </c>
      <c r="S21" s="170"/>
      <c r="T21" s="170"/>
      <c r="U21" s="171"/>
      <c r="V21" s="172"/>
      <c r="W21" s="172"/>
      <c r="X21" s="173"/>
      <c r="Z21" s="169" t="s">
        <v>227</v>
      </c>
      <c r="AA21" s="170"/>
      <c r="AB21" s="170"/>
      <c r="AC21" s="171" t="s">
        <v>111</v>
      </c>
      <c r="AD21" s="172"/>
      <c r="AE21" s="172"/>
      <c r="AF21" s="173"/>
      <c r="AI21" s="169" t="s">
        <v>228</v>
      </c>
      <c r="AJ21" s="170"/>
      <c r="AK21" s="170"/>
      <c r="AL21" s="171" t="s">
        <v>111</v>
      </c>
      <c r="AM21" s="172"/>
      <c r="AN21" s="172"/>
      <c r="AO21" s="173"/>
      <c r="AR21" s="169" t="s">
        <v>229</v>
      </c>
      <c r="AS21" s="170"/>
      <c r="AT21" s="170"/>
      <c r="AU21" s="171"/>
      <c r="AV21" s="172"/>
      <c r="AW21" s="172"/>
      <c r="AX21" s="173"/>
    </row>
    <row r="22" spans="2:53" x14ac:dyDescent="0.25">
      <c r="B22" s="2"/>
      <c r="C22" s="2"/>
      <c r="D22" s="2"/>
    </row>
    <row r="23" spans="2:53" x14ac:dyDescent="0.25">
      <c r="B23" s="174" t="s">
        <v>14</v>
      </c>
      <c r="C23" s="175"/>
      <c r="D23" s="176"/>
      <c r="E23" s="167" t="s">
        <v>15</v>
      </c>
      <c r="F23" s="167"/>
      <c r="G23" s="167"/>
      <c r="H23" s="167"/>
      <c r="I23" s="8"/>
      <c r="J23" s="166"/>
      <c r="K23" s="167"/>
      <c r="L23" s="167"/>
      <c r="M23" s="168"/>
      <c r="N23" s="7"/>
      <c r="O23" s="166" t="s">
        <v>17</v>
      </c>
      <c r="P23" s="167"/>
      <c r="Q23" s="167"/>
      <c r="R23" s="168"/>
      <c r="T23" s="166" t="s">
        <v>18</v>
      </c>
      <c r="U23" s="167"/>
      <c r="V23" s="167"/>
      <c r="W23" s="168"/>
      <c r="Y23" s="166" t="s">
        <v>19</v>
      </c>
      <c r="Z23" s="167"/>
      <c r="AA23" s="167"/>
      <c r="AB23" s="168"/>
      <c r="AD23" s="166" t="s">
        <v>20</v>
      </c>
      <c r="AE23" s="167"/>
      <c r="AF23" s="167"/>
      <c r="AG23" s="168"/>
      <c r="AI23" s="166" t="s">
        <v>21</v>
      </c>
      <c r="AJ23" s="167"/>
      <c r="AK23" s="167"/>
      <c r="AL23" s="168"/>
      <c r="AN23" s="166" t="s">
        <v>22</v>
      </c>
      <c r="AO23" s="167"/>
      <c r="AP23" s="167"/>
      <c r="AQ23" s="168"/>
      <c r="AS23" s="166" t="s">
        <v>23</v>
      </c>
      <c r="AT23" s="167"/>
      <c r="AU23" s="167"/>
      <c r="AV23" s="168"/>
      <c r="AX23" s="166" t="s">
        <v>24</v>
      </c>
      <c r="AY23" s="167"/>
      <c r="AZ23" s="167"/>
      <c r="BA23" s="168"/>
    </row>
    <row r="24" spans="2:53" x14ac:dyDescent="0.25">
      <c r="B24" s="177"/>
      <c r="C24" s="178"/>
      <c r="D24" s="178"/>
      <c r="E24" s="179" t="s">
        <v>352</v>
      </c>
      <c r="F24" s="180"/>
      <c r="G24" s="180"/>
      <c r="H24" s="181"/>
      <c r="I24" s="2"/>
      <c r="J24" s="179" t="s">
        <v>353</v>
      </c>
      <c r="K24" s="180"/>
      <c r="L24" s="180"/>
      <c r="M24" s="181"/>
      <c r="O24" s="179" t="s">
        <v>354</v>
      </c>
      <c r="P24" s="180"/>
      <c r="Q24" s="180"/>
      <c r="R24" s="181"/>
      <c r="T24" s="179" t="s">
        <v>355</v>
      </c>
      <c r="U24" s="180"/>
      <c r="V24" s="180"/>
      <c r="W24" s="181"/>
      <c r="Y24" s="179"/>
      <c r="Z24" s="180"/>
      <c r="AA24" s="180"/>
      <c r="AB24" s="181"/>
      <c r="AD24" s="179"/>
      <c r="AE24" s="180"/>
      <c r="AF24" s="180"/>
      <c r="AG24" s="181"/>
      <c r="AI24" s="179"/>
      <c r="AJ24" s="180"/>
      <c r="AK24" s="180"/>
      <c r="AL24" s="181"/>
      <c r="AN24" s="179"/>
      <c r="AO24" s="180"/>
      <c r="AP24" s="180"/>
      <c r="AQ24" s="181"/>
      <c r="AS24" s="179"/>
      <c r="AT24" s="180"/>
      <c r="AU24" s="180"/>
      <c r="AV24" s="181"/>
      <c r="AX24" s="179"/>
      <c r="AY24" s="180"/>
      <c r="AZ24" s="180"/>
      <c r="BA24" s="181"/>
    </row>
    <row r="25" spans="2:53" x14ac:dyDescent="0.25">
      <c r="E25" s="182"/>
      <c r="F25" s="161"/>
      <c r="G25" s="161"/>
      <c r="H25" s="183"/>
      <c r="I25" s="2"/>
      <c r="J25" s="182"/>
      <c r="K25" s="161"/>
      <c r="L25" s="161"/>
      <c r="M25" s="183"/>
      <c r="O25" s="182"/>
      <c r="P25" s="161"/>
      <c r="Q25" s="161"/>
      <c r="R25" s="183"/>
      <c r="T25" s="182"/>
      <c r="U25" s="161"/>
      <c r="V25" s="161"/>
      <c r="W25" s="183"/>
      <c r="Y25" s="182"/>
      <c r="Z25" s="161"/>
      <c r="AA25" s="161"/>
      <c r="AB25" s="183"/>
      <c r="AD25" s="182"/>
      <c r="AE25" s="161"/>
      <c r="AF25" s="161"/>
      <c r="AG25" s="183"/>
      <c r="AI25" s="182"/>
      <c r="AJ25" s="161"/>
      <c r="AK25" s="161"/>
      <c r="AL25" s="183"/>
      <c r="AN25" s="182"/>
      <c r="AO25" s="161"/>
      <c r="AP25" s="161"/>
      <c r="AQ25" s="183"/>
      <c r="AS25" s="182"/>
      <c r="AT25" s="161"/>
      <c r="AU25" s="161"/>
      <c r="AV25" s="183"/>
      <c r="AX25" s="182"/>
      <c r="AY25" s="161"/>
      <c r="AZ25" s="161"/>
      <c r="BA25" s="183"/>
    </row>
    <row r="26" spans="2:53" x14ac:dyDescent="0.25">
      <c r="E26" s="182"/>
      <c r="F26" s="161"/>
      <c r="G26" s="161"/>
      <c r="H26" s="183"/>
      <c r="I26" s="2"/>
      <c r="J26" s="182"/>
      <c r="K26" s="161"/>
      <c r="L26" s="161"/>
      <c r="M26" s="183"/>
      <c r="O26" s="182"/>
      <c r="P26" s="161"/>
      <c r="Q26" s="161"/>
      <c r="R26" s="183"/>
      <c r="T26" s="182"/>
      <c r="U26" s="161"/>
      <c r="V26" s="161"/>
      <c r="W26" s="183"/>
      <c r="Y26" s="182"/>
      <c r="Z26" s="161"/>
      <c r="AA26" s="161"/>
      <c r="AB26" s="183"/>
      <c r="AD26" s="182"/>
      <c r="AE26" s="161"/>
      <c r="AF26" s="161"/>
      <c r="AG26" s="183"/>
      <c r="AI26" s="182"/>
      <c r="AJ26" s="161"/>
      <c r="AK26" s="161"/>
      <c r="AL26" s="183"/>
      <c r="AN26" s="182"/>
      <c r="AO26" s="161"/>
      <c r="AP26" s="161"/>
      <c r="AQ26" s="183"/>
      <c r="AS26" s="182"/>
      <c r="AT26" s="161"/>
      <c r="AU26" s="161"/>
      <c r="AV26" s="183"/>
      <c r="AX26" s="182"/>
      <c r="AY26" s="161"/>
      <c r="AZ26" s="161"/>
      <c r="BA26" s="183"/>
    </row>
    <row r="27" spans="2:53" x14ac:dyDescent="0.25">
      <c r="E27" s="182"/>
      <c r="F27" s="161"/>
      <c r="G27" s="161"/>
      <c r="H27" s="183"/>
      <c r="J27" s="182"/>
      <c r="K27" s="161"/>
      <c r="L27" s="161"/>
      <c r="M27" s="183"/>
      <c r="O27" s="182"/>
      <c r="P27" s="161"/>
      <c r="Q27" s="161"/>
      <c r="R27" s="183"/>
      <c r="T27" s="182"/>
      <c r="U27" s="161"/>
      <c r="V27" s="161"/>
      <c r="W27" s="183"/>
      <c r="Y27" s="182"/>
      <c r="Z27" s="161"/>
      <c r="AA27" s="161"/>
      <c r="AB27" s="183"/>
      <c r="AD27" s="182"/>
      <c r="AE27" s="161"/>
      <c r="AF27" s="161"/>
      <c r="AG27" s="183"/>
      <c r="AI27" s="182"/>
      <c r="AJ27" s="161"/>
      <c r="AK27" s="161"/>
      <c r="AL27" s="183"/>
      <c r="AN27" s="182"/>
      <c r="AO27" s="161"/>
      <c r="AP27" s="161"/>
      <c r="AQ27" s="183"/>
      <c r="AS27" s="182"/>
      <c r="AT27" s="161"/>
      <c r="AU27" s="161"/>
      <c r="AV27" s="183"/>
      <c r="AX27" s="182"/>
      <c r="AY27" s="161"/>
      <c r="AZ27" s="161"/>
      <c r="BA27" s="183"/>
    </row>
    <row r="28" spans="2:53" x14ac:dyDescent="0.25">
      <c r="E28" s="182"/>
      <c r="F28" s="161"/>
      <c r="G28" s="161"/>
      <c r="H28" s="183"/>
      <c r="J28" s="182"/>
      <c r="K28" s="161"/>
      <c r="L28" s="161"/>
      <c r="M28" s="183"/>
      <c r="O28" s="182"/>
      <c r="P28" s="161"/>
      <c r="Q28" s="161"/>
      <c r="R28" s="183"/>
      <c r="T28" s="182"/>
      <c r="U28" s="161"/>
      <c r="V28" s="161"/>
      <c r="W28" s="183"/>
      <c r="Y28" s="182"/>
      <c r="Z28" s="161"/>
      <c r="AA28" s="161"/>
      <c r="AB28" s="183"/>
      <c r="AD28" s="182"/>
      <c r="AE28" s="161"/>
      <c r="AF28" s="161"/>
      <c r="AG28" s="183"/>
      <c r="AI28" s="182"/>
      <c r="AJ28" s="161"/>
      <c r="AK28" s="161"/>
      <c r="AL28" s="183"/>
      <c r="AN28" s="182"/>
      <c r="AO28" s="161"/>
      <c r="AP28" s="161"/>
      <c r="AQ28" s="183"/>
      <c r="AS28" s="182"/>
      <c r="AT28" s="161"/>
      <c r="AU28" s="161"/>
      <c r="AV28" s="183"/>
      <c r="AX28" s="182"/>
      <c r="AY28" s="161"/>
      <c r="AZ28" s="161"/>
      <c r="BA28" s="183"/>
    </row>
    <row r="29" spans="2:53" x14ac:dyDescent="0.25">
      <c r="E29" s="182"/>
      <c r="F29" s="161"/>
      <c r="G29" s="161"/>
      <c r="H29" s="183"/>
      <c r="J29" s="182"/>
      <c r="K29" s="161"/>
      <c r="L29" s="161"/>
      <c r="M29" s="183"/>
      <c r="O29" s="182"/>
      <c r="P29" s="161"/>
      <c r="Q29" s="161"/>
      <c r="R29" s="183"/>
      <c r="T29" s="182"/>
      <c r="U29" s="161"/>
      <c r="V29" s="161"/>
      <c r="W29" s="183"/>
      <c r="Y29" s="182"/>
      <c r="Z29" s="161"/>
      <c r="AA29" s="161"/>
      <c r="AB29" s="183"/>
      <c r="AD29" s="182"/>
      <c r="AE29" s="161"/>
      <c r="AF29" s="161"/>
      <c r="AG29" s="183"/>
      <c r="AI29" s="182"/>
      <c r="AJ29" s="161"/>
      <c r="AK29" s="161"/>
      <c r="AL29" s="183"/>
      <c r="AN29" s="182"/>
      <c r="AO29" s="161"/>
      <c r="AP29" s="161"/>
      <c r="AQ29" s="183"/>
      <c r="AS29" s="182"/>
      <c r="AT29" s="161"/>
      <c r="AU29" s="161"/>
      <c r="AV29" s="183"/>
      <c r="AX29" s="182"/>
      <c r="AY29" s="161"/>
      <c r="AZ29" s="161"/>
      <c r="BA29" s="183"/>
    </row>
    <row r="30" spans="2:53" x14ac:dyDescent="0.25">
      <c r="E30" s="182"/>
      <c r="F30" s="161"/>
      <c r="G30" s="161"/>
      <c r="H30" s="183"/>
      <c r="J30" s="182"/>
      <c r="K30" s="161"/>
      <c r="L30" s="161"/>
      <c r="M30" s="183"/>
      <c r="O30" s="182"/>
      <c r="P30" s="161"/>
      <c r="Q30" s="161"/>
      <c r="R30" s="183"/>
      <c r="T30" s="182"/>
      <c r="U30" s="161"/>
      <c r="V30" s="161"/>
      <c r="W30" s="183"/>
      <c r="Y30" s="182"/>
      <c r="Z30" s="161"/>
      <c r="AA30" s="161"/>
      <c r="AB30" s="183"/>
      <c r="AD30" s="182"/>
      <c r="AE30" s="161"/>
      <c r="AF30" s="161"/>
      <c r="AG30" s="183"/>
      <c r="AI30" s="182"/>
      <c r="AJ30" s="161"/>
      <c r="AK30" s="161"/>
      <c r="AL30" s="183"/>
      <c r="AN30" s="182"/>
      <c r="AO30" s="161"/>
      <c r="AP30" s="161"/>
      <c r="AQ30" s="183"/>
      <c r="AS30" s="182"/>
      <c r="AT30" s="161"/>
      <c r="AU30" s="161"/>
      <c r="AV30" s="183"/>
      <c r="AX30" s="182"/>
      <c r="AY30" s="161"/>
      <c r="AZ30" s="161"/>
      <c r="BA30" s="183"/>
    </row>
    <row r="31" spans="2:53" x14ac:dyDescent="0.25">
      <c r="E31" s="182"/>
      <c r="F31" s="161"/>
      <c r="G31" s="161"/>
      <c r="H31" s="183"/>
      <c r="J31" s="182"/>
      <c r="K31" s="161"/>
      <c r="L31" s="161"/>
      <c r="M31" s="183"/>
      <c r="O31" s="182"/>
      <c r="P31" s="161"/>
      <c r="Q31" s="161"/>
      <c r="R31" s="183"/>
      <c r="T31" s="182"/>
      <c r="U31" s="161"/>
      <c r="V31" s="161"/>
      <c r="W31" s="183"/>
      <c r="Y31" s="182"/>
      <c r="Z31" s="161"/>
      <c r="AA31" s="161"/>
      <c r="AB31" s="183"/>
      <c r="AD31" s="182"/>
      <c r="AE31" s="161"/>
      <c r="AF31" s="161"/>
      <c r="AG31" s="183"/>
      <c r="AI31" s="182"/>
      <c r="AJ31" s="161"/>
      <c r="AK31" s="161"/>
      <c r="AL31" s="183"/>
      <c r="AN31" s="182"/>
      <c r="AO31" s="161"/>
      <c r="AP31" s="161"/>
      <c r="AQ31" s="183"/>
      <c r="AS31" s="182"/>
      <c r="AT31" s="161"/>
      <c r="AU31" s="161"/>
      <c r="AV31" s="183"/>
      <c r="AX31" s="182"/>
      <c r="AY31" s="161"/>
      <c r="AZ31" s="161"/>
      <c r="BA31" s="183"/>
    </row>
    <row r="32" spans="2:53" x14ac:dyDescent="0.25">
      <c r="E32" s="182"/>
      <c r="F32" s="161"/>
      <c r="G32" s="161"/>
      <c r="H32" s="183"/>
      <c r="J32" s="182"/>
      <c r="K32" s="161"/>
      <c r="L32" s="161"/>
      <c r="M32" s="183"/>
      <c r="O32" s="182"/>
      <c r="P32" s="161"/>
      <c r="Q32" s="161"/>
      <c r="R32" s="183"/>
      <c r="T32" s="182"/>
      <c r="U32" s="161"/>
      <c r="V32" s="161"/>
      <c r="W32" s="183"/>
      <c r="Y32" s="182"/>
      <c r="Z32" s="161"/>
      <c r="AA32" s="161"/>
      <c r="AB32" s="183"/>
      <c r="AD32" s="182"/>
      <c r="AE32" s="161"/>
      <c r="AF32" s="161"/>
      <c r="AG32" s="183"/>
      <c r="AI32" s="182"/>
      <c r="AJ32" s="161"/>
      <c r="AK32" s="161"/>
      <c r="AL32" s="183"/>
      <c r="AN32" s="182"/>
      <c r="AO32" s="161"/>
      <c r="AP32" s="161"/>
      <c r="AQ32" s="183"/>
      <c r="AS32" s="182"/>
      <c r="AT32" s="161"/>
      <c r="AU32" s="161"/>
      <c r="AV32" s="183"/>
      <c r="AX32" s="182"/>
      <c r="AY32" s="161"/>
      <c r="AZ32" s="161"/>
      <c r="BA32" s="183"/>
    </row>
    <row r="33" spans="2:53" x14ac:dyDescent="0.25">
      <c r="E33" s="182"/>
      <c r="F33" s="161"/>
      <c r="G33" s="161"/>
      <c r="H33" s="183"/>
      <c r="J33" s="182"/>
      <c r="K33" s="161"/>
      <c r="L33" s="161"/>
      <c r="M33" s="183"/>
      <c r="O33" s="182"/>
      <c r="P33" s="161"/>
      <c r="Q33" s="161"/>
      <c r="R33" s="183"/>
      <c r="T33" s="182"/>
      <c r="U33" s="161"/>
      <c r="V33" s="161"/>
      <c r="W33" s="183"/>
      <c r="Y33" s="182"/>
      <c r="Z33" s="161"/>
      <c r="AA33" s="161"/>
      <c r="AB33" s="183"/>
      <c r="AD33" s="182"/>
      <c r="AE33" s="161"/>
      <c r="AF33" s="161"/>
      <c r="AG33" s="183"/>
      <c r="AI33" s="182"/>
      <c r="AJ33" s="161"/>
      <c r="AK33" s="161"/>
      <c r="AL33" s="183"/>
      <c r="AN33" s="182"/>
      <c r="AO33" s="161"/>
      <c r="AP33" s="161"/>
      <c r="AQ33" s="183"/>
      <c r="AS33" s="182"/>
      <c r="AT33" s="161"/>
      <c r="AU33" s="161"/>
      <c r="AV33" s="183"/>
      <c r="AX33" s="182"/>
      <c r="AY33" s="161"/>
      <c r="AZ33" s="161"/>
      <c r="BA33" s="183"/>
    </row>
    <row r="34" spans="2:53" x14ac:dyDescent="0.25">
      <c r="E34" s="182"/>
      <c r="F34" s="161"/>
      <c r="G34" s="161"/>
      <c r="H34" s="183"/>
      <c r="J34" s="182"/>
      <c r="K34" s="161"/>
      <c r="L34" s="161"/>
      <c r="M34" s="183"/>
      <c r="O34" s="182"/>
      <c r="P34" s="161"/>
      <c r="Q34" s="161"/>
      <c r="R34" s="183"/>
      <c r="T34" s="182"/>
      <c r="U34" s="161"/>
      <c r="V34" s="161"/>
      <c r="W34" s="183"/>
      <c r="Y34" s="182"/>
      <c r="Z34" s="161"/>
      <c r="AA34" s="161"/>
      <c r="AB34" s="183"/>
      <c r="AD34" s="182"/>
      <c r="AE34" s="161"/>
      <c r="AF34" s="161"/>
      <c r="AG34" s="183"/>
      <c r="AI34" s="182"/>
      <c r="AJ34" s="161"/>
      <c r="AK34" s="161"/>
      <c r="AL34" s="183"/>
      <c r="AN34" s="182"/>
      <c r="AO34" s="161"/>
      <c r="AP34" s="161"/>
      <c r="AQ34" s="183"/>
      <c r="AS34" s="182"/>
      <c r="AT34" s="161"/>
      <c r="AU34" s="161"/>
      <c r="AV34" s="183"/>
      <c r="AX34" s="182"/>
      <c r="AY34" s="161"/>
      <c r="AZ34" s="161"/>
      <c r="BA34" s="183"/>
    </row>
    <row r="35" spans="2:53" x14ac:dyDescent="0.25">
      <c r="E35" s="182"/>
      <c r="F35" s="161"/>
      <c r="G35" s="161"/>
      <c r="H35" s="183"/>
      <c r="J35" s="182"/>
      <c r="K35" s="161"/>
      <c r="L35" s="161"/>
      <c r="M35" s="183"/>
      <c r="O35" s="182"/>
      <c r="P35" s="161"/>
      <c r="Q35" s="161"/>
      <c r="R35" s="183"/>
      <c r="T35" s="182"/>
      <c r="U35" s="161"/>
      <c r="V35" s="161"/>
      <c r="W35" s="183"/>
      <c r="Y35" s="182"/>
      <c r="Z35" s="161"/>
      <c r="AA35" s="161"/>
      <c r="AB35" s="183"/>
      <c r="AD35" s="182"/>
      <c r="AE35" s="161"/>
      <c r="AF35" s="161"/>
      <c r="AG35" s="183"/>
      <c r="AI35" s="182"/>
      <c r="AJ35" s="161"/>
      <c r="AK35" s="161"/>
      <c r="AL35" s="183"/>
      <c r="AN35" s="182"/>
      <c r="AO35" s="161"/>
      <c r="AP35" s="161"/>
      <c r="AQ35" s="183"/>
      <c r="AS35" s="182"/>
      <c r="AT35" s="161"/>
      <c r="AU35" s="161"/>
      <c r="AV35" s="183"/>
      <c r="AX35" s="182"/>
      <c r="AY35" s="161"/>
      <c r="AZ35" s="161"/>
      <c r="BA35" s="183"/>
    </row>
    <row r="36" spans="2:53" x14ac:dyDescent="0.25">
      <c r="E36" s="182"/>
      <c r="F36" s="161"/>
      <c r="G36" s="161"/>
      <c r="H36" s="183"/>
      <c r="J36" s="182"/>
      <c r="K36" s="161"/>
      <c r="L36" s="161"/>
      <c r="M36" s="183"/>
      <c r="O36" s="182"/>
      <c r="P36" s="161"/>
      <c r="Q36" s="161"/>
      <c r="R36" s="183"/>
      <c r="T36" s="182"/>
      <c r="U36" s="161"/>
      <c r="V36" s="161"/>
      <c r="W36" s="183"/>
      <c r="Y36" s="182"/>
      <c r="Z36" s="161"/>
      <c r="AA36" s="161"/>
      <c r="AB36" s="183"/>
      <c r="AD36" s="182"/>
      <c r="AE36" s="161"/>
      <c r="AF36" s="161"/>
      <c r="AG36" s="183"/>
      <c r="AI36" s="182"/>
      <c r="AJ36" s="161"/>
      <c r="AK36" s="161"/>
      <c r="AL36" s="183"/>
      <c r="AN36" s="182"/>
      <c r="AO36" s="161"/>
      <c r="AP36" s="161"/>
      <c r="AQ36" s="183"/>
      <c r="AS36" s="182"/>
      <c r="AT36" s="161"/>
      <c r="AU36" s="161"/>
      <c r="AV36" s="183"/>
      <c r="AX36" s="182"/>
      <c r="AY36" s="161"/>
      <c r="AZ36" s="161"/>
      <c r="BA36" s="183"/>
    </row>
    <row r="37" spans="2:53" x14ac:dyDescent="0.25">
      <c r="E37" s="182"/>
      <c r="F37" s="161"/>
      <c r="G37" s="161"/>
      <c r="H37" s="183"/>
      <c r="J37" s="182"/>
      <c r="K37" s="161"/>
      <c r="L37" s="161"/>
      <c r="M37" s="183"/>
      <c r="O37" s="182"/>
      <c r="P37" s="161"/>
      <c r="Q37" s="161"/>
      <c r="R37" s="183"/>
      <c r="T37" s="182"/>
      <c r="U37" s="161"/>
      <c r="V37" s="161"/>
      <c r="W37" s="183"/>
      <c r="Y37" s="182"/>
      <c r="Z37" s="161"/>
      <c r="AA37" s="161"/>
      <c r="AB37" s="183"/>
      <c r="AD37" s="182"/>
      <c r="AE37" s="161"/>
      <c r="AF37" s="161"/>
      <c r="AG37" s="183"/>
      <c r="AI37" s="182"/>
      <c r="AJ37" s="161"/>
      <c r="AK37" s="161"/>
      <c r="AL37" s="183"/>
      <c r="AN37" s="182"/>
      <c r="AO37" s="161"/>
      <c r="AP37" s="161"/>
      <c r="AQ37" s="183"/>
      <c r="AS37" s="182"/>
      <c r="AT37" s="161"/>
      <c r="AU37" s="161"/>
      <c r="AV37" s="183"/>
      <c r="AX37" s="182"/>
      <c r="AY37" s="161"/>
      <c r="AZ37" s="161"/>
      <c r="BA37" s="183"/>
    </row>
    <row r="38" spans="2:53" x14ac:dyDescent="0.25">
      <c r="E38" s="184"/>
      <c r="F38" s="185"/>
      <c r="G38" s="185"/>
      <c r="H38" s="186"/>
      <c r="J38" s="184"/>
      <c r="K38" s="185"/>
      <c r="L38" s="185"/>
      <c r="M38" s="186"/>
      <c r="O38" s="184"/>
      <c r="P38" s="185"/>
      <c r="Q38" s="185"/>
      <c r="R38" s="186"/>
      <c r="T38" s="184"/>
      <c r="U38" s="185"/>
      <c r="V38" s="185"/>
      <c r="W38" s="186"/>
      <c r="Y38" s="184"/>
      <c r="Z38" s="185"/>
      <c r="AA38" s="185"/>
      <c r="AB38" s="186"/>
      <c r="AD38" s="184"/>
      <c r="AE38" s="185"/>
      <c r="AF38" s="185"/>
      <c r="AG38" s="186"/>
      <c r="AI38" s="184"/>
      <c r="AJ38" s="185"/>
      <c r="AK38" s="185"/>
      <c r="AL38" s="186"/>
      <c r="AN38" s="184"/>
      <c r="AO38" s="185"/>
      <c r="AP38" s="185"/>
      <c r="AQ38" s="186"/>
      <c r="AS38" s="184"/>
      <c r="AT38" s="185"/>
      <c r="AU38" s="185"/>
      <c r="AV38" s="186"/>
      <c r="AX38" s="184"/>
      <c r="AY38" s="185"/>
      <c r="AZ38" s="185"/>
      <c r="BA38" s="186"/>
    </row>
    <row r="41" spans="2:53" x14ac:dyDescent="0.25">
      <c r="B41" s="174" t="s">
        <v>25</v>
      </c>
      <c r="C41" s="175"/>
      <c r="D41" s="176"/>
      <c r="E41" s="167" t="s">
        <v>26</v>
      </c>
      <c r="F41" s="167"/>
      <c r="G41" s="167"/>
      <c r="H41" s="167"/>
      <c r="I41" s="8"/>
      <c r="J41" s="166" t="s">
        <v>27</v>
      </c>
      <c r="K41" s="167"/>
      <c r="L41" s="167"/>
      <c r="M41" s="168"/>
      <c r="N41" s="7"/>
      <c r="O41" s="166" t="s">
        <v>28</v>
      </c>
      <c r="P41" s="167"/>
      <c r="Q41" s="167"/>
      <c r="R41" s="168"/>
      <c r="T41" s="166" t="s">
        <v>29</v>
      </c>
      <c r="U41" s="167"/>
      <c r="V41" s="167"/>
      <c r="W41" s="168"/>
      <c r="Y41" s="166" t="s">
        <v>30</v>
      </c>
      <c r="Z41" s="167"/>
      <c r="AA41" s="167"/>
      <c r="AB41" s="168"/>
      <c r="AD41" s="166" t="s">
        <v>31</v>
      </c>
      <c r="AE41" s="167"/>
      <c r="AF41" s="167"/>
      <c r="AG41" s="168"/>
      <c r="AI41" s="166" t="s">
        <v>32</v>
      </c>
      <c r="AJ41" s="167"/>
      <c r="AK41" s="167"/>
      <c r="AL41" s="168"/>
      <c r="AN41" s="166" t="s">
        <v>33</v>
      </c>
      <c r="AO41" s="167"/>
      <c r="AP41" s="167"/>
      <c r="AQ41" s="168"/>
      <c r="AS41" s="166" t="s">
        <v>34</v>
      </c>
      <c r="AT41" s="167"/>
      <c r="AU41" s="167"/>
      <c r="AV41" s="168"/>
      <c r="AX41" s="166" t="s">
        <v>35</v>
      </c>
      <c r="AY41" s="167"/>
      <c r="AZ41" s="167"/>
      <c r="BA41" s="168"/>
    </row>
    <row r="42" spans="2:53" x14ac:dyDescent="0.25">
      <c r="B42" s="177"/>
      <c r="C42" s="178"/>
      <c r="D42" s="187"/>
      <c r="E42" s="179" t="s">
        <v>349</v>
      </c>
      <c r="F42" s="180"/>
      <c r="G42" s="180"/>
      <c r="H42" s="181"/>
      <c r="J42" s="179" t="s">
        <v>335</v>
      </c>
      <c r="K42" s="180"/>
      <c r="L42" s="180"/>
      <c r="M42" s="181"/>
      <c r="O42" s="179" t="s">
        <v>336</v>
      </c>
      <c r="P42" s="180"/>
      <c r="Q42" s="180"/>
      <c r="R42" s="181"/>
      <c r="T42" s="179" t="s">
        <v>350</v>
      </c>
      <c r="U42" s="180"/>
      <c r="V42" s="180"/>
      <c r="W42" s="181"/>
      <c r="Y42" s="179" t="s">
        <v>337</v>
      </c>
      <c r="Z42" s="180"/>
      <c r="AA42" s="180"/>
      <c r="AB42" s="181"/>
      <c r="AD42" s="179" t="s">
        <v>338</v>
      </c>
      <c r="AE42" s="180"/>
      <c r="AF42" s="180"/>
      <c r="AG42" s="181"/>
      <c r="AI42" s="179"/>
      <c r="AJ42" s="180"/>
      <c r="AK42" s="180"/>
      <c r="AL42" s="181"/>
      <c r="AN42" s="179"/>
      <c r="AO42" s="180"/>
      <c r="AP42" s="180"/>
      <c r="AQ42" s="181"/>
      <c r="AS42" s="179"/>
      <c r="AT42" s="180"/>
      <c r="AU42" s="180"/>
      <c r="AV42" s="181"/>
      <c r="AX42" s="179"/>
      <c r="AY42" s="180"/>
      <c r="AZ42" s="180"/>
      <c r="BA42" s="181"/>
    </row>
    <row r="43" spans="2:53" x14ac:dyDescent="0.25">
      <c r="E43" s="182"/>
      <c r="F43" s="161"/>
      <c r="G43" s="161"/>
      <c r="H43" s="183"/>
      <c r="J43" s="182"/>
      <c r="K43" s="161"/>
      <c r="L43" s="161"/>
      <c r="M43" s="183"/>
      <c r="O43" s="182"/>
      <c r="P43" s="161"/>
      <c r="Q43" s="161"/>
      <c r="R43" s="183"/>
      <c r="T43" s="182"/>
      <c r="U43" s="161"/>
      <c r="V43" s="161"/>
      <c r="W43" s="183"/>
      <c r="Y43" s="182"/>
      <c r="Z43" s="161"/>
      <c r="AA43" s="161"/>
      <c r="AB43" s="183"/>
      <c r="AD43" s="182"/>
      <c r="AE43" s="161"/>
      <c r="AF43" s="161"/>
      <c r="AG43" s="183"/>
      <c r="AI43" s="182"/>
      <c r="AJ43" s="161"/>
      <c r="AK43" s="161"/>
      <c r="AL43" s="183"/>
      <c r="AN43" s="182"/>
      <c r="AO43" s="161"/>
      <c r="AP43" s="161"/>
      <c r="AQ43" s="183"/>
      <c r="AS43" s="182"/>
      <c r="AT43" s="161"/>
      <c r="AU43" s="161"/>
      <c r="AV43" s="183"/>
      <c r="AX43" s="182"/>
      <c r="AY43" s="161"/>
      <c r="AZ43" s="161"/>
      <c r="BA43" s="183"/>
    </row>
    <row r="44" spans="2:53" x14ac:dyDescent="0.25">
      <c r="E44" s="182"/>
      <c r="F44" s="161"/>
      <c r="G44" s="161"/>
      <c r="H44" s="183"/>
      <c r="J44" s="182"/>
      <c r="K44" s="161"/>
      <c r="L44" s="161"/>
      <c r="M44" s="183"/>
      <c r="O44" s="182"/>
      <c r="P44" s="161"/>
      <c r="Q44" s="161"/>
      <c r="R44" s="183"/>
      <c r="T44" s="182"/>
      <c r="U44" s="161"/>
      <c r="V44" s="161"/>
      <c r="W44" s="183"/>
      <c r="Y44" s="182"/>
      <c r="Z44" s="161"/>
      <c r="AA44" s="161"/>
      <c r="AB44" s="183"/>
      <c r="AD44" s="182"/>
      <c r="AE44" s="161"/>
      <c r="AF44" s="161"/>
      <c r="AG44" s="183"/>
      <c r="AI44" s="182"/>
      <c r="AJ44" s="161"/>
      <c r="AK44" s="161"/>
      <c r="AL44" s="183"/>
      <c r="AN44" s="182"/>
      <c r="AO44" s="161"/>
      <c r="AP44" s="161"/>
      <c r="AQ44" s="183"/>
      <c r="AS44" s="182"/>
      <c r="AT44" s="161"/>
      <c r="AU44" s="161"/>
      <c r="AV44" s="183"/>
      <c r="AX44" s="182"/>
      <c r="AY44" s="161"/>
      <c r="AZ44" s="161"/>
      <c r="BA44" s="183"/>
    </row>
    <row r="45" spans="2:53" x14ac:dyDescent="0.25">
      <c r="E45" s="182"/>
      <c r="F45" s="161"/>
      <c r="G45" s="161"/>
      <c r="H45" s="183"/>
      <c r="J45" s="182"/>
      <c r="K45" s="161"/>
      <c r="L45" s="161"/>
      <c r="M45" s="183"/>
      <c r="O45" s="182"/>
      <c r="P45" s="161"/>
      <c r="Q45" s="161"/>
      <c r="R45" s="183"/>
      <c r="T45" s="182"/>
      <c r="U45" s="161"/>
      <c r="V45" s="161"/>
      <c r="W45" s="183"/>
      <c r="Y45" s="182"/>
      <c r="Z45" s="161"/>
      <c r="AA45" s="161"/>
      <c r="AB45" s="183"/>
      <c r="AD45" s="182"/>
      <c r="AE45" s="161"/>
      <c r="AF45" s="161"/>
      <c r="AG45" s="183"/>
      <c r="AI45" s="182"/>
      <c r="AJ45" s="161"/>
      <c r="AK45" s="161"/>
      <c r="AL45" s="183"/>
      <c r="AN45" s="182"/>
      <c r="AO45" s="161"/>
      <c r="AP45" s="161"/>
      <c r="AQ45" s="183"/>
      <c r="AS45" s="182"/>
      <c r="AT45" s="161"/>
      <c r="AU45" s="161"/>
      <c r="AV45" s="183"/>
      <c r="AX45" s="182"/>
      <c r="AY45" s="161"/>
      <c r="AZ45" s="161"/>
      <c r="BA45" s="183"/>
    </row>
    <row r="46" spans="2:53" x14ac:dyDescent="0.25">
      <c r="E46" s="182"/>
      <c r="F46" s="161"/>
      <c r="G46" s="161"/>
      <c r="H46" s="183"/>
      <c r="J46" s="182"/>
      <c r="K46" s="161"/>
      <c r="L46" s="161"/>
      <c r="M46" s="183"/>
      <c r="O46" s="182"/>
      <c r="P46" s="161"/>
      <c r="Q46" s="161"/>
      <c r="R46" s="183"/>
      <c r="T46" s="182"/>
      <c r="U46" s="161"/>
      <c r="V46" s="161"/>
      <c r="W46" s="183"/>
      <c r="Y46" s="182"/>
      <c r="Z46" s="161"/>
      <c r="AA46" s="161"/>
      <c r="AB46" s="183"/>
      <c r="AD46" s="182"/>
      <c r="AE46" s="161"/>
      <c r="AF46" s="161"/>
      <c r="AG46" s="183"/>
      <c r="AI46" s="182"/>
      <c r="AJ46" s="161"/>
      <c r="AK46" s="161"/>
      <c r="AL46" s="183"/>
      <c r="AN46" s="182"/>
      <c r="AO46" s="161"/>
      <c r="AP46" s="161"/>
      <c r="AQ46" s="183"/>
      <c r="AS46" s="182"/>
      <c r="AT46" s="161"/>
      <c r="AU46" s="161"/>
      <c r="AV46" s="183"/>
      <c r="AX46" s="182"/>
      <c r="AY46" s="161"/>
      <c r="AZ46" s="161"/>
      <c r="BA46" s="183"/>
    </row>
    <row r="47" spans="2:53" x14ac:dyDescent="0.25">
      <c r="E47" s="182"/>
      <c r="F47" s="161"/>
      <c r="G47" s="161"/>
      <c r="H47" s="183"/>
      <c r="J47" s="182"/>
      <c r="K47" s="161"/>
      <c r="L47" s="161"/>
      <c r="M47" s="183"/>
      <c r="O47" s="182"/>
      <c r="P47" s="161"/>
      <c r="Q47" s="161"/>
      <c r="R47" s="183"/>
      <c r="T47" s="182"/>
      <c r="U47" s="161"/>
      <c r="V47" s="161"/>
      <c r="W47" s="183"/>
      <c r="Y47" s="182"/>
      <c r="Z47" s="161"/>
      <c r="AA47" s="161"/>
      <c r="AB47" s="183"/>
      <c r="AD47" s="182"/>
      <c r="AE47" s="161"/>
      <c r="AF47" s="161"/>
      <c r="AG47" s="183"/>
      <c r="AI47" s="182"/>
      <c r="AJ47" s="161"/>
      <c r="AK47" s="161"/>
      <c r="AL47" s="183"/>
      <c r="AN47" s="182"/>
      <c r="AO47" s="161"/>
      <c r="AP47" s="161"/>
      <c r="AQ47" s="183"/>
      <c r="AS47" s="182"/>
      <c r="AT47" s="161"/>
      <c r="AU47" s="161"/>
      <c r="AV47" s="183"/>
      <c r="AX47" s="182"/>
      <c r="AY47" s="161"/>
      <c r="AZ47" s="161"/>
      <c r="BA47" s="183"/>
    </row>
    <row r="48" spans="2:53" x14ac:dyDescent="0.25">
      <c r="E48" s="182"/>
      <c r="F48" s="161"/>
      <c r="G48" s="161"/>
      <c r="H48" s="183"/>
      <c r="J48" s="182"/>
      <c r="K48" s="161"/>
      <c r="L48" s="161"/>
      <c r="M48" s="183"/>
      <c r="O48" s="182"/>
      <c r="P48" s="161"/>
      <c r="Q48" s="161"/>
      <c r="R48" s="183"/>
      <c r="T48" s="182"/>
      <c r="U48" s="161"/>
      <c r="V48" s="161"/>
      <c r="W48" s="183"/>
      <c r="Y48" s="182"/>
      <c r="Z48" s="161"/>
      <c r="AA48" s="161"/>
      <c r="AB48" s="183"/>
      <c r="AD48" s="182"/>
      <c r="AE48" s="161"/>
      <c r="AF48" s="161"/>
      <c r="AG48" s="183"/>
      <c r="AI48" s="182"/>
      <c r="AJ48" s="161"/>
      <c r="AK48" s="161"/>
      <c r="AL48" s="183"/>
      <c r="AN48" s="182"/>
      <c r="AO48" s="161"/>
      <c r="AP48" s="161"/>
      <c r="AQ48" s="183"/>
      <c r="AS48" s="182"/>
      <c r="AT48" s="161"/>
      <c r="AU48" s="161"/>
      <c r="AV48" s="183"/>
      <c r="AX48" s="182"/>
      <c r="AY48" s="161"/>
      <c r="AZ48" s="161"/>
      <c r="BA48" s="183"/>
    </row>
    <row r="49" spans="2:53" x14ac:dyDescent="0.25">
      <c r="E49" s="182"/>
      <c r="F49" s="161"/>
      <c r="G49" s="161"/>
      <c r="H49" s="183"/>
      <c r="J49" s="182"/>
      <c r="K49" s="161"/>
      <c r="L49" s="161"/>
      <c r="M49" s="183"/>
      <c r="O49" s="182"/>
      <c r="P49" s="161"/>
      <c r="Q49" s="161"/>
      <c r="R49" s="183"/>
      <c r="T49" s="182"/>
      <c r="U49" s="161"/>
      <c r="V49" s="161"/>
      <c r="W49" s="183"/>
      <c r="Y49" s="182"/>
      <c r="Z49" s="161"/>
      <c r="AA49" s="161"/>
      <c r="AB49" s="183"/>
      <c r="AD49" s="182"/>
      <c r="AE49" s="161"/>
      <c r="AF49" s="161"/>
      <c r="AG49" s="183"/>
      <c r="AI49" s="182"/>
      <c r="AJ49" s="161"/>
      <c r="AK49" s="161"/>
      <c r="AL49" s="183"/>
      <c r="AN49" s="182"/>
      <c r="AO49" s="161"/>
      <c r="AP49" s="161"/>
      <c r="AQ49" s="183"/>
      <c r="AS49" s="182"/>
      <c r="AT49" s="161"/>
      <c r="AU49" s="161"/>
      <c r="AV49" s="183"/>
      <c r="AX49" s="182"/>
      <c r="AY49" s="161"/>
      <c r="AZ49" s="161"/>
      <c r="BA49" s="183"/>
    </row>
    <row r="50" spans="2:53" x14ac:dyDescent="0.25">
      <c r="E50" s="182"/>
      <c r="F50" s="161"/>
      <c r="G50" s="161"/>
      <c r="H50" s="183"/>
      <c r="J50" s="182"/>
      <c r="K50" s="161"/>
      <c r="L50" s="161"/>
      <c r="M50" s="183"/>
      <c r="O50" s="182"/>
      <c r="P50" s="161"/>
      <c r="Q50" s="161"/>
      <c r="R50" s="183"/>
      <c r="T50" s="182"/>
      <c r="U50" s="161"/>
      <c r="V50" s="161"/>
      <c r="W50" s="183"/>
      <c r="Y50" s="182"/>
      <c r="Z50" s="161"/>
      <c r="AA50" s="161"/>
      <c r="AB50" s="183"/>
      <c r="AD50" s="182"/>
      <c r="AE50" s="161"/>
      <c r="AF50" s="161"/>
      <c r="AG50" s="183"/>
      <c r="AI50" s="182"/>
      <c r="AJ50" s="161"/>
      <c r="AK50" s="161"/>
      <c r="AL50" s="183"/>
      <c r="AN50" s="182"/>
      <c r="AO50" s="161"/>
      <c r="AP50" s="161"/>
      <c r="AQ50" s="183"/>
      <c r="AS50" s="182"/>
      <c r="AT50" s="161"/>
      <c r="AU50" s="161"/>
      <c r="AV50" s="183"/>
      <c r="AX50" s="182"/>
      <c r="AY50" s="161"/>
      <c r="AZ50" s="161"/>
      <c r="BA50" s="183"/>
    </row>
    <row r="51" spans="2:53" x14ac:dyDescent="0.25">
      <c r="E51" s="182"/>
      <c r="F51" s="161"/>
      <c r="G51" s="161"/>
      <c r="H51" s="183"/>
      <c r="J51" s="182"/>
      <c r="K51" s="161"/>
      <c r="L51" s="161"/>
      <c r="M51" s="183"/>
      <c r="O51" s="182"/>
      <c r="P51" s="161"/>
      <c r="Q51" s="161"/>
      <c r="R51" s="183"/>
      <c r="T51" s="182"/>
      <c r="U51" s="161"/>
      <c r="V51" s="161"/>
      <c r="W51" s="183"/>
      <c r="Y51" s="182"/>
      <c r="Z51" s="161"/>
      <c r="AA51" s="161"/>
      <c r="AB51" s="183"/>
      <c r="AD51" s="182"/>
      <c r="AE51" s="161"/>
      <c r="AF51" s="161"/>
      <c r="AG51" s="183"/>
      <c r="AI51" s="182"/>
      <c r="AJ51" s="161"/>
      <c r="AK51" s="161"/>
      <c r="AL51" s="183"/>
      <c r="AN51" s="182"/>
      <c r="AO51" s="161"/>
      <c r="AP51" s="161"/>
      <c r="AQ51" s="183"/>
      <c r="AS51" s="182"/>
      <c r="AT51" s="161"/>
      <c r="AU51" s="161"/>
      <c r="AV51" s="183"/>
      <c r="AX51" s="182"/>
      <c r="AY51" s="161"/>
      <c r="AZ51" s="161"/>
      <c r="BA51" s="183"/>
    </row>
    <row r="52" spans="2:53" x14ac:dyDescent="0.25">
      <c r="E52" s="182"/>
      <c r="F52" s="161"/>
      <c r="G52" s="161"/>
      <c r="H52" s="183"/>
      <c r="J52" s="182"/>
      <c r="K52" s="161"/>
      <c r="L52" s="161"/>
      <c r="M52" s="183"/>
      <c r="O52" s="182"/>
      <c r="P52" s="161"/>
      <c r="Q52" s="161"/>
      <c r="R52" s="183"/>
      <c r="T52" s="182"/>
      <c r="U52" s="161"/>
      <c r="V52" s="161"/>
      <c r="W52" s="183"/>
      <c r="Y52" s="182"/>
      <c r="Z52" s="161"/>
      <c r="AA52" s="161"/>
      <c r="AB52" s="183"/>
      <c r="AD52" s="182"/>
      <c r="AE52" s="161"/>
      <c r="AF52" s="161"/>
      <c r="AG52" s="183"/>
      <c r="AI52" s="182"/>
      <c r="AJ52" s="161"/>
      <c r="AK52" s="161"/>
      <c r="AL52" s="183"/>
      <c r="AN52" s="182"/>
      <c r="AO52" s="161"/>
      <c r="AP52" s="161"/>
      <c r="AQ52" s="183"/>
      <c r="AS52" s="182"/>
      <c r="AT52" s="161"/>
      <c r="AU52" s="161"/>
      <c r="AV52" s="183"/>
      <c r="AX52" s="182"/>
      <c r="AY52" s="161"/>
      <c r="AZ52" s="161"/>
      <c r="BA52" s="183"/>
    </row>
    <row r="53" spans="2:53" x14ac:dyDescent="0.25">
      <c r="E53" s="182"/>
      <c r="F53" s="161"/>
      <c r="G53" s="161"/>
      <c r="H53" s="183"/>
      <c r="J53" s="182"/>
      <c r="K53" s="161"/>
      <c r="L53" s="161"/>
      <c r="M53" s="183"/>
      <c r="O53" s="182"/>
      <c r="P53" s="161"/>
      <c r="Q53" s="161"/>
      <c r="R53" s="183"/>
      <c r="T53" s="182"/>
      <c r="U53" s="161"/>
      <c r="V53" s="161"/>
      <c r="W53" s="183"/>
      <c r="Y53" s="182"/>
      <c r="Z53" s="161"/>
      <c r="AA53" s="161"/>
      <c r="AB53" s="183"/>
      <c r="AD53" s="182"/>
      <c r="AE53" s="161"/>
      <c r="AF53" s="161"/>
      <c r="AG53" s="183"/>
      <c r="AI53" s="182"/>
      <c r="AJ53" s="161"/>
      <c r="AK53" s="161"/>
      <c r="AL53" s="183"/>
      <c r="AN53" s="182"/>
      <c r="AO53" s="161"/>
      <c r="AP53" s="161"/>
      <c r="AQ53" s="183"/>
      <c r="AS53" s="182"/>
      <c r="AT53" s="161"/>
      <c r="AU53" s="161"/>
      <c r="AV53" s="183"/>
      <c r="AX53" s="182"/>
      <c r="AY53" s="161"/>
      <c r="AZ53" s="161"/>
      <c r="BA53" s="183"/>
    </row>
    <row r="54" spans="2:53" x14ac:dyDescent="0.25">
      <c r="E54" s="182"/>
      <c r="F54" s="161"/>
      <c r="G54" s="161"/>
      <c r="H54" s="183"/>
      <c r="J54" s="182"/>
      <c r="K54" s="161"/>
      <c r="L54" s="161"/>
      <c r="M54" s="183"/>
      <c r="O54" s="182"/>
      <c r="P54" s="161"/>
      <c r="Q54" s="161"/>
      <c r="R54" s="183"/>
      <c r="T54" s="182"/>
      <c r="U54" s="161"/>
      <c r="V54" s="161"/>
      <c r="W54" s="183"/>
      <c r="Y54" s="182"/>
      <c r="Z54" s="161"/>
      <c r="AA54" s="161"/>
      <c r="AB54" s="183"/>
      <c r="AD54" s="182"/>
      <c r="AE54" s="161"/>
      <c r="AF54" s="161"/>
      <c r="AG54" s="183"/>
      <c r="AI54" s="182"/>
      <c r="AJ54" s="161"/>
      <c r="AK54" s="161"/>
      <c r="AL54" s="183"/>
      <c r="AN54" s="182"/>
      <c r="AO54" s="161"/>
      <c r="AP54" s="161"/>
      <c r="AQ54" s="183"/>
      <c r="AS54" s="182"/>
      <c r="AT54" s="161"/>
      <c r="AU54" s="161"/>
      <c r="AV54" s="183"/>
      <c r="AX54" s="182"/>
      <c r="AY54" s="161"/>
      <c r="AZ54" s="161"/>
      <c r="BA54" s="183"/>
    </row>
    <row r="55" spans="2:53" x14ac:dyDescent="0.25">
      <c r="E55" s="182"/>
      <c r="F55" s="161"/>
      <c r="G55" s="161"/>
      <c r="H55" s="183"/>
      <c r="J55" s="182"/>
      <c r="K55" s="161"/>
      <c r="L55" s="161"/>
      <c r="M55" s="183"/>
      <c r="O55" s="182"/>
      <c r="P55" s="161"/>
      <c r="Q55" s="161"/>
      <c r="R55" s="183"/>
      <c r="T55" s="182"/>
      <c r="U55" s="161"/>
      <c r="V55" s="161"/>
      <c r="W55" s="183"/>
      <c r="Y55" s="182"/>
      <c r="Z55" s="161"/>
      <c r="AA55" s="161"/>
      <c r="AB55" s="183"/>
      <c r="AD55" s="182"/>
      <c r="AE55" s="161"/>
      <c r="AF55" s="161"/>
      <c r="AG55" s="183"/>
      <c r="AI55" s="182"/>
      <c r="AJ55" s="161"/>
      <c r="AK55" s="161"/>
      <c r="AL55" s="183"/>
      <c r="AN55" s="182"/>
      <c r="AO55" s="161"/>
      <c r="AP55" s="161"/>
      <c r="AQ55" s="183"/>
      <c r="AS55" s="182"/>
      <c r="AT55" s="161"/>
      <c r="AU55" s="161"/>
      <c r="AV55" s="183"/>
      <c r="AX55" s="182"/>
      <c r="AY55" s="161"/>
      <c r="AZ55" s="161"/>
      <c r="BA55" s="183"/>
    </row>
    <row r="56" spans="2:53" x14ac:dyDescent="0.25">
      <c r="E56" s="184"/>
      <c r="F56" s="185"/>
      <c r="G56" s="185"/>
      <c r="H56" s="186"/>
      <c r="J56" s="184"/>
      <c r="K56" s="185"/>
      <c r="L56" s="185"/>
      <c r="M56" s="186"/>
      <c r="O56" s="184"/>
      <c r="P56" s="185"/>
      <c r="Q56" s="185"/>
      <c r="R56" s="186"/>
      <c r="T56" s="184"/>
      <c r="U56" s="185"/>
      <c r="V56" s="185"/>
      <c r="W56" s="186"/>
      <c r="Y56" s="184"/>
      <c r="Z56" s="185"/>
      <c r="AA56" s="185"/>
      <c r="AB56" s="186"/>
      <c r="AD56" s="184"/>
      <c r="AE56" s="185"/>
      <c r="AF56" s="185"/>
      <c r="AG56" s="186"/>
      <c r="AI56" s="184"/>
      <c r="AJ56" s="185"/>
      <c r="AK56" s="185"/>
      <c r="AL56" s="186"/>
      <c r="AN56" s="184"/>
      <c r="AO56" s="185"/>
      <c r="AP56" s="185"/>
      <c r="AQ56" s="186"/>
      <c r="AS56" s="184"/>
      <c r="AT56" s="185"/>
      <c r="AU56" s="185"/>
      <c r="AV56" s="186"/>
      <c r="AX56" s="184"/>
      <c r="AY56" s="185"/>
      <c r="AZ56" s="185"/>
      <c r="BA56" s="186"/>
    </row>
    <row r="59" spans="2:53" x14ac:dyDescent="0.25">
      <c r="B59" s="174" t="s">
        <v>36</v>
      </c>
      <c r="C59" s="175"/>
      <c r="D59" s="176"/>
      <c r="E59" s="167" t="s">
        <v>37</v>
      </c>
      <c r="F59" s="167"/>
      <c r="G59" s="167"/>
      <c r="H59" s="167"/>
      <c r="I59" s="8"/>
      <c r="J59" s="166" t="s">
        <v>38</v>
      </c>
      <c r="K59" s="167"/>
      <c r="L59" s="167"/>
      <c r="M59" s="168"/>
      <c r="N59" s="7"/>
      <c r="O59" s="166" t="s">
        <v>39</v>
      </c>
      <c r="P59" s="167"/>
      <c r="Q59" s="167"/>
      <c r="R59" s="168"/>
      <c r="T59" s="166" t="s">
        <v>40</v>
      </c>
      <c r="U59" s="167"/>
      <c r="V59" s="167"/>
      <c r="W59" s="168"/>
      <c r="Y59" s="166" t="s">
        <v>41</v>
      </c>
      <c r="Z59" s="167"/>
      <c r="AA59" s="167"/>
      <c r="AB59" s="168"/>
      <c r="AD59" s="166" t="s">
        <v>42</v>
      </c>
      <c r="AE59" s="167"/>
      <c r="AF59" s="167"/>
      <c r="AG59" s="168"/>
      <c r="AI59" s="166" t="s">
        <v>43</v>
      </c>
      <c r="AJ59" s="167"/>
      <c r="AK59" s="167"/>
      <c r="AL59" s="168"/>
      <c r="AN59" s="166" t="s">
        <v>44</v>
      </c>
      <c r="AO59" s="167"/>
      <c r="AP59" s="167"/>
      <c r="AQ59" s="168"/>
      <c r="AS59" s="166" t="s">
        <v>45</v>
      </c>
      <c r="AT59" s="167"/>
      <c r="AU59" s="167"/>
      <c r="AV59" s="168"/>
      <c r="AX59" s="166" t="s">
        <v>46</v>
      </c>
      <c r="AY59" s="167"/>
      <c r="AZ59" s="167"/>
      <c r="BA59" s="168"/>
    </row>
    <row r="60" spans="2:53" x14ac:dyDescent="0.25">
      <c r="B60" s="177"/>
      <c r="C60" s="178"/>
      <c r="D60" s="187"/>
      <c r="E60" s="179" t="s">
        <v>356</v>
      </c>
      <c r="F60" s="180"/>
      <c r="G60" s="180"/>
      <c r="H60" s="181"/>
      <c r="J60" s="179"/>
      <c r="K60" s="180"/>
      <c r="L60" s="180"/>
      <c r="M60" s="181"/>
      <c r="O60" s="179"/>
      <c r="P60" s="180"/>
      <c r="Q60" s="180"/>
      <c r="R60" s="181"/>
      <c r="T60" s="179"/>
      <c r="U60" s="180"/>
      <c r="V60" s="180"/>
      <c r="W60" s="181"/>
      <c r="Y60" s="179"/>
      <c r="Z60" s="180"/>
      <c r="AA60" s="180"/>
      <c r="AB60" s="181"/>
      <c r="AD60" s="179"/>
      <c r="AE60" s="180"/>
      <c r="AF60" s="180"/>
      <c r="AG60" s="181"/>
      <c r="AI60" s="179"/>
      <c r="AJ60" s="180"/>
      <c r="AK60" s="180"/>
      <c r="AL60" s="181"/>
      <c r="AN60" s="179"/>
      <c r="AO60" s="180"/>
      <c r="AP60" s="180"/>
      <c r="AQ60" s="181"/>
      <c r="AS60" s="179"/>
      <c r="AT60" s="180"/>
      <c r="AU60" s="180"/>
      <c r="AV60" s="181"/>
      <c r="AX60" s="179"/>
      <c r="AY60" s="180"/>
      <c r="AZ60" s="180"/>
      <c r="BA60" s="181"/>
    </row>
    <row r="61" spans="2:53" x14ac:dyDescent="0.25">
      <c r="E61" s="182"/>
      <c r="F61" s="161"/>
      <c r="G61" s="161"/>
      <c r="H61" s="183"/>
      <c r="J61" s="182"/>
      <c r="K61" s="161"/>
      <c r="L61" s="161"/>
      <c r="M61" s="183"/>
      <c r="O61" s="182"/>
      <c r="P61" s="161"/>
      <c r="Q61" s="161"/>
      <c r="R61" s="183"/>
      <c r="T61" s="182"/>
      <c r="U61" s="161"/>
      <c r="V61" s="161"/>
      <c r="W61" s="183"/>
      <c r="Y61" s="182"/>
      <c r="Z61" s="161"/>
      <c r="AA61" s="161"/>
      <c r="AB61" s="183"/>
      <c r="AD61" s="182"/>
      <c r="AE61" s="161"/>
      <c r="AF61" s="161"/>
      <c r="AG61" s="183"/>
      <c r="AI61" s="182"/>
      <c r="AJ61" s="161"/>
      <c r="AK61" s="161"/>
      <c r="AL61" s="183"/>
      <c r="AN61" s="182"/>
      <c r="AO61" s="161"/>
      <c r="AP61" s="161"/>
      <c r="AQ61" s="183"/>
      <c r="AS61" s="182"/>
      <c r="AT61" s="161"/>
      <c r="AU61" s="161"/>
      <c r="AV61" s="183"/>
      <c r="AX61" s="182"/>
      <c r="AY61" s="161"/>
      <c r="AZ61" s="161"/>
      <c r="BA61" s="183"/>
    </row>
    <row r="62" spans="2:53" x14ac:dyDescent="0.25">
      <c r="E62" s="182"/>
      <c r="F62" s="161"/>
      <c r="G62" s="161"/>
      <c r="H62" s="183"/>
      <c r="J62" s="182"/>
      <c r="K62" s="161"/>
      <c r="L62" s="161"/>
      <c r="M62" s="183"/>
      <c r="O62" s="182"/>
      <c r="P62" s="161"/>
      <c r="Q62" s="161"/>
      <c r="R62" s="183"/>
      <c r="T62" s="182"/>
      <c r="U62" s="161"/>
      <c r="V62" s="161"/>
      <c r="W62" s="183"/>
      <c r="Y62" s="182"/>
      <c r="Z62" s="161"/>
      <c r="AA62" s="161"/>
      <c r="AB62" s="183"/>
      <c r="AD62" s="182"/>
      <c r="AE62" s="161"/>
      <c r="AF62" s="161"/>
      <c r="AG62" s="183"/>
      <c r="AI62" s="182"/>
      <c r="AJ62" s="161"/>
      <c r="AK62" s="161"/>
      <c r="AL62" s="183"/>
      <c r="AN62" s="182"/>
      <c r="AO62" s="161"/>
      <c r="AP62" s="161"/>
      <c r="AQ62" s="183"/>
      <c r="AS62" s="182"/>
      <c r="AT62" s="161"/>
      <c r="AU62" s="161"/>
      <c r="AV62" s="183"/>
      <c r="AX62" s="182"/>
      <c r="AY62" s="161"/>
      <c r="AZ62" s="161"/>
      <c r="BA62" s="183"/>
    </row>
    <row r="63" spans="2:53" x14ac:dyDescent="0.25">
      <c r="E63" s="182"/>
      <c r="F63" s="161"/>
      <c r="G63" s="161"/>
      <c r="H63" s="183"/>
      <c r="J63" s="182"/>
      <c r="K63" s="161"/>
      <c r="L63" s="161"/>
      <c r="M63" s="183"/>
      <c r="O63" s="182"/>
      <c r="P63" s="161"/>
      <c r="Q63" s="161"/>
      <c r="R63" s="183"/>
      <c r="T63" s="182"/>
      <c r="U63" s="161"/>
      <c r="V63" s="161"/>
      <c r="W63" s="183"/>
      <c r="Y63" s="182"/>
      <c r="Z63" s="161"/>
      <c r="AA63" s="161"/>
      <c r="AB63" s="183"/>
      <c r="AD63" s="182"/>
      <c r="AE63" s="161"/>
      <c r="AF63" s="161"/>
      <c r="AG63" s="183"/>
      <c r="AI63" s="182"/>
      <c r="AJ63" s="161"/>
      <c r="AK63" s="161"/>
      <c r="AL63" s="183"/>
      <c r="AN63" s="182"/>
      <c r="AO63" s="161"/>
      <c r="AP63" s="161"/>
      <c r="AQ63" s="183"/>
      <c r="AS63" s="182"/>
      <c r="AT63" s="161"/>
      <c r="AU63" s="161"/>
      <c r="AV63" s="183"/>
      <c r="AX63" s="182"/>
      <c r="AY63" s="161"/>
      <c r="AZ63" s="161"/>
      <c r="BA63" s="183"/>
    </row>
    <row r="64" spans="2:53" x14ac:dyDescent="0.25">
      <c r="E64" s="182"/>
      <c r="F64" s="161"/>
      <c r="G64" s="161"/>
      <c r="H64" s="183"/>
      <c r="J64" s="182"/>
      <c r="K64" s="161"/>
      <c r="L64" s="161"/>
      <c r="M64" s="183"/>
      <c r="O64" s="182"/>
      <c r="P64" s="161"/>
      <c r="Q64" s="161"/>
      <c r="R64" s="183"/>
      <c r="T64" s="182"/>
      <c r="U64" s="161"/>
      <c r="V64" s="161"/>
      <c r="W64" s="183"/>
      <c r="Y64" s="182"/>
      <c r="Z64" s="161"/>
      <c r="AA64" s="161"/>
      <c r="AB64" s="183"/>
      <c r="AD64" s="182"/>
      <c r="AE64" s="161"/>
      <c r="AF64" s="161"/>
      <c r="AG64" s="183"/>
      <c r="AI64" s="182"/>
      <c r="AJ64" s="161"/>
      <c r="AK64" s="161"/>
      <c r="AL64" s="183"/>
      <c r="AN64" s="182"/>
      <c r="AO64" s="161"/>
      <c r="AP64" s="161"/>
      <c r="AQ64" s="183"/>
      <c r="AS64" s="182"/>
      <c r="AT64" s="161"/>
      <c r="AU64" s="161"/>
      <c r="AV64" s="183"/>
      <c r="AX64" s="182"/>
      <c r="AY64" s="161"/>
      <c r="AZ64" s="161"/>
      <c r="BA64" s="183"/>
    </row>
    <row r="65" spans="2:53" x14ac:dyDescent="0.25">
      <c r="E65" s="182"/>
      <c r="F65" s="161"/>
      <c r="G65" s="161"/>
      <c r="H65" s="183"/>
      <c r="J65" s="182"/>
      <c r="K65" s="161"/>
      <c r="L65" s="161"/>
      <c r="M65" s="183"/>
      <c r="O65" s="182"/>
      <c r="P65" s="161"/>
      <c r="Q65" s="161"/>
      <c r="R65" s="183"/>
      <c r="T65" s="182"/>
      <c r="U65" s="161"/>
      <c r="V65" s="161"/>
      <c r="W65" s="183"/>
      <c r="Y65" s="182"/>
      <c r="Z65" s="161"/>
      <c r="AA65" s="161"/>
      <c r="AB65" s="183"/>
      <c r="AD65" s="182"/>
      <c r="AE65" s="161"/>
      <c r="AF65" s="161"/>
      <c r="AG65" s="183"/>
      <c r="AI65" s="182"/>
      <c r="AJ65" s="161"/>
      <c r="AK65" s="161"/>
      <c r="AL65" s="183"/>
      <c r="AN65" s="182"/>
      <c r="AO65" s="161"/>
      <c r="AP65" s="161"/>
      <c r="AQ65" s="183"/>
      <c r="AS65" s="182"/>
      <c r="AT65" s="161"/>
      <c r="AU65" s="161"/>
      <c r="AV65" s="183"/>
      <c r="AX65" s="182"/>
      <c r="AY65" s="161"/>
      <c r="AZ65" s="161"/>
      <c r="BA65" s="183"/>
    </row>
    <row r="66" spans="2:53" x14ac:dyDescent="0.25">
      <c r="E66" s="182"/>
      <c r="F66" s="161"/>
      <c r="G66" s="161"/>
      <c r="H66" s="183"/>
      <c r="J66" s="182"/>
      <c r="K66" s="161"/>
      <c r="L66" s="161"/>
      <c r="M66" s="183"/>
      <c r="O66" s="182"/>
      <c r="P66" s="161"/>
      <c r="Q66" s="161"/>
      <c r="R66" s="183"/>
      <c r="T66" s="182"/>
      <c r="U66" s="161"/>
      <c r="V66" s="161"/>
      <c r="W66" s="183"/>
      <c r="Y66" s="182"/>
      <c r="Z66" s="161"/>
      <c r="AA66" s="161"/>
      <c r="AB66" s="183"/>
      <c r="AD66" s="182"/>
      <c r="AE66" s="161"/>
      <c r="AF66" s="161"/>
      <c r="AG66" s="183"/>
      <c r="AI66" s="182"/>
      <c r="AJ66" s="161"/>
      <c r="AK66" s="161"/>
      <c r="AL66" s="183"/>
      <c r="AN66" s="182"/>
      <c r="AO66" s="161"/>
      <c r="AP66" s="161"/>
      <c r="AQ66" s="183"/>
      <c r="AS66" s="182"/>
      <c r="AT66" s="161"/>
      <c r="AU66" s="161"/>
      <c r="AV66" s="183"/>
      <c r="AX66" s="182"/>
      <c r="AY66" s="161"/>
      <c r="AZ66" s="161"/>
      <c r="BA66" s="183"/>
    </row>
    <row r="67" spans="2:53" x14ac:dyDescent="0.25">
      <c r="E67" s="182"/>
      <c r="F67" s="161"/>
      <c r="G67" s="161"/>
      <c r="H67" s="183"/>
      <c r="J67" s="182"/>
      <c r="K67" s="161"/>
      <c r="L67" s="161"/>
      <c r="M67" s="183"/>
      <c r="O67" s="182"/>
      <c r="P67" s="161"/>
      <c r="Q67" s="161"/>
      <c r="R67" s="183"/>
      <c r="T67" s="182"/>
      <c r="U67" s="161"/>
      <c r="V67" s="161"/>
      <c r="W67" s="183"/>
      <c r="Y67" s="182"/>
      <c r="Z67" s="161"/>
      <c r="AA67" s="161"/>
      <c r="AB67" s="183"/>
      <c r="AD67" s="182"/>
      <c r="AE67" s="161"/>
      <c r="AF67" s="161"/>
      <c r="AG67" s="183"/>
      <c r="AI67" s="182"/>
      <c r="AJ67" s="161"/>
      <c r="AK67" s="161"/>
      <c r="AL67" s="183"/>
      <c r="AN67" s="182"/>
      <c r="AO67" s="161"/>
      <c r="AP67" s="161"/>
      <c r="AQ67" s="183"/>
      <c r="AS67" s="182"/>
      <c r="AT67" s="161"/>
      <c r="AU67" s="161"/>
      <c r="AV67" s="183"/>
      <c r="AX67" s="182"/>
      <c r="AY67" s="161"/>
      <c r="AZ67" s="161"/>
      <c r="BA67" s="183"/>
    </row>
    <row r="68" spans="2:53" x14ac:dyDescent="0.25">
      <c r="E68" s="182"/>
      <c r="F68" s="161"/>
      <c r="G68" s="161"/>
      <c r="H68" s="183"/>
      <c r="J68" s="182"/>
      <c r="K68" s="161"/>
      <c r="L68" s="161"/>
      <c r="M68" s="183"/>
      <c r="O68" s="182"/>
      <c r="P68" s="161"/>
      <c r="Q68" s="161"/>
      <c r="R68" s="183"/>
      <c r="T68" s="182"/>
      <c r="U68" s="161"/>
      <c r="V68" s="161"/>
      <c r="W68" s="183"/>
      <c r="Y68" s="182"/>
      <c r="Z68" s="161"/>
      <c r="AA68" s="161"/>
      <c r="AB68" s="183"/>
      <c r="AD68" s="182"/>
      <c r="AE68" s="161"/>
      <c r="AF68" s="161"/>
      <c r="AG68" s="183"/>
      <c r="AI68" s="182"/>
      <c r="AJ68" s="161"/>
      <c r="AK68" s="161"/>
      <c r="AL68" s="183"/>
      <c r="AN68" s="182"/>
      <c r="AO68" s="161"/>
      <c r="AP68" s="161"/>
      <c r="AQ68" s="183"/>
      <c r="AS68" s="182"/>
      <c r="AT68" s="161"/>
      <c r="AU68" s="161"/>
      <c r="AV68" s="183"/>
      <c r="AX68" s="182"/>
      <c r="AY68" s="161"/>
      <c r="AZ68" s="161"/>
      <c r="BA68" s="183"/>
    </row>
    <row r="69" spans="2:53" x14ac:dyDescent="0.25">
      <c r="E69" s="182"/>
      <c r="F69" s="161"/>
      <c r="G69" s="161"/>
      <c r="H69" s="183"/>
      <c r="J69" s="182"/>
      <c r="K69" s="161"/>
      <c r="L69" s="161"/>
      <c r="M69" s="183"/>
      <c r="O69" s="182"/>
      <c r="P69" s="161"/>
      <c r="Q69" s="161"/>
      <c r="R69" s="183"/>
      <c r="T69" s="182"/>
      <c r="U69" s="161"/>
      <c r="V69" s="161"/>
      <c r="W69" s="183"/>
      <c r="Y69" s="182"/>
      <c r="Z69" s="161"/>
      <c r="AA69" s="161"/>
      <c r="AB69" s="183"/>
      <c r="AD69" s="182"/>
      <c r="AE69" s="161"/>
      <c r="AF69" s="161"/>
      <c r="AG69" s="183"/>
      <c r="AI69" s="182"/>
      <c r="AJ69" s="161"/>
      <c r="AK69" s="161"/>
      <c r="AL69" s="183"/>
      <c r="AN69" s="182"/>
      <c r="AO69" s="161"/>
      <c r="AP69" s="161"/>
      <c r="AQ69" s="183"/>
      <c r="AS69" s="182"/>
      <c r="AT69" s="161"/>
      <c r="AU69" s="161"/>
      <c r="AV69" s="183"/>
      <c r="AX69" s="182"/>
      <c r="AY69" s="161"/>
      <c r="AZ69" s="161"/>
      <c r="BA69" s="183"/>
    </row>
    <row r="70" spans="2:53" x14ac:dyDescent="0.25">
      <c r="E70" s="182"/>
      <c r="F70" s="161"/>
      <c r="G70" s="161"/>
      <c r="H70" s="183"/>
      <c r="J70" s="182"/>
      <c r="K70" s="161"/>
      <c r="L70" s="161"/>
      <c r="M70" s="183"/>
      <c r="O70" s="182"/>
      <c r="P70" s="161"/>
      <c r="Q70" s="161"/>
      <c r="R70" s="183"/>
      <c r="T70" s="182"/>
      <c r="U70" s="161"/>
      <c r="V70" s="161"/>
      <c r="W70" s="183"/>
      <c r="Y70" s="182"/>
      <c r="Z70" s="161"/>
      <c r="AA70" s="161"/>
      <c r="AB70" s="183"/>
      <c r="AD70" s="182"/>
      <c r="AE70" s="161"/>
      <c r="AF70" s="161"/>
      <c r="AG70" s="183"/>
      <c r="AI70" s="182"/>
      <c r="AJ70" s="161"/>
      <c r="AK70" s="161"/>
      <c r="AL70" s="183"/>
      <c r="AN70" s="182"/>
      <c r="AO70" s="161"/>
      <c r="AP70" s="161"/>
      <c r="AQ70" s="183"/>
      <c r="AS70" s="182"/>
      <c r="AT70" s="161"/>
      <c r="AU70" s="161"/>
      <c r="AV70" s="183"/>
      <c r="AX70" s="182"/>
      <c r="AY70" s="161"/>
      <c r="AZ70" s="161"/>
      <c r="BA70" s="183"/>
    </row>
    <row r="71" spans="2:53" x14ac:dyDescent="0.25">
      <c r="E71" s="182"/>
      <c r="F71" s="161"/>
      <c r="G71" s="161"/>
      <c r="H71" s="183"/>
      <c r="J71" s="182"/>
      <c r="K71" s="161"/>
      <c r="L71" s="161"/>
      <c r="M71" s="183"/>
      <c r="O71" s="182"/>
      <c r="P71" s="161"/>
      <c r="Q71" s="161"/>
      <c r="R71" s="183"/>
      <c r="T71" s="182"/>
      <c r="U71" s="161"/>
      <c r="V71" s="161"/>
      <c r="W71" s="183"/>
      <c r="Y71" s="182"/>
      <c r="Z71" s="161"/>
      <c r="AA71" s="161"/>
      <c r="AB71" s="183"/>
      <c r="AD71" s="182"/>
      <c r="AE71" s="161"/>
      <c r="AF71" s="161"/>
      <c r="AG71" s="183"/>
      <c r="AI71" s="182"/>
      <c r="AJ71" s="161"/>
      <c r="AK71" s="161"/>
      <c r="AL71" s="183"/>
      <c r="AN71" s="182"/>
      <c r="AO71" s="161"/>
      <c r="AP71" s="161"/>
      <c r="AQ71" s="183"/>
      <c r="AS71" s="182"/>
      <c r="AT71" s="161"/>
      <c r="AU71" s="161"/>
      <c r="AV71" s="183"/>
      <c r="AX71" s="182"/>
      <c r="AY71" s="161"/>
      <c r="AZ71" s="161"/>
      <c r="BA71" s="183"/>
    </row>
    <row r="72" spans="2:53" x14ac:dyDescent="0.25">
      <c r="E72" s="182"/>
      <c r="F72" s="161"/>
      <c r="G72" s="161"/>
      <c r="H72" s="183"/>
      <c r="J72" s="182"/>
      <c r="K72" s="161"/>
      <c r="L72" s="161"/>
      <c r="M72" s="183"/>
      <c r="O72" s="182"/>
      <c r="P72" s="161"/>
      <c r="Q72" s="161"/>
      <c r="R72" s="183"/>
      <c r="T72" s="182"/>
      <c r="U72" s="161"/>
      <c r="V72" s="161"/>
      <c r="W72" s="183"/>
      <c r="Y72" s="182"/>
      <c r="Z72" s="161"/>
      <c r="AA72" s="161"/>
      <c r="AB72" s="183"/>
      <c r="AD72" s="182"/>
      <c r="AE72" s="161"/>
      <c r="AF72" s="161"/>
      <c r="AG72" s="183"/>
      <c r="AI72" s="182"/>
      <c r="AJ72" s="161"/>
      <c r="AK72" s="161"/>
      <c r="AL72" s="183"/>
      <c r="AN72" s="182"/>
      <c r="AO72" s="161"/>
      <c r="AP72" s="161"/>
      <c r="AQ72" s="183"/>
      <c r="AS72" s="182"/>
      <c r="AT72" s="161"/>
      <c r="AU72" s="161"/>
      <c r="AV72" s="183"/>
      <c r="AX72" s="182"/>
      <c r="AY72" s="161"/>
      <c r="AZ72" s="161"/>
      <c r="BA72" s="183"/>
    </row>
    <row r="73" spans="2:53" x14ac:dyDescent="0.25">
      <c r="E73" s="182"/>
      <c r="F73" s="161"/>
      <c r="G73" s="161"/>
      <c r="H73" s="183"/>
      <c r="J73" s="182"/>
      <c r="K73" s="161"/>
      <c r="L73" s="161"/>
      <c r="M73" s="183"/>
      <c r="O73" s="182"/>
      <c r="P73" s="161"/>
      <c r="Q73" s="161"/>
      <c r="R73" s="183"/>
      <c r="T73" s="182"/>
      <c r="U73" s="161"/>
      <c r="V73" s="161"/>
      <c r="W73" s="183"/>
      <c r="Y73" s="182"/>
      <c r="Z73" s="161"/>
      <c r="AA73" s="161"/>
      <c r="AB73" s="183"/>
      <c r="AD73" s="182"/>
      <c r="AE73" s="161"/>
      <c r="AF73" s="161"/>
      <c r="AG73" s="183"/>
      <c r="AI73" s="182"/>
      <c r="AJ73" s="161"/>
      <c r="AK73" s="161"/>
      <c r="AL73" s="183"/>
      <c r="AN73" s="182"/>
      <c r="AO73" s="161"/>
      <c r="AP73" s="161"/>
      <c r="AQ73" s="183"/>
      <c r="AS73" s="182"/>
      <c r="AT73" s="161"/>
      <c r="AU73" s="161"/>
      <c r="AV73" s="183"/>
      <c r="AX73" s="182"/>
      <c r="AY73" s="161"/>
      <c r="AZ73" s="161"/>
      <c r="BA73" s="183"/>
    </row>
    <row r="74" spans="2:53" x14ac:dyDescent="0.25">
      <c r="E74" s="184"/>
      <c r="F74" s="185"/>
      <c r="G74" s="185"/>
      <c r="H74" s="186"/>
      <c r="J74" s="184"/>
      <c r="K74" s="185"/>
      <c r="L74" s="185"/>
      <c r="M74" s="186"/>
      <c r="O74" s="184"/>
      <c r="P74" s="185"/>
      <c r="Q74" s="185"/>
      <c r="R74" s="186"/>
      <c r="T74" s="184"/>
      <c r="U74" s="185"/>
      <c r="V74" s="185"/>
      <c r="W74" s="186"/>
      <c r="Y74" s="184"/>
      <c r="Z74" s="185"/>
      <c r="AA74" s="185"/>
      <c r="AB74" s="186"/>
      <c r="AD74" s="184"/>
      <c r="AE74" s="185"/>
      <c r="AF74" s="185"/>
      <c r="AG74" s="186"/>
      <c r="AI74" s="184"/>
      <c r="AJ74" s="185"/>
      <c r="AK74" s="185"/>
      <c r="AL74" s="186"/>
      <c r="AN74" s="184"/>
      <c r="AO74" s="185"/>
      <c r="AP74" s="185"/>
      <c r="AQ74" s="186"/>
      <c r="AS74" s="184"/>
      <c r="AT74" s="185"/>
      <c r="AU74" s="185"/>
      <c r="AV74" s="186"/>
      <c r="AX74" s="184"/>
      <c r="AY74" s="185"/>
      <c r="AZ74" s="185"/>
      <c r="BA74" s="186"/>
    </row>
    <row r="77" spans="2:53" x14ac:dyDescent="0.25">
      <c r="B77" s="188" t="s">
        <v>47</v>
      </c>
      <c r="C77" s="189"/>
      <c r="D77" s="190"/>
      <c r="E77" s="167" t="s">
        <v>48</v>
      </c>
      <c r="F77" s="167"/>
      <c r="G77" s="167"/>
      <c r="H77" s="167"/>
      <c r="I77" s="8"/>
      <c r="J77" s="166" t="s">
        <v>49</v>
      </c>
      <c r="K77" s="167"/>
      <c r="L77" s="167"/>
      <c r="M77" s="168"/>
      <c r="N77" s="7"/>
      <c r="O77" s="166" t="s">
        <v>50</v>
      </c>
      <c r="P77" s="167"/>
      <c r="Q77" s="167"/>
      <c r="R77" s="168"/>
      <c r="T77" s="166" t="s">
        <v>51</v>
      </c>
      <c r="U77" s="167"/>
      <c r="V77" s="167"/>
      <c r="W77" s="168"/>
      <c r="Y77" s="166" t="s">
        <v>52</v>
      </c>
      <c r="Z77" s="167"/>
      <c r="AA77" s="167"/>
      <c r="AB77" s="168"/>
      <c r="AD77" s="166" t="s">
        <v>53</v>
      </c>
      <c r="AE77" s="167"/>
      <c r="AF77" s="167"/>
      <c r="AG77" s="168"/>
      <c r="AI77" s="166" t="s">
        <v>54</v>
      </c>
      <c r="AJ77" s="167"/>
      <c r="AK77" s="167"/>
      <c r="AL77" s="168"/>
      <c r="AN77" s="166" t="s">
        <v>55</v>
      </c>
      <c r="AO77" s="167"/>
      <c r="AP77" s="167"/>
      <c r="AQ77" s="168"/>
      <c r="AS77" s="166" t="s">
        <v>56</v>
      </c>
      <c r="AT77" s="167"/>
      <c r="AU77" s="167"/>
      <c r="AV77" s="168"/>
      <c r="AX77" s="166" t="s">
        <v>57</v>
      </c>
      <c r="AY77" s="167"/>
      <c r="AZ77" s="167"/>
      <c r="BA77" s="168"/>
    </row>
    <row r="78" spans="2:53" x14ac:dyDescent="0.25">
      <c r="B78" s="191"/>
      <c r="C78" s="192"/>
      <c r="D78" s="193"/>
      <c r="E78" s="179" t="s">
        <v>357</v>
      </c>
      <c r="F78" s="180"/>
      <c r="G78" s="180"/>
      <c r="H78" s="181"/>
      <c r="J78" s="179" t="s">
        <v>358</v>
      </c>
      <c r="K78" s="180"/>
      <c r="L78" s="180"/>
      <c r="M78" s="181"/>
      <c r="O78" s="179" t="s">
        <v>359</v>
      </c>
      <c r="P78" s="180"/>
      <c r="Q78" s="180"/>
      <c r="R78" s="181"/>
      <c r="T78" s="179"/>
      <c r="U78" s="180"/>
      <c r="V78" s="180"/>
      <c r="W78" s="181"/>
      <c r="Y78" s="179"/>
      <c r="Z78" s="180"/>
      <c r="AA78" s="180"/>
      <c r="AB78" s="181"/>
      <c r="AD78" s="179"/>
      <c r="AE78" s="180"/>
      <c r="AF78" s="180"/>
      <c r="AG78" s="181"/>
      <c r="AI78" s="179"/>
      <c r="AJ78" s="180"/>
      <c r="AK78" s="180"/>
      <c r="AL78" s="181"/>
      <c r="AN78" s="179"/>
      <c r="AO78" s="180"/>
      <c r="AP78" s="180"/>
      <c r="AQ78" s="181"/>
      <c r="AS78" s="179"/>
      <c r="AT78" s="180"/>
      <c r="AU78" s="180"/>
      <c r="AV78" s="181"/>
      <c r="AX78" s="179"/>
      <c r="AY78" s="180"/>
      <c r="AZ78" s="180"/>
      <c r="BA78" s="181"/>
    </row>
    <row r="79" spans="2:53" x14ac:dyDescent="0.25">
      <c r="E79" s="182"/>
      <c r="F79" s="161"/>
      <c r="G79" s="161"/>
      <c r="H79" s="183"/>
      <c r="J79" s="182"/>
      <c r="K79" s="161"/>
      <c r="L79" s="161"/>
      <c r="M79" s="183"/>
      <c r="O79" s="182"/>
      <c r="P79" s="161"/>
      <c r="Q79" s="161"/>
      <c r="R79" s="183"/>
      <c r="T79" s="182"/>
      <c r="U79" s="161"/>
      <c r="V79" s="161"/>
      <c r="W79" s="183"/>
      <c r="Y79" s="182"/>
      <c r="Z79" s="161"/>
      <c r="AA79" s="161"/>
      <c r="AB79" s="183"/>
      <c r="AD79" s="182"/>
      <c r="AE79" s="161"/>
      <c r="AF79" s="161"/>
      <c r="AG79" s="183"/>
      <c r="AI79" s="182"/>
      <c r="AJ79" s="161"/>
      <c r="AK79" s="161"/>
      <c r="AL79" s="183"/>
      <c r="AN79" s="182"/>
      <c r="AO79" s="161"/>
      <c r="AP79" s="161"/>
      <c r="AQ79" s="183"/>
      <c r="AS79" s="182"/>
      <c r="AT79" s="161"/>
      <c r="AU79" s="161"/>
      <c r="AV79" s="183"/>
      <c r="AX79" s="182"/>
      <c r="AY79" s="161"/>
      <c r="AZ79" s="161"/>
      <c r="BA79" s="183"/>
    </row>
    <row r="80" spans="2:53" x14ac:dyDescent="0.25">
      <c r="E80" s="182"/>
      <c r="F80" s="161"/>
      <c r="G80" s="161"/>
      <c r="H80" s="183"/>
      <c r="J80" s="182"/>
      <c r="K80" s="161"/>
      <c r="L80" s="161"/>
      <c r="M80" s="183"/>
      <c r="O80" s="182"/>
      <c r="P80" s="161"/>
      <c r="Q80" s="161"/>
      <c r="R80" s="183"/>
      <c r="T80" s="182"/>
      <c r="U80" s="161"/>
      <c r="V80" s="161"/>
      <c r="W80" s="183"/>
      <c r="Y80" s="182"/>
      <c r="Z80" s="161"/>
      <c r="AA80" s="161"/>
      <c r="AB80" s="183"/>
      <c r="AD80" s="182"/>
      <c r="AE80" s="161"/>
      <c r="AF80" s="161"/>
      <c r="AG80" s="183"/>
      <c r="AI80" s="182"/>
      <c r="AJ80" s="161"/>
      <c r="AK80" s="161"/>
      <c r="AL80" s="183"/>
      <c r="AN80" s="182"/>
      <c r="AO80" s="161"/>
      <c r="AP80" s="161"/>
      <c r="AQ80" s="183"/>
      <c r="AS80" s="182"/>
      <c r="AT80" s="161"/>
      <c r="AU80" s="161"/>
      <c r="AV80" s="183"/>
      <c r="AX80" s="182"/>
      <c r="AY80" s="161"/>
      <c r="AZ80" s="161"/>
      <c r="BA80" s="183"/>
    </row>
    <row r="81" spans="2:53" x14ac:dyDescent="0.25">
      <c r="E81" s="182"/>
      <c r="F81" s="161"/>
      <c r="G81" s="161"/>
      <c r="H81" s="183"/>
      <c r="J81" s="182"/>
      <c r="K81" s="161"/>
      <c r="L81" s="161"/>
      <c r="M81" s="183"/>
      <c r="O81" s="182"/>
      <c r="P81" s="161"/>
      <c r="Q81" s="161"/>
      <c r="R81" s="183"/>
      <c r="T81" s="182"/>
      <c r="U81" s="161"/>
      <c r="V81" s="161"/>
      <c r="W81" s="183"/>
      <c r="Y81" s="182"/>
      <c r="Z81" s="161"/>
      <c r="AA81" s="161"/>
      <c r="AB81" s="183"/>
      <c r="AD81" s="182"/>
      <c r="AE81" s="161"/>
      <c r="AF81" s="161"/>
      <c r="AG81" s="183"/>
      <c r="AI81" s="182"/>
      <c r="AJ81" s="161"/>
      <c r="AK81" s="161"/>
      <c r="AL81" s="183"/>
      <c r="AN81" s="182"/>
      <c r="AO81" s="161"/>
      <c r="AP81" s="161"/>
      <c r="AQ81" s="183"/>
      <c r="AS81" s="182"/>
      <c r="AT81" s="161"/>
      <c r="AU81" s="161"/>
      <c r="AV81" s="183"/>
      <c r="AX81" s="182"/>
      <c r="AY81" s="161"/>
      <c r="AZ81" s="161"/>
      <c r="BA81" s="183"/>
    </row>
    <row r="82" spans="2:53" x14ac:dyDescent="0.25">
      <c r="E82" s="182"/>
      <c r="F82" s="161"/>
      <c r="G82" s="161"/>
      <c r="H82" s="183"/>
      <c r="J82" s="182"/>
      <c r="K82" s="161"/>
      <c r="L82" s="161"/>
      <c r="M82" s="183"/>
      <c r="O82" s="182"/>
      <c r="P82" s="161"/>
      <c r="Q82" s="161"/>
      <c r="R82" s="183"/>
      <c r="T82" s="182"/>
      <c r="U82" s="161"/>
      <c r="V82" s="161"/>
      <c r="W82" s="183"/>
      <c r="Y82" s="182"/>
      <c r="Z82" s="161"/>
      <c r="AA82" s="161"/>
      <c r="AB82" s="183"/>
      <c r="AD82" s="182"/>
      <c r="AE82" s="161"/>
      <c r="AF82" s="161"/>
      <c r="AG82" s="183"/>
      <c r="AI82" s="182"/>
      <c r="AJ82" s="161"/>
      <c r="AK82" s="161"/>
      <c r="AL82" s="183"/>
      <c r="AN82" s="182"/>
      <c r="AO82" s="161"/>
      <c r="AP82" s="161"/>
      <c r="AQ82" s="183"/>
      <c r="AS82" s="182"/>
      <c r="AT82" s="161"/>
      <c r="AU82" s="161"/>
      <c r="AV82" s="183"/>
      <c r="AX82" s="182"/>
      <c r="AY82" s="161"/>
      <c r="AZ82" s="161"/>
      <c r="BA82" s="183"/>
    </row>
    <row r="83" spans="2:53" x14ac:dyDescent="0.25">
      <c r="E83" s="182"/>
      <c r="F83" s="161"/>
      <c r="G83" s="161"/>
      <c r="H83" s="183"/>
      <c r="J83" s="182"/>
      <c r="K83" s="161"/>
      <c r="L83" s="161"/>
      <c r="M83" s="183"/>
      <c r="O83" s="182"/>
      <c r="P83" s="161"/>
      <c r="Q83" s="161"/>
      <c r="R83" s="183"/>
      <c r="T83" s="182"/>
      <c r="U83" s="161"/>
      <c r="V83" s="161"/>
      <c r="W83" s="183"/>
      <c r="Y83" s="182"/>
      <c r="Z83" s="161"/>
      <c r="AA83" s="161"/>
      <c r="AB83" s="183"/>
      <c r="AD83" s="182"/>
      <c r="AE83" s="161"/>
      <c r="AF83" s="161"/>
      <c r="AG83" s="183"/>
      <c r="AI83" s="182"/>
      <c r="AJ83" s="161"/>
      <c r="AK83" s="161"/>
      <c r="AL83" s="183"/>
      <c r="AN83" s="182"/>
      <c r="AO83" s="161"/>
      <c r="AP83" s="161"/>
      <c r="AQ83" s="183"/>
      <c r="AS83" s="182"/>
      <c r="AT83" s="161"/>
      <c r="AU83" s="161"/>
      <c r="AV83" s="183"/>
      <c r="AX83" s="182"/>
      <c r="AY83" s="161"/>
      <c r="AZ83" s="161"/>
      <c r="BA83" s="183"/>
    </row>
    <row r="84" spans="2:53" x14ac:dyDescent="0.25">
      <c r="E84" s="182"/>
      <c r="F84" s="161"/>
      <c r="G84" s="161"/>
      <c r="H84" s="183"/>
      <c r="J84" s="182"/>
      <c r="K84" s="161"/>
      <c r="L84" s="161"/>
      <c r="M84" s="183"/>
      <c r="O84" s="182"/>
      <c r="P84" s="161"/>
      <c r="Q84" s="161"/>
      <c r="R84" s="183"/>
      <c r="T84" s="182"/>
      <c r="U84" s="161"/>
      <c r="V84" s="161"/>
      <c r="W84" s="183"/>
      <c r="Y84" s="182"/>
      <c r="Z84" s="161"/>
      <c r="AA84" s="161"/>
      <c r="AB84" s="183"/>
      <c r="AD84" s="182"/>
      <c r="AE84" s="161"/>
      <c r="AF84" s="161"/>
      <c r="AG84" s="183"/>
      <c r="AI84" s="182"/>
      <c r="AJ84" s="161"/>
      <c r="AK84" s="161"/>
      <c r="AL84" s="183"/>
      <c r="AN84" s="182"/>
      <c r="AO84" s="161"/>
      <c r="AP84" s="161"/>
      <c r="AQ84" s="183"/>
      <c r="AS84" s="182"/>
      <c r="AT84" s="161"/>
      <c r="AU84" s="161"/>
      <c r="AV84" s="183"/>
      <c r="AX84" s="182"/>
      <c r="AY84" s="161"/>
      <c r="AZ84" s="161"/>
      <c r="BA84" s="183"/>
    </row>
    <row r="85" spans="2:53" x14ac:dyDescent="0.25">
      <c r="E85" s="182"/>
      <c r="F85" s="161"/>
      <c r="G85" s="161"/>
      <c r="H85" s="183"/>
      <c r="J85" s="182"/>
      <c r="K85" s="161"/>
      <c r="L85" s="161"/>
      <c r="M85" s="183"/>
      <c r="O85" s="182"/>
      <c r="P85" s="161"/>
      <c r="Q85" s="161"/>
      <c r="R85" s="183"/>
      <c r="T85" s="182"/>
      <c r="U85" s="161"/>
      <c r="V85" s="161"/>
      <c r="W85" s="183"/>
      <c r="Y85" s="182"/>
      <c r="Z85" s="161"/>
      <c r="AA85" s="161"/>
      <c r="AB85" s="183"/>
      <c r="AD85" s="182"/>
      <c r="AE85" s="161"/>
      <c r="AF85" s="161"/>
      <c r="AG85" s="183"/>
      <c r="AI85" s="182"/>
      <c r="AJ85" s="161"/>
      <c r="AK85" s="161"/>
      <c r="AL85" s="183"/>
      <c r="AN85" s="182"/>
      <c r="AO85" s="161"/>
      <c r="AP85" s="161"/>
      <c r="AQ85" s="183"/>
      <c r="AS85" s="182"/>
      <c r="AT85" s="161"/>
      <c r="AU85" s="161"/>
      <c r="AV85" s="183"/>
      <c r="AX85" s="182"/>
      <c r="AY85" s="161"/>
      <c r="AZ85" s="161"/>
      <c r="BA85" s="183"/>
    </row>
    <row r="86" spans="2:53" x14ac:dyDescent="0.25">
      <c r="E86" s="182"/>
      <c r="F86" s="161"/>
      <c r="G86" s="161"/>
      <c r="H86" s="183"/>
      <c r="J86" s="182"/>
      <c r="K86" s="161"/>
      <c r="L86" s="161"/>
      <c r="M86" s="183"/>
      <c r="O86" s="182"/>
      <c r="P86" s="161"/>
      <c r="Q86" s="161"/>
      <c r="R86" s="183"/>
      <c r="T86" s="182"/>
      <c r="U86" s="161"/>
      <c r="V86" s="161"/>
      <c r="W86" s="183"/>
      <c r="Y86" s="182"/>
      <c r="Z86" s="161"/>
      <c r="AA86" s="161"/>
      <c r="AB86" s="183"/>
      <c r="AD86" s="182"/>
      <c r="AE86" s="161"/>
      <c r="AF86" s="161"/>
      <c r="AG86" s="183"/>
      <c r="AI86" s="182"/>
      <c r="AJ86" s="161"/>
      <c r="AK86" s="161"/>
      <c r="AL86" s="183"/>
      <c r="AN86" s="182"/>
      <c r="AO86" s="161"/>
      <c r="AP86" s="161"/>
      <c r="AQ86" s="183"/>
      <c r="AS86" s="182"/>
      <c r="AT86" s="161"/>
      <c r="AU86" s="161"/>
      <c r="AV86" s="183"/>
      <c r="AX86" s="182"/>
      <c r="AY86" s="161"/>
      <c r="AZ86" s="161"/>
      <c r="BA86" s="183"/>
    </row>
    <row r="87" spans="2:53" x14ac:dyDescent="0.25">
      <c r="E87" s="182"/>
      <c r="F87" s="161"/>
      <c r="G87" s="161"/>
      <c r="H87" s="183"/>
      <c r="J87" s="182"/>
      <c r="K87" s="161"/>
      <c r="L87" s="161"/>
      <c r="M87" s="183"/>
      <c r="O87" s="182"/>
      <c r="P87" s="161"/>
      <c r="Q87" s="161"/>
      <c r="R87" s="183"/>
      <c r="T87" s="182"/>
      <c r="U87" s="161"/>
      <c r="V87" s="161"/>
      <c r="W87" s="183"/>
      <c r="Y87" s="182"/>
      <c r="Z87" s="161"/>
      <c r="AA87" s="161"/>
      <c r="AB87" s="183"/>
      <c r="AD87" s="182"/>
      <c r="AE87" s="161"/>
      <c r="AF87" s="161"/>
      <c r="AG87" s="183"/>
      <c r="AI87" s="182"/>
      <c r="AJ87" s="161"/>
      <c r="AK87" s="161"/>
      <c r="AL87" s="183"/>
      <c r="AN87" s="182"/>
      <c r="AO87" s="161"/>
      <c r="AP87" s="161"/>
      <c r="AQ87" s="183"/>
      <c r="AS87" s="182"/>
      <c r="AT87" s="161"/>
      <c r="AU87" s="161"/>
      <c r="AV87" s="183"/>
      <c r="AX87" s="182"/>
      <c r="AY87" s="161"/>
      <c r="AZ87" s="161"/>
      <c r="BA87" s="183"/>
    </row>
    <row r="88" spans="2:53" x14ac:dyDescent="0.25">
      <c r="E88" s="182"/>
      <c r="F88" s="161"/>
      <c r="G88" s="161"/>
      <c r="H88" s="183"/>
      <c r="J88" s="182"/>
      <c r="K88" s="161"/>
      <c r="L88" s="161"/>
      <c r="M88" s="183"/>
      <c r="O88" s="182"/>
      <c r="P88" s="161"/>
      <c r="Q88" s="161"/>
      <c r="R88" s="183"/>
      <c r="T88" s="182"/>
      <c r="U88" s="161"/>
      <c r="V88" s="161"/>
      <c r="W88" s="183"/>
      <c r="Y88" s="182"/>
      <c r="Z88" s="161"/>
      <c r="AA88" s="161"/>
      <c r="AB88" s="183"/>
      <c r="AD88" s="182"/>
      <c r="AE88" s="161"/>
      <c r="AF88" s="161"/>
      <c r="AG88" s="183"/>
      <c r="AI88" s="182"/>
      <c r="AJ88" s="161"/>
      <c r="AK88" s="161"/>
      <c r="AL88" s="183"/>
      <c r="AN88" s="182"/>
      <c r="AO88" s="161"/>
      <c r="AP88" s="161"/>
      <c r="AQ88" s="183"/>
      <c r="AS88" s="182"/>
      <c r="AT88" s="161"/>
      <c r="AU88" s="161"/>
      <c r="AV88" s="183"/>
      <c r="AX88" s="182"/>
      <c r="AY88" s="161"/>
      <c r="AZ88" s="161"/>
      <c r="BA88" s="183"/>
    </row>
    <row r="89" spans="2:53" x14ac:dyDescent="0.25">
      <c r="E89" s="182"/>
      <c r="F89" s="161"/>
      <c r="G89" s="161"/>
      <c r="H89" s="183"/>
      <c r="J89" s="182"/>
      <c r="K89" s="161"/>
      <c r="L89" s="161"/>
      <c r="M89" s="183"/>
      <c r="O89" s="182"/>
      <c r="P89" s="161"/>
      <c r="Q89" s="161"/>
      <c r="R89" s="183"/>
      <c r="T89" s="182"/>
      <c r="U89" s="161"/>
      <c r="V89" s="161"/>
      <c r="W89" s="183"/>
      <c r="Y89" s="182"/>
      <c r="Z89" s="161"/>
      <c r="AA89" s="161"/>
      <c r="AB89" s="183"/>
      <c r="AD89" s="182"/>
      <c r="AE89" s="161"/>
      <c r="AF89" s="161"/>
      <c r="AG89" s="183"/>
      <c r="AI89" s="182"/>
      <c r="AJ89" s="161"/>
      <c r="AK89" s="161"/>
      <c r="AL89" s="183"/>
      <c r="AN89" s="182"/>
      <c r="AO89" s="161"/>
      <c r="AP89" s="161"/>
      <c r="AQ89" s="183"/>
      <c r="AS89" s="182"/>
      <c r="AT89" s="161"/>
      <c r="AU89" s="161"/>
      <c r="AV89" s="183"/>
      <c r="AX89" s="182"/>
      <c r="AY89" s="161"/>
      <c r="AZ89" s="161"/>
      <c r="BA89" s="183"/>
    </row>
    <row r="90" spans="2:53" x14ac:dyDescent="0.25">
      <c r="E90" s="182"/>
      <c r="F90" s="161"/>
      <c r="G90" s="161"/>
      <c r="H90" s="183"/>
      <c r="J90" s="182"/>
      <c r="K90" s="161"/>
      <c r="L90" s="161"/>
      <c r="M90" s="183"/>
      <c r="O90" s="182"/>
      <c r="P90" s="161"/>
      <c r="Q90" s="161"/>
      <c r="R90" s="183"/>
      <c r="T90" s="182"/>
      <c r="U90" s="161"/>
      <c r="V90" s="161"/>
      <c r="W90" s="183"/>
      <c r="Y90" s="182"/>
      <c r="Z90" s="161"/>
      <c r="AA90" s="161"/>
      <c r="AB90" s="183"/>
      <c r="AD90" s="182"/>
      <c r="AE90" s="161"/>
      <c r="AF90" s="161"/>
      <c r="AG90" s="183"/>
      <c r="AI90" s="182"/>
      <c r="AJ90" s="161"/>
      <c r="AK90" s="161"/>
      <c r="AL90" s="183"/>
      <c r="AN90" s="182"/>
      <c r="AO90" s="161"/>
      <c r="AP90" s="161"/>
      <c r="AQ90" s="183"/>
      <c r="AS90" s="182"/>
      <c r="AT90" s="161"/>
      <c r="AU90" s="161"/>
      <c r="AV90" s="183"/>
      <c r="AX90" s="182"/>
      <c r="AY90" s="161"/>
      <c r="AZ90" s="161"/>
      <c r="BA90" s="183"/>
    </row>
    <row r="91" spans="2:53" x14ac:dyDescent="0.25">
      <c r="E91" s="182"/>
      <c r="F91" s="161"/>
      <c r="G91" s="161"/>
      <c r="H91" s="183"/>
      <c r="J91" s="182"/>
      <c r="K91" s="161"/>
      <c r="L91" s="161"/>
      <c r="M91" s="183"/>
      <c r="O91" s="182"/>
      <c r="P91" s="161"/>
      <c r="Q91" s="161"/>
      <c r="R91" s="183"/>
      <c r="T91" s="182"/>
      <c r="U91" s="161"/>
      <c r="V91" s="161"/>
      <c r="W91" s="183"/>
      <c r="Y91" s="182"/>
      <c r="Z91" s="161"/>
      <c r="AA91" s="161"/>
      <c r="AB91" s="183"/>
      <c r="AD91" s="182"/>
      <c r="AE91" s="161"/>
      <c r="AF91" s="161"/>
      <c r="AG91" s="183"/>
      <c r="AI91" s="182"/>
      <c r="AJ91" s="161"/>
      <c r="AK91" s="161"/>
      <c r="AL91" s="183"/>
      <c r="AN91" s="182"/>
      <c r="AO91" s="161"/>
      <c r="AP91" s="161"/>
      <c r="AQ91" s="183"/>
      <c r="AS91" s="182"/>
      <c r="AT91" s="161"/>
      <c r="AU91" s="161"/>
      <c r="AV91" s="183"/>
      <c r="AX91" s="182"/>
      <c r="AY91" s="161"/>
      <c r="AZ91" s="161"/>
      <c r="BA91" s="183"/>
    </row>
    <row r="92" spans="2:53" x14ac:dyDescent="0.25">
      <c r="E92" s="184"/>
      <c r="F92" s="185"/>
      <c r="G92" s="185"/>
      <c r="H92" s="186"/>
      <c r="J92" s="184"/>
      <c r="K92" s="185"/>
      <c r="L92" s="185"/>
      <c r="M92" s="186"/>
      <c r="O92" s="184"/>
      <c r="P92" s="185"/>
      <c r="Q92" s="185"/>
      <c r="R92" s="186"/>
      <c r="T92" s="184"/>
      <c r="U92" s="185"/>
      <c r="V92" s="185"/>
      <c r="W92" s="186"/>
      <c r="Y92" s="184"/>
      <c r="Z92" s="185"/>
      <c r="AA92" s="185"/>
      <c r="AB92" s="186"/>
      <c r="AD92" s="184"/>
      <c r="AE92" s="185"/>
      <c r="AF92" s="185"/>
      <c r="AG92" s="186"/>
      <c r="AI92" s="184"/>
      <c r="AJ92" s="185"/>
      <c r="AK92" s="185"/>
      <c r="AL92" s="186"/>
      <c r="AN92" s="184"/>
      <c r="AO92" s="185"/>
      <c r="AP92" s="185"/>
      <c r="AQ92" s="186"/>
      <c r="AS92" s="184"/>
      <c r="AT92" s="185"/>
      <c r="AU92" s="185"/>
      <c r="AV92" s="186"/>
      <c r="AX92" s="184"/>
      <c r="AY92" s="185"/>
      <c r="AZ92" s="185"/>
      <c r="BA92" s="186"/>
    </row>
    <row r="95" spans="2:53" x14ac:dyDescent="0.25">
      <c r="B95" s="188" t="s">
        <v>58</v>
      </c>
      <c r="C95" s="189"/>
      <c r="D95" s="190"/>
      <c r="E95" s="167" t="s">
        <v>48</v>
      </c>
      <c r="F95" s="167"/>
      <c r="G95" s="167"/>
      <c r="H95" s="167"/>
      <c r="I95" s="8"/>
      <c r="J95" s="166" t="s">
        <v>49</v>
      </c>
      <c r="K95" s="167"/>
      <c r="L95" s="167"/>
      <c r="M95" s="168"/>
      <c r="N95" s="7"/>
      <c r="O95" s="166" t="s">
        <v>50</v>
      </c>
      <c r="P95" s="167"/>
      <c r="Q95" s="167"/>
      <c r="R95" s="168"/>
      <c r="T95" s="166" t="s">
        <v>51</v>
      </c>
      <c r="U95" s="167"/>
      <c r="V95" s="167"/>
      <c r="W95" s="168"/>
      <c r="Y95" s="166" t="s">
        <v>52</v>
      </c>
      <c r="Z95" s="167"/>
      <c r="AA95" s="167"/>
      <c r="AB95" s="168"/>
      <c r="AD95" s="166" t="s">
        <v>53</v>
      </c>
      <c r="AE95" s="167"/>
      <c r="AF95" s="167"/>
      <c r="AG95" s="168"/>
      <c r="AI95" s="166" t="s">
        <v>54</v>
      </c>
      <c r="AJ95" s="167"/>
      <c r="AK95" s="167"/>
      <c r="AL95" s="168"/>
      <c r="AN95" s="166" t="s">
        <v>55</v>
      </c>
      <c r="AO95" s="167"/>
      <c r="AP95" s="167"/>
      <c r="AQ95" s="168"/>
      <c r="AS95" s="166" t="s">
        <v>56</v>
      </c>
      <c r="AT95" s="167"/>
      <c r="AU95" s="167"/>
      <c r="AV95" s="168"/>
      <c r="AX95" s="166" t="s">
        <v>57</v>
      </c>
      <c r="AY95" s="167"/>
      <c r="AZ95" s="167"/>
      <c r="BA95" s="168"/>
    </row>
    <row r="96" spans="2:53" x14ac:dyDescent="0.25">
      <c r="B96" s="191"/>
      <c r="C96" s="192"/>
      <c r="D96" s="193"/>
      <c r="E96" s="179" t="s">
        <v>360</v>
      </c>
      <c r="F96" s="180"/>
      <c r="G96" s="180"/>
      <c r="H96" s="181"/>
      <c r="J96" s="179"/>
      <c r="K96" s="180"/>
      <c r="L96" s="180"/>
      <c r="M96" s="181"/>
      <c r="O96" s="179"/>
      <c r="P96" s="180"/>
      <c r="Q96" s="180"/>
      <c r="R96" s="181"/>
      <c r="T96" s="179"/>
      <c r="U96" s="180"/>
      <c r="V96" s="180"/>
      <c r="W96" s="181"/>
      <c r="Y96" s="179"/>
      <c r="Z96" s="180"/>
      <c r="AA96" s="180"/>
      <c r="AB96" s="181"/>
      <c r="AD96" s="179"/>
      <c r="AE96" s="180"/>
      <c r="AF96" s="180"/>
      <c r="AG96" s="181"/>
      <c r="AI96" s="179"/>
      <c r="AJ96" s="180"/>
      <c r="AK96" s="180"/>
      <c r="AL96" s="181"/>
      <c r="AN96" s="179"/>
      <c r="AO96" s="180"/>
      <c r="AP96" s="180"/>
      <c r="AQ96" s="181"/>
      <c r="AS96" s="179"/>
      <c r="AT96" s="180"/>
      <c r="AU96" s="180"/>
      <c r="AV96" s="181"/>
      <c r="AX96" s="179"/>
      <c r="AY96" s="180"/>
      <c r="AZ96" s="180"/>
      <c r="BA96" s="181"/>
    </row>
    <row r="97" spans="5:53" x14ac:dyDescent="0.25">
      <c r="E97" s="182"/>
      <c r="F97" s="161"/>
      <c r="G97" s="161"/>
      <c r="H97" s="183"/>
      <c r="J97" s="182"/>
      <c r="K97" s="161"/>
      <c r="L97" s="161"/>
      <c r="M97" s="183"/>
      <c r="O97" s="182"/>
      <c r="P97" s="161"/>
      <c r="Q97" s="161"/>
      <c r="R97" s="183"/>
      <c r="T97" s="182"/>
      <c r="U97" s="161"/>
      <c r="V97" s="161"/>
      <c r="W97" s="183"/>
      <c r="Y97" s="182"/>
      <c r="Z97" s="161"/>
      <c r="AA97" s="161"/>
      <c r="AB97" s="183"/>
      <c r="AD97" s="182"/>
      <c r="AE97" s="161"/>
      <c r="AF97" s="161"/>
      <c r="AG97" s="183"/>
      <c r="AI97" s="182"/>
      <c r="AJ97" s="161"/>
      <c r="AK97" s="161"/>
      <c r="AL97" s="183"/>
      <c r="AN97" s="182"/>
      <c r="AO97" s="161"/>
      <c r="AP97" s="161"/>
      <c r="AQ97" s="183"/>
      <c r="AS97" s="182"/>
      <c r="AT97" s="161"/>
      <c r="AU97" s="161"/>
      <c r="AV97" s="183"/>
      <c r="AX97" s="182"/>
      <c r="AY97" s="161"/>
      <c r="AZ97" s="161"/>
      <c r="BA97" s="183"/>
    </row>
    <row r="98" spans="5:53" x14ac:dyDescent="0.25">
      <c r="E98" s="182"/>
      <c r="F98" s="161"/>
      <c r="G98" s="161"/>
      <c r="H98" s="183"/>
      <c r="J98" s="182"/>
      <c r="K98" s="161"/>
      <c r="L98" s="161"/>
      <c r="M98" s="183"/>
      <c r="O98" s="182"/>
      <c r="P98" s="161"/>
      <c r="Q98" s="161"/>
      <c r="R98" s="183"/>
      <c r="T98" s="182"/>
      <c r="U98" s="161"/>
      <c r="V98" s="161"/>
      <c r="W98" s="183"/>
      <c r="Y98" s="182"/>
      <c r="Z98" s="161"/>
      <c r="AA98" s="161"/>
      <c r="AB98" s="183"/>
      <c r="AD98" s="182"/>
      <c r="AE98" s="161"/>
      <c r="AF98" s="161"/>
      <c r="AG98" s="183"/>
      <c r="AI98" s="182"/>
      <c r="AJ98" s="161"/>
      <c r="AK98" s="161"/>
      <c r="AL98" s="183"/>
      <c r="AN98" s="182"/>
      <c r="AO98" s="161"/>
      <c r="AP98" s="161"/>
      <c r="AQ98" s="183"/>
      <c r="AS98" s="182"/>
      <c r="AT98" s="161"/>
      <c r="AU98" s="161"/>
      <c r="AV98" s="183"/>
      <c r="AX98" s="182"/>
      <c r="AY98" s="161"/>
      <c r="AZ98" s="161"/>
      <c r="BA98" s="183"/>
    </row>
    <row r="99" spans="5:53" x14ac:dyDescent="0.25">
      <c r="E99" s="182"/>
      <c r="F99" s="161"/>
      <c r="G99" s="161"/>
      <c r="H99" s="183"/>
      <c r="J99" s="182"/>
      <c r="K99" s="161"/>
      <c r="L99" s="161"/>
      <c r="M99" s="183"/>
      <c r="O99" s="182"/>
      <c r="P99" s="161"/>
      <c r="Q99" s="161"/>
      <c r="R99" s="183"/>
      <c r="T99" s="182"/>
      <c r="U99" s="161"/>
      <c r="V99" s="161"/>
      <c r="W99" s="183"/>
      <c r="Y99" s="182"/>
      <c r="Z99" s="161"/>
      <c r="AA99" s="161"/>
      <c r="AB99" s="183"/>
      <c r="AD99" s="182"/>
      <c r="AE99" s="161"/>
      <c r="AF99" s="161"/>
      <c r="AG99" s="183"/>
      <c r="AI99" s="182"/>
      <c r="AJ99" s="161"/>
      <c r="AK99" s="161"/>
      <c r="AL99" s="183"/>
      <c r="AN99" s="182"/>
      <c r="AO99" s="161"/>
      <c r="AP99" s="161"/>
      <c r="AQ99" s="183"/>
      <c r="AS99" s="182"/>
      <c r="AT99" s="161"/>
      <c r="AU99" s="161"/>
      <c r="AV99" s="183"/>
      <c r="AX99" s="182"/>
      <c r="AY99" s="161"/>
      <c r="AZ99" s="161"/>
      <c r="BA99" s="183"/>
    </row>
    <row r="100" spans="5:53" x14ac:dyDescent="0.25">
      <c r="E100" s="182"/>
      <c r="F100" s="161"/>
      <c r="G100" s="161"/>
      <c r="H100" s="183"/>
      <c r="J100" s="182"/>
      <c r="K100" s="161"/>
      <c r="L100" s="161"/>
      <c r="M100" s="183"/>
      <c r="O100" s="182"/>
      <c r="P100" s="161"/>
      <c r="Q100" s="161"/>
      <c r="R100" s="183"/>
      <c r="T100" s="182"/>
      <c r="U100" s="161"/>
      <c r="V100" s="161"/>
      <c r="W100" s="183"/>
      <c r="Y100" s="182"/>
      <c r="Z100" s="161"/>
      <c r="AA100" s="161"/>
      <c r="AB100" s="183"/>
      <c r="AD100" s="182"/>
      <c r="AE100" s="161"/>
      <c r="AF100" s="161"/>
      <c r="AG100" s="183"/>
      <c r="AI100" s="182"/>
      <c r="AJ100" s="161"/>
      <c r="AK100" s="161"/>
      <c r="AL100" s="183"/>
      <c r="AN100" s="182"/>
      <c r="AO100" s="161"/>
      <c r="AP100" s="161"/>
      <c r="AQ100" s="183"/>
      <c r="AS100" s="182"/>
      <c r="AT100" s="161"/>
      <c r="AU100" s="161"/>
      <c r="AV100" s="183"/>
      <c r="AX100" s="182"/>
      <c r="AY100" s="161"/>
      <c r="AZ100" s="161"/>
      <c r="BA100" s="183"/>
    </row>
    <row r="101" spans="5:53" x14ac:dyDescent="0.25">
      <c r="E101" s="182"/>
      <c r="F101" s="161"/>
      <c r="G101" s="161"/>
      <c r="H101" s="183"/>
      <c r="J101" s="182"/>
      <c r="K101" s="161"/>
      <c r="L101" s="161"/>
      <c r="M101" s="183"/>
      <c r="O101" s="182"/>
      <c r="P101" s="161"/>
      <c r="Q101" s="161"/>
      <c r="R101" s="183"/>
      <c r="T101" s="182"/>
      <c r="U101" s="161"/>
      <c r="V101" s="161"/>
      <c r="W101" s="183"/>
      <c r="Y101" s="182"/>
      <c r="Z101" s="161"/>
      <c r="AA101" s="161"/>
      <c r="AB101" s="183"/>
      <c r="AD101" s="182"/>
      <c r="AE101" s="161"/>
      <c r="AF101" s="161"/>
      <c r="AG101" s="183"/>
      <c r="AI101" s="182"/>
      <c r="AJ101" s="161"/>
      <c r="AK101" s="161"/>
      <c r="AL101" s="183"/>
      <c r="AN101" s="182"/>
      <c r="AO101" s="161"/>
      <c r="AP101" s="161"/>
      <c r="AQ101" s="183"/>
      <c r="AS101" s="182"/>
      <c r="AT101" s="161"/>
      <c r="AU101" s="161"/>
      <c r="AV101" s="183"/>
      <c r="AX101" s="182"/>
      <c r="AY101" s="161"/>
      <c r="AZ101" s="161"/>
      <c r="BA101" s="183"/>
    </row>
    <row r="102" spans="5:53" x14ac:dyDescent="0.25">
      <c r="E102" s="182"/>
      <c r="F102" s="161"/>
      <c r="G102" s="161"/>
      <c r="H102" s="183"/>
      <c r="J102" s="182"/>
      <c r="K102" s="161"/>
      <c r="L102" s="161"/>
      <c r="M102" s="183"/>
      <c r="O102" s="182"/>
      <c r="P102" s="161"/>
      <c r="Q102" s="161"/>
      <c r="R102" s="183"/>
      <c r="T102" s="182"/>
      <c r="U102" s="161"/>
      <c r="V102" s="161"/>
      <c r="W102" s="183"/>
      <c r="Y102" s="182"/>
      <c r="Z102" s="161"/>
      <c r="AA102" s="161"/>
      <c r="AB102" s="183"/>
      <c r="AD102" s="182"/>
      <c r="AE102" s="161"/>
      <c r="AF102" s="161"/>
      <c r="AG102" s="183"/>
      <c r="AI102" s="182"/>
      <c r="AJ102" s="161"/>
      <c r="AK102" s="161"/>
      <c r="AL102" s="183"/>
      <c r="AN102" s="182"/>
      <c r="AO102" s="161"/>
      <c r="AP102" s="161"/>
      <c r="AQ102" s="183"/>
      <c r="AS102" s="182"/>
      <c r="AT102" s="161"/>
      <c r="AU102" s="161"/>
      <c r="AV102" s="183"/>
      <c r="AX102" s="182"/>
      <c r="AY102" s="161"/>
      <c r="AZ102" s="161"/>
      <c r="BA102" s="183"/>
    </row>
    <row r="103" spans="5:53" x14ac:dyDescent="0.25">
      <c r="E103" s="182"/>
      <c r="F103" s="161"/>
      <c r="G103" s="161"/>
      <c r="H103" s="183"/>
      <c r="J103" s="182"/>
      <c r="K103" s="161"/>
      <c r="L103" s="161"/>
      <c r="M103" s="183"/>
      <c r="O103" s="182"/>
      <c r="P103" s="161"/>
      <c r="Q103" s="161"/>
      <c r="R103" s="183"/>
      <c r="T103" s="182"/>
      <c r="U103" s="161"/>
      <c r="V103" s="161"/>
      <c r="W103" s="183"/>
      <c r="Y103" s="182"/>
      <c r="Z103" s="161"/>
      <c r="AA103" s="161"/>
      <c r="AB103" s="183"/>
      <c r="AD103" s="182"/>
      <c r="AE103" s="161"/>
      <c r="AF103" s="161"/>
      <c r="AG103" s="183"/>
      <c r="AI103" s="182"/>
      <c r="AJ103" s="161"/>
      <c r="AK103" s="161"/>
      <c r="AL103" s="183"/>
      <c r="AN103" s="182"/>
      <c r="AO103" s="161"/>
      <c r="AP103" s="161"/>
      <c r="AQ103" s="183"/>
      <c r="AS103" s="182"/>
      <c r="AT103" s="161"/>
      <c r="AU103" s="161"/>
      <c r="AV103" s="183"/>
      <c r="AX103" s="182"/>
      <c r="AY103" s="161"/>
      <c r="AZ103" s="161"/>
      <c r="BA103" s="183"/>
    </row>
    <row r="104" spans="5:53" x14ac:dyDescent="0.25">
      <c r="E104" s="182"/>
      <c r="F104" s="161"/>
      <c r="G104" s="161"/>
      <c r="H104" s="183"/>
      <c r="J104" s="182"/>
      <c r="K104" s="161"/>
      <c r="L104" s="161"/>
      <c r="M104" s="183"/>
      <c r="O104" s="182"/>
      <c r="P104" s="161"/>
      <c r="Q104" s="161"/>
      <c r="R104" s="183"/>
      <c r="T104" s="182"/>
      <c r="U104" s="161"/>
      <c r="V104" s="161"/>
      <c r="W104" s="183"/>
      <c r="Y104" s="182"/>
      <c r="Z104" s="161"/>
      <c r="AA104" s="161"/>
      <c r="AB104" s="183"/>
      <c r="AD104" s="182"/>
      <c r="AE104" s="161"/>
      <c r="AF104" s="161"/>
      <c r="AG104" s="183"/>
      <c r="AI104" s="182"/>
      <c r="AJ104" s="161"/>
      <c r="AK104" s="161"/>
      <c r="AL104" s="183"/>
      <c r="AN104" s="182"/>
      <c r="AO104" s="161"/>
      <c r="AP104" s="161"/>
      <c r="AQ104" s="183"/>
      <c r="AS104" s="182"/>
      <c r="AT104" s="161"/>
      <c r="AU104" s="161"/>
      <c r="AV104" s="183"/>
      <c r="AX104" s="182"/>
      <c r="AY104" s="161"/>
      <c r="AZ104" s="161"/>
      <c r="BA104" s="183"/>
    </row>
    <row r="105" spans="5:53" x14ac:dyDescent="0.25">
      <c r="E105" s="182"/>
      <c r="F105" s="161"/>
      <c r="G105" s="161"/>
      <c r="H105" s="183"/>
      <c r="J105" s="182"/>
      <c r="K105" s="161"/>
      <c r="L105" s="161"/>
      <c r="M105" s="183"/>
      <c r="O105" s="182"/>
      <c r="P105" s="161"/>
      <c r="Q105" s="161"/>
      <c r="R105" s="183"/>
      <c r="T105" s="182"/>
      <c r="U105" s="161"/>
      <c r="V105" s="161"/>
      <c r="W105" s="183"/>
      <c r="Y105" s="182"/>
      <c r="Z105" s="161"/>
      <c r="AA105" s="161"/>
      <c r="AB105" s="183"/>
      <c r="AD105" s="182"/>
      <c r="AE105" s="161"/>
      <c r="AF105" s="161"/>
      <c r="AG105" s="183"/>
      <c r="AI105" s="182"/>
      <c r="AJ105" s="161"/>
      <c r="AK105" s="161"/>
      <c r="AL105" s="183"/>
      <c r="AN105" s="182"/>
      <c r="AO105" s="161"/>
      <c r="AP105" s="161"/>
      <c r="AQ105" s="183"/>
      <c r="AS105" s="182"/>
      <c r="AT105" s="161"/>
      <c r="AU105" s="161"/>
      <c r="AV105" s="183"/>
      <c r="AX105" s="182"/>
      <c r="AY105" s="161"/>
      <c r="AZ105" s="161"/>
      <c r="BA105" s="183"/>
    </row>
    <row r="106" spans="5:53" x14ac:dyDescent="0.25">
      <c r="E106" s="182"/>
      <c r="F106" s="161"/>
      <c r="G106" s="161"/>
      <c r="H106" s="183"/>
      <c r="J106" s="182"/>
      <c r="K106" s="161"/>
      <c r="L106" s="161"/>
      <c r="M106" s="183"/>
      <c r="O106" s="182"/>
      <c r="P106" s="161"/>
      <c r="Q106" s="161"/>
      <c r="R106" s="183"/>
      <c r="T106" s="182"/>
      <c r="U106" s="161"/>
      <c r="V106" s="161"/>
      <c r="W106" s="183"/>
      <c r="Y106" s="182"/>
      <c r="Z106" s="161"/>
      <c r="AA106" s="161"/>
      <c r="AB106" s="183"/>
      <c r="AD106" s="182"/>
      <c r="AE106" s="161"/>
      <c r="AF106" s="161"/>
      <c r="AG106" s="183"/>
      <c r="AI106" s="182"/>
      <c r="AJ106" s="161"/>
      <c r="AK106" s="161"/>
      <c r="AL106" s="183"/>
      <c r="AN106" s="182"/>
      <c r="AO106" s="161"/>
      <c r="AP106" s="161"/>
      <c r="AQ106" s="183"/>
      <c r="AS106" s="182"/>
      <c r="AT106" s="161"/>
      <c r="AU106" s="161"/>
      <c r="AV106" s="183"/>
      <c r="AX106" s="182"/>
      <c r="AY106" s="161"/>
      <c r="AZ106" s="161"/>
      <c r="BA106" s="183"/>
    </row>
    <row r="107" spans="5:53" x14ac:dyDescent="0.25">
      <c r="E107" s="182"/>
      <c r="F107" s="161"/>
      <c r="G107" s="161"/>
      <c r="H107" s="183"/>
      <c r="J107" s="182"/>
      <c r="K107" s="161"/>
      <c r="L107" s="161"/>
      <c r="M107" s="183"/>
      <c r="O107" s="182"/>
      <c r="P107" s="161"/>
      <c r="Q107" s="161"/>
      <c r="R107" s="183"/>
      <c r="T107" s="182"/>
      <c r="U107" s="161"/>
      <c r="V107" s="161"/>
      <c r="W107" s="183"/>
      <c r="Y107" s="182"/>
      <c r="Z107" s="161"/>
      <c r="AA107" s="161"/>
      <c r="AB107" s="183"/>
      <c r="AD107" s="182"/>
      <c r="AE107" s="161"/>
      <c r="AF107" s="161"/>
      <c r="AG107" s="183"/>
      <c r="AI107" s="182"/>
      <c r="AJ107" s="161"/>
      <c r="AK107" s="161"/>
      <c r="AL107" s="183"/>
      <c r="AN107" s="182"/>
      <c r="AO107" s="161"/>
      <c r="AP107" s="161"/>
      <c r="AQ107" s="183"/>
      <c r="AS107" s="182"/>
      <c r="AT107" s="161"/>
      <c r="AU107" s="161"/>
      <c r="AV107" s="183"/>
      <c r="AX107" s="182"/>
      <c r="AY107" s="161"/>
      <c r="AZ107" s="161"/>
      <c r="BA107" s="183"/>
    </row>
    <row r="108" spans="5:53" x14ac:dyDescent="0.25">
      <c r="E108" s="182"/>
      <c r="F108" s="161"/>
      <c r="G108" s="161"/>
      <c r="H108" s="183"/>
      <c r="J108" s="182"/>
      <c r="K108" s="161"/>
      <c r="L108" s="161"/>
      <c r="M108" s="183"/>
      <c r="O108" s="182"/>
      <c r="P108" s="161"/>
      <c r="Q108" s="161"/>
      <c r="R108" s="183"/>
      <c r="T108" s="182"/>
      <c r="U108" s="161"/>
      <c r="V108" s="161"/>
      <c r="W108" s="183"/>
      <c r="Y108" s="182"/>
      <c r="Z108" s="161"/>
      <c r="AA108" s="161"/>
      <c r="AB108" s="183"/>
      <c r="AD108" s="182"/>
      <c r="AE108" s="161"/>
      <c r="AF108" s="161"/>
      <c r="AG108" s="183"/>
      <c r="AI108" s="182"/>
      <c r="AJ108" s="161"/>
      <c r="AK108" s="161"/>
      <c r="AL108" s="183"/>
      <c r="AN108" s="182"/>
      <c r="AO108" s="161"/>
      <c r="AP108" s="161"/>
      <c r="AQ108" s="183"/>
      <c r="AS108" s="182"/>
      <c r="AT108" s="161"/>
      <c r="AU108" s="161"/>
      <c r="AV108" s="183"/>
      <c r="AX108" s="182"/>
      <c r="AY108" s="161"/>
      <c r="AZ108" s="161"/>
      <c r="BA108" s="183"/>
    </row>
    <row r="109" spans="5:53" x14ac:dyDescent="0.25">
      <c r="E109" s="182"/>
      <c r="F109" s="161"/>
      <c r="G109" s="161"/>
      <c r="H109" s="183"/>
      <c r="J109" s="182"/>
      <c r="K109" s="161"/>
      <c r="L109" s="161"/>
      <c r="M109" s="183"/>
      <c r="O109" s="182"/>
      <c r="P109" s="161"/>
      <c r="Q109" s="161"/>
      <c r="R109" s="183"/>
      <c r="T109" s="182"/>
      <c r="U109" s="161"/>
      <c r="V109" s="161"/>
      <c r="W109" s="183"/>
      <c r="Y109" s="182"/>
      <c r="Z109" s="161"/>
      <c r="AA109" s="161"/>
      <c r="AB109" s="183"/>
      <c r="AD109" s="182"/>
      <c r="AE109" s="161"/>
      <c r="AF109" s="161"/>
      <c r="AG109" s="183"/>
      <c r="AI109" s="182"/>
      <c r="AJ109" s="161"/>
      <c r="AK109" s="161"/>
      <c r="AL109" s="183"/>
      <c r="AN109" s="182"/>
      <c r="AO109" s="161"/>
      <c r="AP109" s="161"/>
      <c r="AQ109" s="183"/>
      <c r="AS109" s="182"/>
      <c r="AT109" s="161"/>
      <c r="AU109" s="161"/>
      <c r="AV109" s="183"/>
      <c r="AX109" s="182"/>
      <c r="AY109" s="161"/>
      <c r="AZ109" s="161"/>
      <c r="BA109" s="183"/>
    </row>
    <row r="110" spans="5:53" x14ac:dyDescent="0.25">
      <c r="E110" s="184"/>
      <c r="F110" s="185"/>
      <c r="G110" s="185"/>
      <c r="H110" s="186"/>
      <c r="J110" s="184"/>
      <c r="K110" s="185"/>
      <c r="L110" s="185"/>
      <c r="M110" s="186"/>
      <c r="O110" s="184"/>
      <c r="P110" s="185"/>
      <c r="Q110" s="185"/>
      <c r="R110" s="186"/>
      <c r="T110" s="184"/>
      <c r="U110" s="185"/>
      <c r="V110" s="185"/>
      <c r="W110" s="186"/>
      <c r="Y110" s="184"/>
      <c r="Z110" s="185"/>
      <c r="AA110" s="185"/>
      <c r="AB110" s="186"/>
      <c r="AD110" s="184"/>
      <c r="AE110" s="185"/>
      <c r="AF110" s="185"/>
      <c r="AG110" s="186"/>
      <c r="AI110" s="184"/>
      <c r="AJ110" s="185"/>
      <c r="AK110" s="185"/>
      <c r="AL110" s="186"/>
      <c r="AN110" s="184"/>
      <c r="AO110" s="185"/>
      <c r="AP110" s="185"/>
      <c r="AQ110" s="186"/>
      <c r="AS110" s="184"/>
      <c r="AT110" s="185"/>
      <c r="AU110" s="185"/>
      <c r="AV110" s="186"/>
      <c r="AX110" s="184"/>
      <c r="AY110" s="185"/>
      <c r="AZ110" s="185"/>
      <c r="BA110" s="186"/>
    </row>
    <row r="113" spans="2:53" x14ac:dyDescent="0.25">
      <c r="B113" s="188" t="s">
        <v>61</v>
      </c>
      <c r="C113" s="189"/>
      <c r="D113" s="190"/>
      <c r="E113" s="167" t="s">
        <v>48</v>
      </c>
      <c r="F113" s="167"/>
      <c r="G113" s="167"/>
      <c r="H113" s="167"/>
      <c r="I113" s="8"/>
      <c r="J113" s="166" t="s">
        <v>49</v>
      </c>
      <c r="K113" s="167"/>
      <c r="L113" s="167"/>
      <c r="M113" s="168"/>
      <c r="N113" s="7"/>
      <c r="O113" s="166" t="s">
        <v>50</v>
      </c>
      <c r="P113" s="167"/>
      <c r="Q113" s="167"/>
      <c r="R113" s="168"/>
      <c r="T113" s="166" t="s">
        <v>51</v>
      </c>
      <c r="U113" s="167"/>
      <c r="V113" s="167"/>
      <c r="W113" s="168"/>
      <c r="Y113" s="166" t="s">
        <v>52</v>
      </c>
      <c r="Z113" s="167"/>
      <c r="AA113" s="167"/>
      <c r="AB113" s="168"/>
      <c r="AD113" s="166" t="s">
        <v>53</v>
      </c>
      <c r="AE113" s="167"/>
      <c r="AF113" s="167"/>
      <c r="AG113" s="168"/>
      <c r="AI113" s="166" t="s">
        <v>54</v>
      </c>
      <c r="AJ113" s="167"/>
      <c r="AK113" s="167"/>
      <c r="AL113" s="168"/>
      <c r="AN113" s="166" t="s">
        <v>55</v>
      </c>
      <c r="AO113" s="167"/>
      <c r="AP113" s="167"/>
      <c r="AQ113" s="168"/>
      <c r="AS113" s="166" t="s">
        <v>56</v>
      </c>
      <c r="AT113" s="167"/>
      <c r="AU113" s="167"/>
      <c r="AV113" s="168"/>
      <c r="AX113" s="166" t="s">
        <v>57</v>
      </c>
      <c r="AY113" s="167"/>
      <c r="AZ113" s="167"/>
      <c r="BA113" s="168"/>
    </row>
    <row r="114" spans="2:53" x14ac:dyDescent="0.25">
      <c r="B114" s="191"/>
      <c r="C114" s="192"/>
      <c r="D114" s="193"/>
      <c r="E114" s="179" t="s">
        <v>361</v>
      </c>
      <c r="F114" s="180"/>
      <c r="G114" s="180"/>
      <c r="H114" s="181"/>
      <c r="J114" s="179"/>
      <c r="K114" s="180"/>
      <c r="L114" s="180"/>
      <c r="M114" s="181"/>
      <c r="O114" s="179"/>
      <c r="P114" s="180"/>
      <c r="Q114" s="180"/>
      <c r="R114" s="181"/>
      <c r="T114" s="179"/>
      <c r="U114" s="180"/>
      <c r="V114" s="180"/>
      <c r="W114" s="181"/>
      <c r="Y114" s="179"/>
      <c r="Z114" s="180"/>
      <c r="AA114" s="180"/>
      <c r="AB114" s="181"/>
      <c r="AD114" s="179"/>
      <c r="AE114" s="180"/>
      <c r="AF114" s="180"/>
      <c r="AG114" s="181"/>
      <c r="AI114" s="179"/>
      <c r="AJ114" s="180"/>
      <c r="AK114" s="180"/>
      <c r="AL114" s="181"/>
      <c r="AN114" s="179"/>
      <c r="AO114" s="180"/>
      <c r="AP114" s="180"/>
      <c r="AQ114" s="181"/>
      <c r="AS114" s="179"/>
      <c r="AT114" s="180"/>
      <c r="AU114" s="180"/>
      <c r="AV114" s="181"/>
      <c r="AX114" s="179"/>
      <c r="AY114" s="180"/>
      <c r="AZ114" s="180"/>
      <c r="BA114" s="181"/>
    </row>
    <row r="115" spans="2:53" x14ac:dyDescent="0.25">
      <c r="E115" s="182"/>
      <c r="F115" s="161"/>
      <c r="G115" s="161"/>
      <c r="H115" s="183"/>
      <c r="J115" s="182"/>
      <c r="K115" s="161"/>
      <c r="L115" s="161"/>
      <c r="M115" s="183"/>
      <c r="O115" s="182"/>
      <c r="P115" s="161"/>
      <c r="Q115" s="161"/>
      <c r="R115" s="183"/>
      <c r="T115" s="182"/>
      <c r="U115" s="161"/>
      <c r="V115" s="161"/>
      <c r="W115" s="183"/>
      <c r="Y115" s="182"/>
      <c r="Z115" s="161"/>
      <c r="AA115" s="161"/>
      <c r="AB115" s="183"/>
      <c r="AD115" s="182"/>
      <c r="AE115" s="161"/>
      <c r="AF115" s="161"/>
      <c r="AG115" s="183"/>
      <c r="AI115" s="182"/>
      <c r="AJ115" s="161"/>
      <c r="AK115" s="161"/>
      <c r="AL115" s="183"/>
      <c r="AN115" s="182"/>
      <c r="AO115" s="161"/>
      <c r="AP115" s="161"/>
      <c r="AQ115" s="183"/>
      <c r="AS115" s="182"/>
      <c r="AT115" s="161"/>
      <c r="AU115" s="161"/>
      <c r="AV115" s="183"/>
      <c r="AX115" s="182"/>
      <c r="AY115" s="161"/>
      <c r="AZ115" s="161"/>
      <c r="BA115" s="183"/>
    </row>
    <row r="116" spans="2:53" x14ac:dyDescent="0.25">
      <c r="E116" s="182"/>
      <c r="F116" s="161"/>
      <c r="G116" s="161"/>
      <c r="H116" s="183"/>
      <c r="J116" s="182"/>
      <c r="K116" s="161"/>
      <c r="L116" s="161"/>
      <c r="M116" s="183"/>
      <c r="O116" s="182"/>
      <c r="P116" s="161"/>
      <c r="Q116" s="161"/>
      <c r="R116" s="183"/>
      <c r="T116" s="182"/>
      <c r="U116" s="161"/>
      <c r="V116" s="161"/>
      <c r="W116" s="183"/>
      <c r="Y116" s="182"/>
      <c r="Z116" s="161"/>
      <c r="AA116" s="161"/>
      <c r="AB116" s="183"/>
      <c r="AD116" s="182"/>
      <c r="AE116" s="161"/>
      <c r="AF116" s="161"/>
      <c r="AG116" s="183"/>
      <c r="AI116" s="182"/>
      <c r="AJ116" s="161"/>
      <c r="AK116" s="161"/>
      <c r="AL116" s="183"/>
      <c r="AN116" s="182"/>
      <c r="AO116" s="161"/>
      <c r="AP116" s="161"/>
      <c r="AQ116" s="183"/>
      <c r="AS116" s="182"/>
      <c r="AT116" s="161"/>
      <c r="AU116" s="161"/>
      <c r="AV116" s="183"/>
      <c r="AX116" s="182"/>
      <c r="AY116" s="161"/>
      <c r="AZ116" s="161"/>
      <c r="BA116" s="183"/>
    </row>
    <row r="117" spans="2:53" x14ac:dyDescent="0.25">
      <c r="E117" s="182"/>
      <c r="F117" s="161"/>
      <c r="G117" s="161"/>
      <c r="H117" s="183"/>
      <c r="J117" s="182"/>
      <c r="K117" s="161"/>
      <c r="L117" s="161"/>
      <c r="M117" s="183"/>
      <c r="O117" s="182"/>
      <c r="P117" s="161"/>
      <c r="Q117" s="161"/>
      <c r="R117" s="183"/>
      <c r="T117" s="182"/>
      <c r="U117" s="161"/>
      <c r="V117" s="161"/>
      <c r="W117" s="183"/>
      <c r="Y117" s="182"/>
      <c r="Z117" s="161"/>
      <c r="AA117" s="161"/>
      <c r="AB117" s="183"/>
      <c r="AD117" s="182"/>
      <c r="AE117" s="161"/>
      <c r="AF117" s="161"/>
      <c r="AG117" s="183"/>
      <c r="AI117" s="182"/>
      <c r="AJ117" s="161"/>
      <c r="AK117" s="161"/>
      <c r="AL117" s="183"/>
      <c r="AN117" s="182"/>
      <c r="AO117" s="161"/>
      <c r="AP117" s="161"/>
      <c r="AQ117" s="183"/>
      <c r="AS117" s="182"/>
      <c r="AT117" s="161"/>
      <c r="AU117" s="161"/>
      <c r="AV117" s="183"/>
      <c r="AX117" s="182"/>
      <c r="AY117" s="161"/>
      <c r="AZ117" s="161"/>
      <c r="BA117" s="183"/>
    </row>
    <row r="118" spans="2:53" x14ac:dyDescent="0.25">
      <c r="E118" s="182"/>
      <c r="F118" s="161"/>
      <c r="G118" s="161"/>
      <c r="H118" s="183"/>
      <c r="J118" s="182"/>
      <c r="K118" s="161"/>
      <c r="L118" s="161"/>
      <c r="M118" s="183"/>
      <c r="O118" s="182"/>
      <c r="P118" s="161"/>
      <c r="Q118" s="161"/>
      <c r="R118" s="183"/>
      <c r="T118" s="182"/>
      <c r="U118" s="161"/>
      <c r="V118" s="161"/>
      <c r="W118" s="183"/>
      <c r="Y118" s="182"/>
      <c r="Z118" s="161"/>
      <c r="AA118" s="161"/>
      <c r="AB118" s="183"/>
      <c r="AD118" s="182"/>
      <c r="AE118" s="161"/>
      <c r="AF118" s="161"/>
      <c r="AG118" s="183"/>
      <c r="AI118" s="182"/>
      <c r="AJ118" s="161"/>
      <c r="AK118" s="161"/>
      <c r="AL118" s="183"/>
      <c r="AN118" s="182"/>
      <c r="AO118" s="161"/>
      <c r="AP118" s="161"/>
      <c r="AQ118" s="183"/>
      <c r="AS118" s="182"/>
      <c r="AT118" s="161"/>
      <c r="AU118" s="161"/>
      <c r="AV118" s="183"/>
      <c r="AX118" s="182"/>
      <c r="AY118" s="161"/>
      <c r="AZ118" s="161"/>
      <c r="BA118" s="183"/>
    </row>
    <row r="119" spans="2:53" x14ac:dyDescent="0.25">
      <c r="E119" s="182"/>
      <c r="F119" s="161"/>
      <c r="G119" s="161"/>
      <c r="H119" s="183"/>
      <c r="J119" s="182"/>
      <c r="K119" s="161"/>
      <c r="L119" s="161"/>
      <c r="M119" s="183"/>
      <c r="O119" s="182"/>
      <c r="P119" s="161"/>
      <c r="Q119" s="161"/>
      <c r="R119" s="183"/>
      <c r="T119" s="182"/>
      <c r="U119" s="161"/>
      <c r="V119" s="161"/>
      <c r="W119" s="183"/>
      <c r="Y119" s="182"/>
      <c r="Z119" s="161"/>
      <c r="AA119" s="161"/>
      <c r="AB119" s="183"/>
      <c r="AD119" s="182"/>
      <c r="AE119" s="161"/>
      <c r="AF119" s="161"/>
      <c r="AG119" s="183"/>
      <c r="AI119" s="182"/>
      <c r="AJ119" s="161"/>
      <c r="AK119" s="161"/>
      <c r="AL119" s="183"/>
      <c r="AN119" s="182"/>
      <c r="AO119" s="161"/>
      <c r="AP119" s="161"/>
      <c r="AQ119" s="183"/>
      <c r="AS119" s="182"/>
      <c r="AT119" s="161"/>
      <c r="AU119" s="161"/>
      <c r="AV119" s="183"/>
      <c r="AX119" s="182"/>
      <c r="AY119" s="161"/>
      <c r="AZ119" s="161"/>
      <c r="BA119" s="183"/>
    </row>
    <row r="120" spans="2:53" x14ac:dyDescent="0.25">
      <c r="E120" s="182"/>
      <c r="F120" s="161"/>
      <c r="G120" s="161"/>
      <c r="H120" s="183"/>
      <c r="J120" s="182"/>
      <c r="K120" s="161"/>
      <c r="L120" s="161"/>
      <c r="M120" s="183"/>
      <c r="O120" s="182"/>
      <c r="P120" s="161"/>
      <c r="Q120" s="161"/>
      <c r="R120" s="183"/>
      <c r="T120" s="182"/>
      <c r="U120" s="161"/>
      <c r="V120" s="161"/>
      <c r="W120" s="183"/>
      <c r="Y120" s="182"/>
      <c r="Z120" s="161"/>
      <c r="AA120" s="161"/>
      <c r="AB120" s="183"/>
      <c r="AD120" s="182"/>
      <c r="AE120" s="161"/>
      <c r="AF120" s="161"/>
      <c r="AG120" s="183"/>
      <c r="AI120" s="182"/>
      <c r="AJ120" s="161"/>
      <c r="AK120" s="161"/>
      <c r="AL120" s="183"/>
      <c r="AN120" s="182"/>
      <c r="AO120" s="161"/>
      <c r="AP120" s="161"/>
      <c r="AQ120" s="183"/>
      <c r="AS120" s="182"/>
      <c r="AT120" s="161"/>
      <c r="AU120" s="161"/>
      <c r="AV120" s="183"/>
      <c r="AX120" s="182"/>
      <c r="AY120" s="161"/>
      <c r="AZ120" s="161"/>
      <c r="BA120" s="183"/>
    </row>
    <row r="121" spans="2:53" x14ac:dyDescent="0.25">
      <c r="E121" s="182"/>
      <c r="F121" s="161"/>
      <c r="G121" s="161"/>
      <c r="H121" s="183"/>
      <c r="J121" s="182"/>
      <c r="K121" s="161"/>
      <c r="L121" s="161"/>
      <c r="M121" s="183"/>
      <c r="O121" s="182"/>
      <c r="P121" s="161"/>
      <c r="Q121" s="161"/>
      <c r="R121" s="183"/>
      <c r="T121" s="182"/>
      <c r="U121" s="161"/>
      <c r="V121" s="161"/>
      <c r="W121" s="183"/>
      <c r="Y121" s="182"/>
      <c r="Z121" s="161"/>
      <c r="AA121" s="161"/>
      <c r="AB121" s="183"/>
      <c r="AD121" s="182"/>
      <c r="AE121" s="161"/>
      <c r="AF121" s="161"/>
      <c r="AG121" s="183"/>
      <c r="AI121" s="182"/>
      <c r="AJ121" s="161"/>
      <c r="AK121" s="161"/>
      <c r="AL121" s="183"/>
      <c r="AN121" s="182"/>
      <c r="AO121" s="161"/>
      <c r="AP121" s="161"/>
      <c r="AQ121" s="183"/>
      <c r="AS121" s="182"/>
      <c r="AT121" s="161"/>
      <c r="AU121" s="161"/>
      <c r="AV121" s="183"/>
      <c r="AX121" s="182"/>
      <c r="AY121" s="161"/>
      <c r="AZ121" s="161"/>
      <c r="BA121" s="183"/>
    </row>
    <row r="122" spans="2:53" x14ac:dyDescent="0.25">
      <c r="E122" s="182"/>
      <c r="F122" s="161"/>
      <c r="G122" s="161"/>
      <c r="H122" s="183"/>
      <c r="J122" s="182"/>
      <c r="K122" s="161"/>
      <c r="L122" s="161"/>
      <c r="M122" s="183"/>
      <c r="O122" s="182"/>
      <c r="P122" s="161"/>
      <c r="Q122" s="161"/>
      <c r="R122" s="183"/>
      <c r="T122" s="182"/>
      <c r="U122" s="161"/>
      <c r="V122" s="161"/>
      <c r="W122" s="183"/>
      <c r="Y122" s="182"/>
      <c r="Z122" s="161"/>
      <c r="AA122" s="161"/>
      <c r="AB122" s="183"/>
      <c r="AD122" s="182"/>
      <c r="AE122" s="161"/>
      <c r="AF122" s="161"/>
      <c r="AG122" s="183"/>
      <c r="AI122" s="182"/>
      <c r="AJ122" s="161"/>
      <c r="AK122" s="161"/>
      <c r="AL122" s="183"/>
      <c r="AN122" s="182"/>
      <c r="AO122" s="161"/>
      <c r="AP122" s="161"/>
      <c r="AQ122" s="183"/>
      <c r="AS122" s="182"/>
      <c r="AT122" s="161"/>
      <c r="AU122" s="161"/>
      <c r="AV122" s="183"/>
      <c r="AX122" s="182"/>
      <c r="AY122" s="161"/>
      <c r="AZ122" s="161"/>
      <c r="BA122" s="183"/>
    </row>
    <row r="123" spans="2:53" x14ac:dyDescent="0.25">
      <c r="E123" s="182"/>
      <c r="F123" s="161"/>
      <c r="G123" s="161"/>
      <c r="H123" s="183"/>
      <c r="J123" s="182"/>
      <c r="K123" s="161"/>
      <c r="L123" s="161"/>
      <c r="M123" s="183"/>
      <c r="O123" s="182"/>
      <c r="P123" s="161"/>
      <c r="Q123" s="161"/>
      <c r="R123" s="183"/>
      <c r="T123" s="182"/>
      <c r="U123" s="161"/>
      <c r="V123" s="161"/>
      <c r="W123" s="183"/>
      <c r="Y123" s="182"/>
      <c r="Z123" s="161"/>
      <c r="AA123" s="161"/>
      <c r="AB123" s="183"/>
      <c r="AD123" s="182"/>
      <c r="AE123" s="161"/>
      <c r="AF123" s="161"/>
      <c r="AG123" s="183"/>
      <c r="AI123" s="182"/>
      <c r="AJ123" s="161"/>
      <c r="AK123" s="161"/>
      <c r="AL123" s="183"/>
      <c r="AN123" s="182"/>
      <c r="AO123" s="161"/>
      <c r="AP123" s="161"/>
      <c r="AQ123" s="183"/>
      <c r="AS123" s="182"/>
      <c r="AT123" s="161"/>
      <c r="AU123" s="161"/>
      <c r="AV123" s="183"/>
      <c r="AX123" s="182"/>
      <c r="AY123" s="161"/>
      <c r="AZ123" s="161"/>
      <c r="BA123" s="183"/>
    </row>
    <row r="124" spans="2:53" x14ac:dyDescent="0.25">
      <c r="E124" s="182"/>
      <c r="F124" s="161"/>
      <c r="G124" s="161"/>
      <c r="H124" s="183"/>
      <c r="J124" s="182"/>
      <c r="K124" s="161"/>
      <c r="L124" s="161"/>
      <c r="M124" s="183"/>
      <c r="O124" s="182"/>
      <c r="P124" s="161"/>
      <c r="Q124" s="161"/>
      <c r="R124" s="183"/>
      <c r="T124" s="182"/>
      <c r="U124" s="161"/>
      <c r="V124" s="161"/>
      <c r="W124" s="183"/>
      <c r="Y124" s="182"/>
      <c r="Z124" s="161"/>
      <c r="AA124" s="161"/>
      <c r="AB124" s="183"/>
      <c r="AD124" s="182"/>
      <c r="AE124" s="161"/>
      <c r="AF124" s="161"/>
      <c r="AG124" s="183"/>
      <c r="AI124" s="182"/>
      <c r="AJ124" s="161"/>
      <c r="AK124" s="161"/>
      <c r="AL124" s="183"/>
      <c r="AN124" s="182"/>
      <c r="AO124" s="161"/>
      <c r="AP124" s="161"/>
      <c r="AQ124" s="183"/>
      <c r="AS124" s="182"/>
      <c r="AT124" s="161"/>
      <c r="AU124" s="161"/>
      <c r="AV124" s="183"/>
      <c r="AX124" s="182"/>
      <c r="AY124" s="161"/>
      <c r="AZ124" s="161"/>
      <c r="BA124" s="183"/>
    </row>
    <row r="125" spans="2:53" x14ac:dyDescent="0.25">
      <c r="E125" s="182"/>
      <c r="F125" s="161"/>
      <c r="G125" s="161"/>
      <c r="H125" s="183"/>
      <c r="J125" s="182"/>
      <c r="K125" s="161"/>
      <c r="L125" s="161"/>
      <c r="M125" s="183"/>
      <c r="O125" s="182"/>
      <c r="P125" s="161"/>
      <c r="Q125" s="161"/>
      <c r="R125" s="183"/>
      <c r="T125" s="182"/>
      <c r="U125" s="161"/>
      <c r="V125" s="161"/>
      <c r="W125" s="183"/>
      <c r="Y125" s="182"/>
      <c r="Z125" s="161"/>
      <c r="AA125" s="161"/>
      <c r="AB125" s="183"/>
      <c r="AD125" s="182"/>
      <c r="AE125" s="161"/>
      <c r="AF125" s="161"/>
      <c r="AG125" s="183"/>
      <c r="AI125" s="182"/>
      <c r="AJ125" s="161"/>
      <c r="AK125" s="161"/>
      <c r="AL125" s="183"/>
      <c r="AN125" s="182"/>
      <c r="AO125" s="161"/>
      <c r="AP125" s="161"/>
      <c r="AQ125" s="183"/>
      <c r="AS125" s="182"/>
      <c r="AT125" s="161"/>
      <c r="AU125" s="161"/>
      <c r="AV125" s="183"/>
      <c r="AX125" s="182"/>
      <c r="AY125" s="161"/>
      <c r="AZ125" s="161"/>
      <c r="BA125" s="183"/>
    </row>
    <row r="126" spans="2:53" x14ac:dyDescent="0.25">
      <c r="E126" s="182"/>
      <c r="F126" s="161"/>
      <c r="G126" s="161"/>
      <c r="H126" s="183"/>
      <c r="J126" s="182"/>
      <c r="K126" s="161"/>
      <c r="L126" s="161"/>
      <c r="M126" s="183"/>
      <c r="O126" s="182"/>
      <c r="P126" s="161"/>
      <c r="Q126" s="161"/>
      <c r="R126" s="183"/>
      <c r="T126" s="182"/>
      <c r="U126" s="161"/>
      <c r="V126" s="161"/>
      <c r="W126" s="183"/>
      <c r="Y126" s="182"/>
      <c r="Z126" s="161"/>
      <c r="AA126" s="161"/>
      <c r="AB126" s="183"/>
      <c r="AD126" s="182"/>
      <c r="AE126" s="161"/>
      <c r="AF126" s="161"/>
      <c r="AG126" s="183"/>
      <c r="AI126" s="182"/>
      <c r="AJ126" s="161"/>
      <c r="AK126" s="161"/>
      <c r="AL126" s="183"/>
      <c r="AN126" s="182"/>
      <c r="AO126" s="161"/>
      <c r="AP126" s="161"/>
      <c r="AQ126" s="183"/>
      <c r="AS126" s="182"/>
      <c r="AT126" s="161"/>
      <c r="AU126" s="161"/>
      <c r="AV126" s="183"/>
      <c r="AX126" s="182"/>
      <c r="AY126" s="161"/>
      <c r="AZ126" s="161"/>
      <c r="BA126" s="183"/>
    </row>
    <row r="127" spans="2:53" x14ac:dyDescent="0.25">
      <c r="E127" s="182"/>
      <c r="F127" s="161"/>
      <c r="G127" s="161"/>
      <c r="H127" s="183"/>
      <c r="J127" s="182"/>
      <c r="K127" s="161"/>
      <c r="L127" s="161"/>
      <c r="M127" s="183"/>
      <c r="O127" s="182"/>
      <c r="P127" s="161"/>
      <c r="Q127" s="161"/>
      <c r="R127" s="183"/>
      <c r="T127" s="182"/>
      <c r="U127" s="161"/>
      <c r="V127" s="161"/>
      <c r="W127" s="183"/>
      <c r="Y127" s="182"/>
      <c r="Z127" s="161"/>
      <c r="AA127" s="161"/>
      <c r="AB127" s="183"/>
      <c r="AD127" s="182"/>
      <c r="AE127" s="161"/>
      <c r="AF127" s="161"/>
      <c r="AG127" s="183"/>
      <c r="AI127" s="182"/>
      <c r="AJ127" s="161"/>
      <c r="AK127" s="161"/>
      <c r="AL127" s="183"/>
      <c r="AN127" s="182"/>
      <c r="AO127" s="161"/>
      <c r="AP127" s="161"/>
      <c r="AQ127" s="183"/>
      <c r="AS127" s="182"/>
      <c r="AT127" s="161"/>
      <c r="AU127" s="161"/>
      <c r="AV127" s="183"/>
      <c r="AX127" s="182"/>
      <c r="AY127" s="161"/>
      <c r="AZ127" s="161"/>
      <c r="BA127" s="183"/>
    </row>
    <row r="128" spans="2:53" x14ac:dyDescent="0.25">
      <c r="E128" s="184"/>
      <c r="F128" s="185"/>
      <c r="G128" s="185"/>
      <c r="H128" s="186"/>
      <c r="J128" s="184"/>
      <c r="K128" s="185"/>
      <c r="L128" s="185"/>
      <c r="M128" s="186"/>
      <c r="O128" s="184"/>
      <c r="P128" s="185"/>
      <c r="Q128" s="185"/>
      <c r="R128" s="186"/>
      <c r="T128" s="184"/>
      <c r="U128" s="185"/>
      <c r="V128" s="185"/>
      <c r="W128" s="186"/>
      <c r="Y128" s="184"/>
      <c r="Z128" s="185"/>
      <c r="AA128" s="185"/>
      <c r="AB128" s="186"/>
      <c r="AD128" s="184"/>
      <c r="AE128" s="185"/>
      <c r="AF128" s="185"/>
      <c r="AG128" s="186"/>
      <c r="AI128" s="184"/>
      <c r="AJ128" s="185"/>
      <c r="AK128" s="185"/>
      <c r="AL128" s="186"/>
      <c r="AN128" s="184"/>
      <c r="AO128" s="185"/>
      <c r="AP128" s="185"/>
      <c r="AQ128" s="186"/>
      <c r="AS128" s="184"/>
      <c r="AT128" s="185"/>
      <c r="AU128" s="185"/>
      <c r="AV128" s="186"/>
      <c r="AX128" s="184"/>
      <c r="AY128" s="185"/>
      <c r="AZ128" s="185"/>
      <c r="BA128" s="186"/>
    </row>
    <row r="131" spans="2:53" x14ac:dyDescent="0.25">
      <c r="B131" s="188" t="s">
        <v>230</v>
      </c>
      <c r="C131" s="189"/>
      <c r="D131" s="190"/>
      <c r="E131" s="167" t="s">
        <v>231</v>
      </c>
      <c r="F131" s="167"/>
      <c r="G131" s="167"/>
      <c r="H131" s="167"/>
      <c r="I131" s="8"/>
      <c r="J131" s="166" t="s">
        <v>232</v>
      </c>
      <c r="K131" s="167"/>
      <c r="L131" s="167"/>
      <c r="M131" s="168"/>
      <c r="N131" s="7"/>
      <c r="O131" s="166" t="s">
        <v>233</v>
      </c>
      <c r="P131" s="167"/>
      <c r="Q131" s="167"/>
      <c r="R131" s="168"/>
      <c r="T131" s="166" t="s">
        <v>234</v>
      </c>
      <c r="U131" s="167"/>
      <c r="V131" s="167"/>
      <c r="W131" s="168"/>
      <c r="Y131" s="166" t="s">
        <v>235</v>
      </c>
      <c r="Z131" s="167"/>
      <c r="AA131" s="167"/>
      <c r="AB131" s="168"/>
      <c r="AD131" s="166" t="s">
        <v>236</v>
      </c>
      <c r="AE131" s="167"/>
      <c r="AF131" s="167"/>
      <c r="AG131" s="168"/>
      <c r="AI131" s="166" t="s">
        <v>237</v>
      </c>
      <c r="AJ131" s="167"/>
      <c r="AK131" s="167"/>
      <c r="AL131" s="168"/>
      <c r="AN131" s="166" t="s">
        <v>238</v>
      </c>
      <c r="AO131" s="167"/>
      <c r="AP131" s="167"/>
      <c r="AQ131" s="168"/>
      <c r="AS131" s="166" t="s">
        <v>239</v>
      </c>
      <c r="AT131" s="167"/>
      <c r="AU131" s="167"/>
      <c r="AV131" s="168"/>
      <c r="AX131" s="166" t="s">
        <v>240</v>
      </c>
      <c r="AY131" s="167"/>
      <c r="AZ131" s="167"/>
      <c r="BA131" s="168"/>
    </row>
    <row r="132" spans="2:53" x14ac:dyDescent="0.25">
      <c r="B132" s="191"/>
      <c r="C132" s="192"/>
      <c r="D132" s="193"/>
      <c r="E132" s="179" t="s">
        <v>362</v>
      </c>
      <c r="F132" s="180"/>
      <c r="G132" s="180"/>
      <c r="H132" s="181"/>
      <c r="J132" s="179" t="s">
        <v>363</v>
      </c>
      <c r="K132" s="180"/>
      <c r="L132" s="180"/>
      <c r="M132" s="181"/>
      <c r="O132" s="179" t="s">
        <v>364</v>
      </c>
      <c r="P132" s="180"/>
      <c r="Q132" s="180"/>
      <c r="R132" s="181"/>
      <c r="T132" s="179" t="s">
        <v>365</v>
      </c>
      <c r="U132" s="180"/>
      <c r="V132" s="180"/>
      <c r="W132" s="181"/>
      <c r="Y132" s="179"/>
      <c r="Z132" s="180"/>
      <c r="AA132" s="180"/>
      <c r="AB132" s="181"/>
      <c r="AD132" s="179"/>
      <c r="AE132" s="180"/>
      <c r="AF132" s="180"/>
      <c r="AG132" s="181"/>
      <c r="AI132" s="179"/>
      <c r="AJ132" s="180"/>
      <c r="AK132" s="180"/>
      <c r="AL132" s="181"/>
      <c r="AN132" s="179"/>
      <c r="AO132" s="180"/>
      <c r="AP132" s="180"/>
      <c r="AQ132" s="181"/>
      <c r="AS132" s="179"/>
      <c r="AT132" s="180"/>
      <c r="AU132" s="180"/>
      <c r="AV132" s="181"/>
      <c r="AX132" s="179"/>
      <c r="AY132" s="180"/>
      <c r="AZ132" s="180"/>
      <c r="BA132" s="181"/>
    </row>
    <row r="133" spans="2:53" x14ac:dyDescent="0.25">
      <c r="E133" s="182"/>
      <c r="F133" s="161"/>
      <c r="G133" s="161"/>
      <c r="H133" s="183"/>
      <c r="J133" s="182"/>
      <c r="K133" s="161"/>
      <c r="L133" s="161"/>
      <c r="M133" s="183"/>
      <c r="O133" s="182"/>
      <c r="P133" s="161"/>
      <c r="Q133" s="161"/>
      <c r="R133" s="183"/>
      <c r="T133" s="182"/>
      <c r="U133" s="161"/>
      <c r="V133" s="161"/>
      <c r="W133" s="183"/>
      <c r="Y133" s="182"/>
      <c r="Z133" s="161"/>
      <c r="AA133" s="161"/>
      <c r="AB133" s="183"/>
      <c r="AD133" s="182"/>
      <c r="AE133" s="161"/>
      <c r="AF133" s="161"/>
      <c r="AG133" s="183"/>
      <c r="AI133" s="182"/>
      <c r="AJ133" s="161"/>
      <c r="AK133" s="161"/>
      <c r="AL133" s="183"/>
      <c r="AN133" s="182"/>
      <c r="AO133" s="161"/>
      <c r="AP133" s="161"/>
      <c r="AQ133" s="183"/>
      <c r="AS133" s="182"/>
      <c r="AT133" s="161"/>
      <c r="AU133" s="161"/>
      <c r="AV133" s="183"/>
      <c r="AX133" s="182"/>
      <c r="AY133" s="161"/>
      <c r="AZ133" s="161"/>
      <c r="BA133" s="183"/>
    </row>
    <row r="134" spans="2:53" x14ac:dyDescent="0.25">
      <c r="E134" s="182"/>
      <c r="F134" s="161"/>
      <c r="G134" s="161"/>
      <c r="H134" s="183"/>
      <c r="J134" s="182"/>
      <c r="K134" s="161"/>
      <c r="L134" s="161"/>
      <c r="M134" s="183"/>
      <c r="O134" s="182"/>
      <c r="P134" s="161"/>
      <c r="Q134" s="161"/>
      <c r="R134" s="183"/>
      <c r="T134" s="182"/>
      <c r="U134" s="161"/>
      <c r="V134" s="161"/>
      <c r="W134" s="183"/>
      <c r="Y134" s="182"/>
      <c r="Z134" s="161"/>
      <c r="AA134" s="161"/>
      <c r="AB134" s="183"/>
      <c r="AD134" s="182"/>
      <c r="AE134" s="161"/>
      <c r="AF134" s="161"/>
      <c r="AG134" s="183"/>
      <c r="AI134" s="182"/>
      <c r="AJ134" s="161"/>
      <c r="AK134" s="161"/>
      <c r="AL134" s="183"/>
      <c r="AN134" s="182"/>
      <c r="AO134" s="161"/>
      <c r="AP134" s="161"/>
      <c r="AQ134" s="183"/>
      <c r="AS134" s="182"/>
      <c r="AT134" s="161"/>
      <c r="AU134" s="161"/>
      <c r="AV134" s="183"/>
      <c r="AX134" s="182"/>
      <c r="AY134" s="161"/>
      <c r="AZ134" s="161"/>
      <c r="BA134" s="183"/>
    </row>
    <row r="135" spans="2:53" x14ac:dyDescent="0.25">
      <c r="E135" s="182"/>
      <c r="F135" s="161"/>
      <c r="G135" s="161"/>
      <c r="H135" s="183"/>
      <c r="J135" s="182"/>
      <c r="K135" s="161"/>
      <c r="L135" s="161"/>
      <c r="M135" s="183"/>
      <c r="O135" s="182"/>
      <c r="P135" s="161"/>
      <c r="Q135" s="161"/>
      <c r="R135" s="183"/>
      <c r="T135" s="182"/>
      <c r="U135" s="161"/>
      <c r="V135" s="161"/>
      <c r="W135" s="183"/>
      <c r="Y135" s="182"/>
      <c r="Z135" s="161"/>
      <c r="AA135" s="161"/>
      <c r="AB135" s="183"/>
      <c r="AD135" s="182"/>
      <c r="AE135" s="161"/>
      <c r="AF135" s="161"/>
      <c r="AG135" s="183"/>
      <c r="AI135" s="182"/>
      <c r="AJ135" s="161"/>
      <c r="AK135" s="161"/>
      <c r="AL135" s="183"/>
      <c r="AN135" s="182"/>
      <c r="AO135" s="161"/>
      <c r="AP135" s="161"/>
      <c r="AQ135" s="183"/>
      <c r="AS135" s="182"/>
      <c r="AT135" s="161"/>
      <c r="AU135" s="161"/>
      <c r="AV135" s="183"/>
      <c r="AX135" s="182"/>
      <c r="AY135" s="161"/>
      <c r="AZ135" s="161"/>
      <c r="BA135" s="183"/>
    </row>
    <row r="136" spans="2:53" x14ac:dyDescent="0.25">
      <c r="E136" s="182"/>
      <c r="F136" s="161"/>
      <c r="G136" s="161"/>
      <c r="H136" s="183"/>
      <c r="J136" s="182"/>
      <c r="K136" s="161"/>
      <c r="L136" s="161"/>
      <c r="M136" s="183"/>
      <c r="O136" s="182"/>
      <c r="P136" s="161"/>
      <c r="Q136" s="161"/>
      <c r="R136" s="183"/>
      <c r="T136" s="182"/>
      <c r="U136" s="161"/>
      <c r="V136" s="161"/>
      <c r="W136" s="183"/>
      <c r="Y136" s="182"/>
      <c r="Z136" s="161"/>
      <c r="AA136" s="161"/>
      <c r="AB136" s="183"/>
      <c r="AD136" s="182"/>
      <c r="AE136" s="161"/>
      <c r="AF136" s="161"/>
      <c r="AG136" s="183"/>
      <c r="AI136" s="182"/>
      <c r="AJ136" s="161"/>
      <c r="AK136" s="161"/>
      <c r="AL136" s="183"/>
      <c r="AN136" s="182"/>
      <c r="AO136" s="161"/>
      <c r="AP136" s="161"/>
      <c r="AQ136" s="183"/>
      <c r="AS136" s="182"/>
      <c r="AT136" s="161"/>
      <c r="AU136" s="161"/>
      <c r="AV136" s="183"/>
      <c r="AX136" s="182"/>
      <c r="AY136" s="161"/>
      <c r="AZ136" s="161"/>
      <c r="BA136" s="183"/>
    </row>
    <row r="137" spans="2:53" x14ac:dyDescent="0.25">
      <c r="E137" s="182"/>
      <c r="F137" s="161"/>
      <c r="G137" s="161"/>
      <c r="H137" s="183"/>
      <c r="J137" s="182"/>
      <c r="K137" s="161"/>
      <c r="L137" s="161"/>
      <c r="M137" s="183"/>
      <c r="O137" s="182"/>
      <c r="P137" s="161"/>
      <c r="Q137" s="161"/>
      <c r="R137" s="183"/>
      <c r="T137" s="182"/>
      <c r="U137" s="161"/>
      <c r="V137" s="161"/>
      <c r="W137" s="183"/>
      <c r="Y137" s="182"/>
      <c r="Z137" s="161"/>
      <c r="AA137" s="161"/>
      <c r="AB137" s="183"/>
      <c r="AD137" s="182"/>
      <c r="AE137" s="161"/>
      <c r="AF137" s="161"/>
      <c r="AG137" s="183"/>
      <c r="AI137" s="182"/>
      <c r="AJ137" s="161"/>
      <c r="AK137" s="161"/>
      <c r="AL137" s="183"/>
      <c r="AN137" s="182"/>
      <c r="AO137" s="161"/>
      <c r="AP137" s="161"/>
      <c r="AQ137" s="183"/>
      <c r="AS137" s="182"/>
      <c r="AT137" s="161"/>
      <c r="AU137" s="161"/>
      <c r="AV137" s="183"/>
      <c r="AX137" s="182"/>
      <c r="AY137" s="161"/>
      <c r="AZ137" s="161"/>
      <c r="BA137" s="183"/>
    </row>
    <row r="138" spans="2:53" x14ac:dyDescent="0.25">
      <c r="E138" s="182"/>
      <c r="F138" s="161"/>
      <c r="G138" s="161"/>
      <c r="H138" s="183"/>
      <c r="J138" s="182"/>
      <c r="K138" s="161"/>
      <c r="L138" s="161"/>
      <c r="M138" s="183"/>
      <c r="O138" s="182"/>
      <c r="P138" s="161"/>
      <c r="Q138" s="161"/>
      <c r="R138" s="183"/>
      <c r="T138" s="182"/>
      <c r="U138" s="161"/>
      <c r="V138" s="161"/>
      <c r="W138" s="183"/>
      <c r="Y138" s="182"/>
      <c r="Z138" s="161"/>
      <c r="AA138" s="161"/>
      <c r="AB138" s="183"/>
      <c r="AD138" s="182"/>
      <c r="AE138" s="161"/>
      <c r="AF138" s="161"/>
      <c r="AG138" s="183"/>
      <c r="AI138" s="182"/>
      <c r="AJ138" s="161"/>
      <c r="AK138" s="161"/>
      <c r="AL138" s="183"/>
      <c r="AN138" s="182"/>
      <c r="AO138" s="161"/>
      <c r="AP138" s="161"/>
      <c r="AQ138" s="183"/>
      <c r="AS138" s="182"/>
      <c r="AT138" s="161"/>
      <c r="AU138" s="161"/>
      <c r="AV138" s="183"/>
      <c r="AX138" s="182"/>
      <c r="AY138" s="161"/>
      <c r="AZ138" s="161"/>
      <c r="BA138" s="183"/>
    </row>
    <row r="139" spans="2:53" x14ac:dyDescent="0.25">
      <c r="E139" s="182"/>
      <c r="F139" s="161"/>
      <c r="G139" s="161"/>
      <c r="H139" s="183"/>
      <c r="J139" s="182"/>
      <c r="K139" s="161"/>
      <c r="L139" s="161"/>
      <c r="M139" s="183"/>
      <c r="O139" s="182"/>
      <c r="P139" s="161"/>
      <c r="Q139" s="161"/>
      <c r="R139" s="183"/>
      <c r="T139" s="182"/>
      <c r="U139" s="161"/>
      <c r="V139" s="161"/>
      <c r="W139" s="183"/>
      <c r="Y139" s="182"/>
      <c r="Z139" s="161"/>
      <c r="AA139" s="161"/>
      <c r="AB139" s="183"/>
      <c r="AD139" s="182"/>
      <c r="AE139" s="161"/>
      <c r="AF139" s="161"/>
      <c r="AG139" s="183"/>
      <c r="AI139" s="182"/>
      <c r="AJ139" s="161"/>
      <c r="AK139" s="161"/>
      <c r="AL139" s="183"/>
      <c r="AN139" s="182"/>
      <c r="AO139" s="161"/>
      <c r="AP139" s="161"/>
      <c r="AQ139" s="183"/>
      <c r="AS139" s="182"/>
      <c r="AT139" s="161"/>
      <c r="AU139" s="161"/>
      <c r="AV139" s="183"/>
      <c r="AX139" s="182"/>
      <c r="AY139" s="161"/>
      <c r="AZ139" s="161"/>
      <c r="BA139" s="183"/>
    </row>
    <row r="140" spans="2:53" x14ac:dyDescent="0.25">
      <c r="E140" s="182"/>
      <c r="F140" s="161"/>
      <c r="G140" s="161"/>
      <c r="H140" s="183"/>
      <c r="J140" s="182"/>
      <c r="K140" s="161"/>
      <c r="L140" s="161"/>
      <c r="M140" s="183"/>
      <c r="O140" s="182"/>
      <c r="P140" s="161"/>
      <c r="Q140" s="161"/>
      <c r="R140" s="183"/>
      <c r="T140" s="182"/>
      <c r="U140" s="161"/>
      <c r="V140" s="161"/>
      <c r="W140" s="183"/>
      <c r="Y140" s="182"/>
      <c r="Z140" s="161"/>
      <c r="AA140" s="161"/>
      <c r="AB140" s="183"/>
      <c r="AD140" s="182"/>
      <c r="AE140" s="161"/>
      <c r="AF140" s="161"/>
      <c r="AG140" s="183"/>
      <c r="AI140" s="182"/>
      <c r="AJ140" s="161"/>
      <c r="AK140" s="161"/>
      <c r="AL140" s="183"/>
      <c r="AN140" s="182"/>
      <c r="AO140" s="161"/>
      <c r="AP140" s="161"/>
      <c r="AQ140" s="183"/>
      <c r="AS140" s="182"/>
      <c r="AT140" s="161"/>
      <c r="AU140" s="161"/>
      <c r="AV140" s="183"/>
      <c r="AX140" s="182"/>
      <c r="AY140" s="161"/>
      <c r="AZ140" s="161"/>
      <c r="BA140" s="183"/>
    </row>
    <row r="141" spans="2:53" x14ac:dyDescent="0.25">
      <c r="E141" s="182"/>
      <c r="F141" s="161"/>
      <c r="G141" s="161"/>
      <c r="H141" s="183"/>
      <c r="J141" s="182"/>
      <c r="K141" s="161"/>
      <c r="L141" s="161"/>
      <c r="M141" s="183"/>
      <c r="O141" s="182"/>
      <c r="P141" s="161"/>
      <c r="Q141" s="161"/>
      <c r="R141" s="183"/>
      <c r="T141" s="182"/>
      <c r="U141" s="161"/>
      <c r="V141" s="161"/>
      <c r="W141" s="183"/>
      <c r="Y141" s="182"/>
      <c r="Z141" s="161"/>
      <c r="AA141" s="161"/>
      <c r="AB141" s="183"/>
      <c r="AD141" s="182"/>
      <c r="AE141" s="161"/>
      <c r="AF141" s="161"/>
      <c r="AG141" s="183"/>
      <c r="AI141" s="182"/>
      <c r="AJ141" s="161"/>
      <c r="AK141" s="161"/>
      <c r="AL141" s="183"/>
      <c r="AN141" s="182"/>
      <c r="AO141" s="161"/>
      <c r="AP141" s="161"/>
      <c r="AQ141" s="183"/>
      <c r="AS141" s="182"/>
      <c r="AT141" s="161"/>
      <c r="AU141" s="161"/>
      <c r="AV141" s="183"/>
      <c r="AX141" s="182"/>
      <c r="AY141" s="161"/>
      <c r="AZ141" s="161"/>
      <c r="BA141" s="183"/>
    </row>
    <row r="142" spans="2:53" x14ac:dyDescent="0.25">
      <c r="E142" s="182"/>
      <c r="F142" s="161"/>
      <c r="G142" s="161"/>
      <c r="H142" s="183"/>
      <c r="J142" s="182"/>
      <c r="K142" s="161"/>
      <c r="L142" s="161"/>
      <c r="M142" s="183"/>
      <c r="O142" s="182"/>
      <c r="P142" s="161"/>
      <c r="Q142" s="161"/>
      <c r="R142" s="183"/>
      <c r="T142" s="182"/>
      <c r="U142" s="161"/>
      <c r="V142" s="161"/>
      <c r="W142" s="183"/>
      <c r="Y142" s="182"/>
      <c r="Z142" s="161"/>
      <c r="AA142" s="161"/>
      <c r="AB142" s="183"/>
      <c r="AD142" s="182"/>
      <c r="AE142" s="161"/>
      <c r="AF142" s="161"/>
      <c r="AG142" s="183"/>
      <c r="AI142" s="182"/>
      <c r="AJ142" s="161"/>
      <c r="AK142" s="161"/>
      <c r="AL142" s="183"/>
      <c r="AN142" s="182"/>
      <c r="AO142" s="161"/>
      <c r="AP142" s="161"/>
      <c r="AQ142" s="183"/>
      <c r="AS142" s="182"/>
      <c r="AT142" s="161"/>
      <c r="AU142" s="161"/>
      <c r="AV142" s="183"/>
      <c r="AX142" s="182"/>
      <c r="AY142" s="161"/>
      <c r="AZ142" s="161"/>
      <c r="BA142" s="183"/>
    </row>
    <row r="143" spans="2:53" x14ac:dyDescent="0.25">
      <c r="E143" s="182"/>
      <c r="F143" s="161"/>
      <c r="G143" s="161"/>
      <c r="H143" s="183"/>
      <c r="J143" s="182"/>
      <c r="K143" s="161"/>
      <c r="L143" s="161"/>
      <c r="M143" s="183"/>
      <c r="O143" s="182"/>
      <c r="P143" s="161"/>
      <c r="Q143" s="161"/>
      <c r="R143" s="183"/>
      <c r="T143" s="182"/>
      <c r="U143" s="161"/>
      <c r="V143" s="161"/>
      <c r="W143" s="183"/>
      <c r="Y143" s="182"/>
      <c r="Z143" s="161"/>
      <c r="AA143" s="161"/>
      <c r="AB143" s="183"/>
      <c r="AD143" s="182"/>
      <c r="AE143" s="161"/>
      <c r="AF143" s="161"/>
      <c r="AG143" s="183"/>
      <c r="AI143" s="182"/>
      <c r="AJ143" s="161"/>
      <c r="AK143" s="161"/>
      <c r="AL143" s="183"/>
      <c r="AN143" s="182"/>
      <c r="AO143" s="161"/>
      <c r="AP143" s="161"/>
      <c r="AQ143" s="183"/>
      <c r="AS143" s="182"/>
      <c r="AT143" s="161"/>
      <c r="AU143" s="161"/>
      <c r="AV143" s="183"/>
      <c r="AX143" s="182"/>
      <c r="AY143" s="161"/>
      <c r="AZ143" s="161"/>
      <c r="BA143" s="183"/>
    </row>
    <row r="144" spans="2:53" x14ac:dyDescent="0.25">
      <c r="E144" s="182"/>
      <c r="F144" s="161"/>
      <c r="G144" s="161"/>
      <c r="H144" s="183"/>
      <c r="J144" s="182"/>
      <c r="K144" s="161"/>
      <c r="L144" s="161"/>
      <c r="M144" s="183"/>
      <c r="O144" s="182"/>
      <c r="P144" s="161"/>
      <c r="Q144" s="161"/>
      <c r="R144" s="183"/>
      <c r="T144" s="182"/>
      <c r="U144" s="161"/>
      <c r="V144" s="161"/>
      <c r="W144" s="183"/>
      <c r="Y144" s="182"/>
      <c r="Z144" s="161"/>
      <c r="AA144" s="161"/>
      <c r="AB144" s="183"/>
      <c r="AD144" s="182"/>
      <c r="AE144" s="161"/>
      <c r="AF144" s="161"/>
      <c r="AG144" s="183"/>
      <c r="AI144" s="182"/>
      <c r="AJ144" s="161"/>
      <c r="AK144" s="161"/>
      <c r="AL144" s="183"/>
      <c r="AN144" s="182"/>
      <c r="AO144" s="161"/>
      <c r="AP144" s="161"/>
      <c r="AQ144" s="183"/>
      <c r="AS144" s="182"/>
      <c r="AT144" s="161"/>
      <c r="AU144" s="161"/>
      <c r="AV144" s="183"/>
      <c r="AX144" s="182"/>
      <c r="AY144" s="161"/>
      <c r="AZ144" s="161"/>
      <c r="BA144" s="183"/>
    </row>
    <row r="145" spans="5:53" x14ac:dyDescent="0.25">
      <c r="E145" s="182"/>
      <c r="F145" s="161"/>
      <c r="G145" s="161"/>
      <c r="H145" s="183"/>
      <c r="J145" s="182"/>
      <c r="K145" s="161"/>
      <c r="L145" s="161"/>
      <c r="M145" s="183"/>
      <c r="O145" s="182"/>
      <c r="P145" s="161"/>
      <c r="Q145" s="161"/>
      <c r="R145" s="183"/>
      <c r="T145" s="182"/>
      <c r="U145" s="161"/>
      <c r="V145" s="161"/>
      <c r="W145" s="183"/>
      <c r="Y145" s="182"/>
      <c r="Z145" s="161"/>
      <c r="AA145" s="161"/>
      <c r="AB145" s="183"/>
      <c r="AD145" s="182"/>
      <c r="AE145" s="161"/>
      <c r="AF145" s="161"/>
      <c r="AG145" s="183"/>
      <c r="AI145" s="182"/>
      <c r="AJ145" s="161"/>
      <c r="AK145" s="161"/>
      <c r="AL145" s="183"/>
      <c r="AN145" s="182"/>
      <c r="AO145" s="161"/>
      <c r="AP145" s="161"/>
      <c r="AQ145" s="183"/>
      <c r="AS145" s="182"/>
      <c r="AT145" s="161"/>
      <c r="AU145" s="161"/>
      <c r="AV145" s="183"/>
      <c r="AX145" s="182"/>
      <c r="AY145" s="161"/>
      <c r="AZ145" s="161"/>
      <c r="BA145" s="183"/>
    </row>
    <row r="146" spans="5:53" x14ac:dyDescent="0.25">
      <c r="E146" s="184"/>
      <c r="F146" s="185"/>
      <c r="G146" s="185"/>
      <c r="H146" s="186"/>
      <c r="J146" s="184"/>
      <c r="K146" s="185"/>
      <c r="L146" s="185"/>
      <c r="M146" s="186"/>
      <c r="O146" s="184"/>
      <c r="P146" s="185"/>
      <c r="Q146" s="185"/>
      <c r="R146" s="186"/>
      <c r="T146" s="184"/>
      <c r="U146" s="185"/>
      <c r="V146" s="185"/>
      <c r="W146" s="186"/>
      <c r="Y146" s="184"/>
      <c r="Z146" s="185"/>
      <c r="AA146" s="185"/>
      <c r="AB146" s="186"/>
      <c r="AD146" s="184"/>
      <c r="AE146" s="185"/>
      <c r="AF146" s="185"/>
      <c r="AG146" s="186"/>
      <c r="AI146" s="184"/>
      <c r="AJ146" s="185"/>
      <c r="AK146" s="185"/>
      <c r="AL146" s="186"/>
      <c r="AN146" s="184"/>
      <c r="AO146" s="185"/>
      <c r="AP146" s="185"/>
      <c r="AQ146" s="186"/>
      <c r="AS146" s="184"/>
      <c r="AT146" s="185"/>
      <c r="AU146" s="185"/>
      <c r="AV146" s="186"/>
      <c r="AX146" s="184"/>
      <c r="AY146" s="185"/>
      <c r="AZ146" s="185"/>
      <c r="BA146" s="186"/>
    </row>
  </sheetData>
  <mergeCells count="169">
    <mergeCell ref="AS132:AV146"/>
    <mergeCell ref="AX132:BA146"/>
    <mergeCell ref="Z21:AB21"/>
    <mergeCell ref="AC21:AF21"/>
    <mergeCell ref="AI21:AK21"/>
    <mergeCell ref="AL21:AO21"/>
    <mergeCell ref="AR21:AT21"/>
    <mergeCell ref="AU21:AX21"/>
    <mergeCell ref="AS131:AV131"/>
    <mergeCell ref="AX131:BA131"/>
    <mergeCell ref="AD114:AG128"/>
    <mergeCell ref="AI114:AL128"/>
    <mergeCell ref="AN114:AQ128"/>
    <mergeCell ref="AS114:AV128"/>
    <mergeCell ref="AX114:BA128"/>
    <mergeCell ref="AX60:BA74"/>
    <mergeCell ref="AX59:BA59"/>
    <mergeCell ref="AI42:AL56"/>
    <mergeCell ref="AN42:AQ56"/>
    <mergeCell ref="AS42:AV56"/>
    <mergeCell ref="AX42:BA56"/>
    <mergeCell ref="AI41:AL41"/>
    <mergeCell ref="AN41:AQ41"/>
    <mergeCell ref="AS113:AV113"/>
    <mergeCell ref="B131:D132"/>
    <mergeCell ref="E131:H131"/>
    <mergeCell ref="J131:M131"/>
    <mergeCell ref="O131:R131"/>
    <mergeCell ref="T131:W131"/>
    <mergeCell ref="Y131:AB131"/>
    <mergeCell ref="AD131:AG131"/>
    <mergeCell ref="AI131:AL131"/>
    <mergeCell ref="AN131:AQ131"/>
    <mergeCell ref="E132:H146"/>
    <mergeCell ref="J132:M146"/>
    <mergeCell ref="O132:R146"/>
    <mergeCell ref="T132:W146"/>
    <mergeCell ref="Y132:AB146"/>
    <mergeCell ref="AD132:AG146"/>
    <mergeCell ref="AI132:AL146"/>
    <mergeCell ref="AN132:AQ146"/>
    <mergeCell ref="B113:D114"/>
    <mergeCell ref="E113:H113"/>
    <mergeCell ref="J113:M113"/>
    <mergeCell ref="O113:R113"/>
    <mergeCell ref="T113:W113"/>
    <mergeCell ref="Y113:AB113"/>
    <mergeCell ref="AD96:AG110"/>
    <mergeCell ref="AI96:AL110"/>
    <mergeCell ref="AN96:AQ110"/>
    <mergeCell ref="AD113:AG113"/>
    <mergeCell ref="AI113:AL113"/>
    <mergeCell ref="AN113:AQ113"/>
    <mergeCell ref="B95:D96"/>
    <mergeCell ref="AX113:BA113"/>
    <mergeCell ref="E114:H128"/>
    <mergeCell ref="J114:M128"/>
    <mergeCell ref="O114:R128"/>
    <mergeCell ref="T114:W128"/>
    <mergeCell ref="Y114:AB128"/>
    <mergeCell ref="AN78:AQ92"/>
    <mergeCell ref="AS78:AV92"/>
    <mergeCell ref="AX78:BA92"/>
    <mergeCell ref="E95:H95"/>
    <mergeCell ref="J95:M95"/>
    <mergeCell ref="O95:R95"/>
    <mergeCell ref="E96:H110"/>
    <mergeCell ref="J96:M110"/>
    <mergeCell ref="O96:R110"/>
    <mergeCell ref="T96:W110"/>
    <mergeCell ref="Y96:AB110"/>
    <mergeCell ref="T95:W95"/>
    <mergeCell ref="Y95:AB95"/>
    <mergeCell ref="E78:H92"/>
    <mergeCell ref="J78:M92"/>
    <mergeCell ref="O78:R92"/>
    <mergeCell ref="T78:W92"/>
    <mergeCell ref="Y78:AB92"/>
    <mergeCell ref="AS96:AV110"/>
    <mergeCell ref="AX96:BA110"/>
    <mergeCell ref="AS60:AV74"/>
    <mergeCell ref="AI95:AL95"/>
    <mergeCell ref="AN95:AQ95"/>
    <mergeCell ref="AS95:AV95"/>
    <mergeCell ref="AX95:BA95"/>
    <mergeCell ref="AD78:AG92"/>
    <mergeCell ref="AI78:AL92"/>
    <mergeCell ref="AD95:AG95"/>
    <mergeCell ref="B77:D78"/>
    <mergeCell ref="E77:H77"/>
    <mergeCell ref="J77:M77"/>
    <mergeCell ref="O77:R77"/>
    <mergeCell ref="T77:W77"/>
    <mergeCell ref="AD59:AG59"/>
    <mergeCell ref="AX77:BA77"/>
    <mergeCell ref="AD60:AG74"/>
    <mergeCell ref="AI60:AL74"/>
    <mergeCell ref="AN60:AQ74"/>
    <mergeCell ref="AI59:AL59"/>
    <mergeCell ref="AN59:AQ59"/>
    <mergeCell ref="AS59:AV59"/>
    <mergeCell ref="B59:D60"/>
    <mergeCell ref="AI77:AL77"/>
    <mergeCell ref="AN77:AQ77"/>
    <mergeCell ref="AS77:AV77"/>
    <mergeCell ref="E60:H74"/>
    <mergeCell ref="J60:M74"/>
    <mergeCell ref="O60:R74"/>
    <mergeCell ref="T60:W74"/>
    <mergeCell ref="Y60:AB74"/>
    <mergeCell ref="E59:H59"/>
    <mergeCell ref="J59:M59"/>
    <mergeCell ref="Y77:AB77"/>
    <mergeCell ref="AD77:AG77"/>
    <mergeCell ref="AX41:BA41"/>
    <mergeCell ref="E42:H56"/>
    <mergeCell ref="J42:M56"/>
    <mergeCell ref="O42:R56"/>
    <mergeCell ref="T42:W56"/>
    <mergeCell ref="Y42:AB56"/>
    <mergeCell ref="AD42:AG56"/>
    <mergeCell ref="B41:D42"/>
    <mergeCell ref="E41:H41"/>
    <mergeCell ref="J41:M41"/>
    <mergeCell ref="O41:R41"/>
    <mergeCell ref="T41:W41"/>
    <mergeCell ref="Y41:AB41"/>
    <mergeCell ref="AD41:AG41"/>
    <mergeCell ref="O59:R59"/>
    <mergeCell ref="T59:W59"/>
    <mergeCell ref="Y59:AB59"/>
    <mergeCell ref="AS23:AV23"/>
    <mergeCell ref="AS41:AV41"/>
    <mergeCell ref="AX23:BA23"/>
    <mergeCell ref="E24:H38"/>
    <mergeCell ref="J24:M38"/>
    <mergeCell ref="O24:R38"/>
    <mergeCell ref="T24:W38"/>
    <mergeCell ref="Y24:AB38"/>
    <mergeCell ref="AD24:AG38"/>
    <mergeCell ref="AI24:AL38"/>
    <mergeCell ref="AN24:AQ38"/>
    <mergeCell ref="Y23:AB23"/>
    <mergeCell ref="AD23:AG23"/>
    <mergeCell ref="AI23:AL23"/>
    <mergeCell ref="AN23:AQ23"/>
    <mergeCell ref="AS24:AV38"/>
    <mergeCell ref="AX24:BA38"/>
    <mergeCell ref="E13:N19"/>
    <mergeCell ref="B13:D13"/>
    <mergeCell ref="J23:M23"/>
    <mergeCell ref="O23:R23"/>
    <mergeCell ref="T23:W23"/>
    <mergeCell ref="E23:H23"/>
    <mergeCell ref="B2:D7"/>
    <mergeCell ref="E2:L3"/>
    <mergeCell ref="M2:N7"/>
    <mergeCell ref="E4:L7"/>
    <mergeCell ref="B9:D9"/>
    <mergeCell ref="E9:N9"/>
    <mergeCell ref="J21:L21"/>
    <mergeCell ref="M21:P21"/>
    <mergeCell ref="R21:T21"/>
    <mergeCell ref="U21:X21"/>
    <mergeCell ref="B23:D24"/>
    <mergeCell ref="B11:D11"/>
    <mergeCell ref="E11:N11"/>
    <mergeCell ref="B21:D21"/>
    <mergeCell ref="E21:H21"/>
  </mergeCells>
  <pageMargins left="0.7" right="0.7" top="0.75" bottom="0.75" header="0.3" footer="0.3"/>
  <pageSetup paperSize="9" orientation="portrait" horizontalDpi="4294967295" verticalDpi="4294967295"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53A2F3F3-7B49-4C54-9600-646247C2CD03}">
          <x14:formula1>
            <xm:f>Datos!$A$2:$A$8</xm:f>
          </x14:formula1>
          <xm:sqref>E21:H21 M21:P21 U21:X21 AC21:AF21 AL21:AO21 AU21:AX21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1AD5C-5177-4D40-AA43-0E2606556C43}">
  <sheetPr codeName="Hoja3"/>
  <dimension ref="B1:W300"/>
  <sheetViews>
    <sheetView topLeftCell="I13" workbookViewId="0">
      <selection activeCell="O20" sqref="O20"/>
    </sheetView>
  </sheetViews>
  <sheetFormatPr baseColWidth="10" defaultRowHeight="15" x14ac:dyDescent="0.25"/>
  <cols>
    <col min="1" max="1" width="11.42578125" style="1"/>
    <col min="2" max="2" width="26.7109375" style="1" customWidth="1"/>
    <col min="3" max="3" width="15.85546875" style="1" customWidth="1"/>
    <col min="4" max="4" width="19.5703125" style="1" customWidth="1"/>
    <col min="5" max="5" width="16.85546875" style="1" customWidth="1"/>
    <col min="6" max="6" width="14.28515625" style="1" customWidth="1"/>
    <col min="7" max="7" width="13" style="1" customWidth="1"/>
    <col min="8" max="8" width="28.140625" style="1" customWidth="1"/>
    <col min="9" max="9" width="24" style="1" customWidth="1"/>
    <col min="10" max="10" width="31.7109375" style="1" customWidth="1"/>
    <col min="11" max="11" width="20.140625" style="1" customWidth="1"/>
    <col min="12" max="12" width="23" style="1" customWidth="1"/>
    <col min="13" max="13" width="28.7109375" style="1" customWidth="1"/>
    <col min="14" max="16384" width="11.42578125" style="1"/>
  </cols>
  <sheetData>
    <row r="1" spans="2:23" ht="35.1" customHeight="1" x14ac:dyDescent="0.25"/>
    <row r="2" spans="2:23" x14ac:dyDescent="0.25">
      <c r="B2" s="102"/>
      <c r="C2" s="103"/>
      <c r="D2" s="104"/>
      <c r="E2" s="98" t="s">
        <v>0</v>
      </c>
      <c r="F2" s="98"/>
      <c r="G2" s="98"/>
      <c r="H2" s="98"/>
      <c r="I2" s="98"/>
      <c r="J2" s="98"/>
      <c r="K2" s="98"/>
      <c r="L2" s="99"/>
      <c r="M2" s="120" t="s">
        <v>1</v>
      </c>
      <c r="N2" s="121"/>
    </row>
    <row r="3" spans="2:23" x14ac:dyDescent="0.25">
      <c r="B3" s="105"/>
      <c r="C3" s="106"/>
      <c r="D3" s="107"/>
      <c r="E3" s="100"/>
      <c r="F3" s="100"/>
      <c r="G3" s="100"/>
      <c r="H3" s="100"/>
      <c r="I3" s="100"/>
      <c r="J3" s="100"/>
      <c r="K3" s="100"/>
      <c r="L3" s="101"/>
      <c r="M3" s="122"/>
      <c r="N3" s="123"/>
    </row>
    <row r="4" spans="2:23" x14ac:dyDescent="0.25">
      <c r="B4" s="105"/>
      <c r="C4" s="106"/>
      <c r="D4" s="107"/>
      <c r="E4" s="111" t="s">
        <v>62</v>
      </c>
      <c r="F4" s="112"/>
      <c r="G4" s="112"/>
      <c r="H4" s="112"/>
      <c r="I4" s="112"/>
      <c r="J4" s="112"/>
      <c r="K4" s="112"/>
      <c r="L4" s="113"/>
      <c r="M4" s="122"/>
      <c r="N4" s="123"/>
    </row>
    <row r="5" spans="2:23" x14ac:dyDescent="0.25">
      <c r="B5" s="105"/>
      <c r="C5" s="106"/>
      <c r="D5" s="107"/>
      <c r="E5" s="114"/>
      <c r="F5" s="115"/>
      <c r="G5" s="115"/>
      <c r="H5" s="115"/>
      <c r="I5" s="115"/>
      <c r="J5" s="115"/>
      <c r="K5" s="115"/>
      <c r="L5" s="116"/>
      <c r="M5" s="122"/>
      <c r="N5" s="123"/>
    </row>
    <row r="6" spans="2:23" x14ac:dyDescent="0.25">
      <c r="B6" s="105"/>
      <c r="C6" s="106"/>
      <c r="D6" s="107"/>
      <c r="E6" s="114"/>
      <c r="F6" s="115"/>
      <c r="G6" s="115"/>
      <c r="H6" s="115"/>
      <c r="I6" s="115"/>
      <c r="J6" s="115"/>
      <c r="K6" s="115"/>
      <c r="L6" s="116"/>
      <c r="M6" s="122"/>
      <c r="N6" s="123"/>
    </row>
    <row r="7" spans="2:23" x14ac:dyDescent="0.25">
      <c r="B7" s="108"/>
      <c r="C7" s="109"/>
      <c r="D7" s="110"/>
      <c r="E7" s="117"/>
      <c r="F7" s="118"/>
      <c r="G7" s="118"/>
      <c r="H7" s="118"/>
      <c r="I7" s="118"/>
      <c r="J7" s="118"/>
      <c r="K7" s="118"/>
      <c r="L7" s="119"/>
      <c r="M7" s="124"/>
      <c r="N7" s="125"/>
    </row>
    <row r="9" spans="2:23" x14ac:dyDescent="0.25">
      <c r="M9" s="196" t="s">
        <v>159</v>
      </c>
      <c r="N9" s="196"/>
      <c r="O9" s="196"/>
      <c r="P9" s="196"/>
      <c r="Q9" s="196"/>
      <c r="R9" s="196"/>
      <c r="S9" s="196"/>
      <c r="T9" s="196"/>
      <c r="U9" s="196"/>
      <c r="V9" s="196"/>
      <c r="W9" s="196"/>
    </row>
    <row r="10" spans="2:23" x14ac:dyDescent="0.25">
      <c r="B10" s="200" t="s">
        <v>164</v>
      </c>
      <c r="C10" s="200"/>
      <c r="D10" s="199" t="s">
        <v>161</v>
      </c>
      <c r="E10" s="202"/>
      <c r="F10" s="203">
        <f>COUNTIF(G21:G1048576,"Alto")</f>
        <v>4</v>
      </c>
      <c r="G10" s="203"/>
      <c r="M10" s="196"/>
      <c r="N10" s="196"/>
      <c r="O10" s="196"/>
      <c r="P10" s="196"/>
      <c r="Q10" s="196"/>
      <c r="R10" s="196"/>
      <c r="S10" s="196"/>
      <c r="T10" s="196"/>
      <c r="U10" s="196"/>
      <c r="V10" s="196"/>
      <c r="W10" s="196"/>
    </row>
    <row r="11" spans="2:23" x14ac:dyDescent="0.25">
      <c r="B11" s="200"/>
      <c r="C11" s="200"/>
      <c r="L11" s="36" t="s">
        <v>160</v>
      </c>
      <c r="M11" s="197"/>
      <c r="N11" s="198"/>
      <c r="O11" s="198"/>
      <c r="P11" s="198"/>
      <c r="Q11" s="198"/>
      <c r="R11" s="198"/>
      <c r="S11" s="198"/>
      <c r="T11" s="198"/>
      <c r="U11" s="198"/>
      <c r="V11" s="198"/>
      <c r="W11" s="199"/>
    </row>
    <row r="12" spans="2:23" x14ac:dyDescent="0.25">
      <c r="B12" s="200"/>
      <c r="C12" s="200"/>
      <c r="D12" s="199" t="s">
        <v>162</v>
      </c>
      <c r="E12" s="202"/>
      <c r="F12" s="204">
        <f>COUNTIF(G21:G1048576,"Medio")</f>
        <v>21</v>
      </c>
      <c r="G12" s="204"/>
      <c r="L12" s="28" t="s">
        <v>165</v>
      </c>
      <c r="M12" s="29">
        <f>COUNTIF(M21:M1048576,"Éxitoso")</f>
        <v>0</v>
      </c>
      <c r="N12" s="29">
        <f t="shared" ref="N12:W12" si="0">COUNTIF(N21:N1048576,"Éxitoso")</f>
        <v>26</v>
      </c>
      <c r="O12" s="29">
        <f t="shared" si="0"/>
        <v>0</v>
      </c>
      <c r="P12" s="29">
        <f t="shared" si="0"/>
        <v>0</v>
      </c>
      <c r="Q12" s="29">
        <f t="shared" si="0"/>
        <v>0</v>
      </c>
      <c r="R12" s="29">
        <f t="shared" si="0"/>
        <v>0</v>
      </c>
      <c r="S12" s="29">
        <f t="shared" si="0"/>
        <v>0</v>
      </c>
      <c r="T12" s="29">
        <f t="shared" si="0"/>
        <v>0</v>
      </c>
      <c r="U12" s="29">
        <f t="shared" si="0"/>
        <v>0</v>
      </c>
      <c r="V12" s="29">
        <f t="shared" si="0"/>
        <v>0</v>
      </c>
      <c r="W12" s="29">
        <f t="shared" si="0"/>
        <v>0</v>
      </c>
    </row>
    <row r="13" spans="2:23" x14ac:dyDescent="0.25">
      <c r="B13" s="200"/>
      <c r="C13" s="200"/>
      <c r="L13" s="28" t="s">
        <v>104</v>
      </c>
      <c r="M13" s="28">
        <f>COUNTIF(M21:M1048576,"Fallido")</f>
        <v>0</v>
      </c>
      <c r="N13" s="28">
        <f t="shared" ref="N13:W13" si="1">COUNTIF(N21:N1048576,"Fallido")</f>
        <v>0</v>
      </c>
      <c r="O13" s="28">
        <f t="shared" si="1"/>
        <v>0</v>
      </c>
      <c r="P13" s="28">
        <f t="shared" si="1"/>
        <v>0</v>
      </c>
      <c r="Q13" s="28">
        <f t="shared" si="1"/>
        <v>0</v>
      </c>
      <c r="R13" s="28">
        <f t="shared" si="1"/>
        <v>0</v>
      </c>
      <c r="S13" s="28">
        <f t="shared" si="1"/>
        <v>0</v>
      </c>
      <c r="T13" s="28">
        <f t="shared" si="1"/>
        <v>0</v>
      </c>
      <c r="U13" s="28">
        <f t="shared" si="1"/>
        <v>0</v>
      </c>
      <c r="V13" s="28">
        <f t="shared" si="1"/>
        <v>0</v>
      </c>
      <c r="W13" s="28">
        <f t="shared" si="1"/>
        <v>0</v>
      </c>
    </row>
    <row r="14" spans="2:23" x14ac:dyDescent="0.25">
      <c r="B14" s="200"/>
      <c r="C14" s="200"/>
      <c r="D14" s="199" t="s">
        <v>163</v>
      </c>
      <c r="E14" s="202"/>
      <c r="F14" s="205">
        <f>COUNTIF(G21:G1048576,"Bajo")</f>
        <v>1</v>
      </c>
      <c r="G14" s="206"/>
      <c r="L14" s="28" t="s">
        <v>121</v>
      </c>
      <c r="M14" s="29">
        <f>COUNTIF(M21:M1048576,"Pendiente")</f>
        <v>0</v>
      </c>
      <c r="N14" s="29">
        <f t="shared" ref="N14:W14" si="2">COUNTIF(N21:N1048576,"Pendiente")</f>
        <v>0</v>
      </c>
      <c r="O14" s="29">
        <f t="shared" si="2"/>
        <v>0</v>
      </c>
      <c r="P14" s="29">
        <f t="shared" si="2"/>
        <v>0</v>
      </c>
      <c r="Q14" s="29">
        <f t="shared" si="2"/>
        <v>0</v>
      </c>
      <c r="R14" s="29">
        <f t="shared" si="2"/>
        <v>0</v>
      </c>
      <c r="S14" s="29">
        <f t="shared" si="2"/>
        <v>0</v>
      </c>
      <c r="T14" s="29">
        <f t="shared" si="2"/>
        <v>0</v>
      </c>
      <c r="U14" s="29">
        <f t="shared" si="2"/>
        <v>0</v>
      </c>
      <c r="V14" s="29">
        <f t="shared" si="2"/>
        <v>0</v>
      </c>
      <c r="W14" s="29">
        <f t="shared" si="2"/>
        <v>0</v>
      </c>
    </row>
    <row r="15" spans="2:23" x14ac:dyDescent="0.25">
      <c r="B15" s="200"/>
      <c r="C15" s="200"/>
      <c r="L15" s="28" t="s">
        <v>166</v>
      </c>
      <c r="M15" s="28">
        <f>COUNTIF(M21:M1048576,"No se pudo Ejecutar")</f>
        <v>0</v>
      </c>
      <c r="N15" s="28">
        <f t="shared" ref="N15:W15" si="3">COUNTIF(N21:N1048576,"No se pudo Ejecutar")</f>
        <v>0</v>
      </c>
      <c r="O15" s="28">
        <f t="shared" si="3"/>
        <v>0</v>
      </c>
      <c r="P15" s="28">
        <f t="shared" si="3"/>
        <v>0</v>
      </c>
      <c r="Q15" s="28">
        <f t="shared" si="3"/>
        <v>0</v>
      </c>
      <c r="R15" s="28">
        <f t="shared" si="3"/>
        <v>0</v>
      </c>
      <c r="S15" s="28">
        <f t="shared" si="3"/>
        <v>0</v>
      </c>
      <c r="T15" s="28">
        <f t="shared" si="3"/>
        <v>0</v>
      </c>
      <c r="U15" s="28">
        <f t="shared" si="3"/>
        <v>0</v>
      </c>
      <c r="V15" s="28">
        <f t="shared" si="3"/>
        <v>0</v>
      </c>
      <c r="W15" s="28">
        <f t="shared" si="3"/>
        <v>0</v>
      </c>
    </row>
    <row r="16" spans="2:23" x14ac:dyDescent="0.25">
      <c r="B16" s="200"/>
      <c r="C16" s="200"/>
      <c r="D16" s="199" t="s">
        <v>168</v>
      </c>
      <c r="E16" s="197"/>
      <c r="F16" s="201">
        <f>F10+F12+F14</f>
        <v>26</v>
      </c>
      <c r="G16" s="201"/>
      <c r="L16" s="28" t="s">
        <v>101</v>
      </c>
      <c r="M16" s="29">
        <f>COUNTIF(M21:M1048576,"No Aplica")</f>
        <v>0</v>
      </c>
      <c r="N16" s="29">
        <f t="shared" ref="N16:W16" si="4">COUNTIF(N21:N1048576,"No Aplica")</f>
        <v>0</v>
      </c>
      <c r="O16" s="29">
        <f t="shared" si="4"/>
        <v>0</v>
      </c>
      <c r="P16" s="29">
        <f t="shared" si="4"/>
        <v>0</v>
      </c>
      <c r="Q16" s="29">
        <f t="shared" si="4"/>
        <v>0</v>
      </c>
      <c r="R16" s="29">
        <f t="shared" si="4"/>
        <v>0</v>
      </c>
      <c r="S16" s="29">
        <f t="shared" si="4"/>
        <v>0</v>
      </c>
      <c r="T16" s="29">
        <f t="shared" si="4"/>
        <v>0</v>
      </c>
      <c r="U16" s="29">
        <f t="shared" si="4"/>
        <v>0</v>
      </c>
      <c r="V16" s="29">
        <f t="shared" si="4"/>
        <v>0</v>
      </c>
      <c r="W16" s="29">
        <f t="shared" si="4"/>
        <v>0</v>
      </c>
    </row>
    <row r="17" spans="2:23" x14ac:dyDescent="0.25">
      <c r="F17" s="201"/>
      <c r="G17" s="201"/>
      <c r="L17" s="28" t="s">
        <v>167</v>
      </c>
      <c r="M17" s="30">
        <f>SUM(M12:M16)</f>
        <v>0</v>
      </c>
      <c r="N17" s="30">
        <f t="shared" ref="N17:W17" si="5">SUM(N12:N16)</f>
        <v>26</v>
      </c>
      <c r="O17" s="30">
        <f t="shared" si="5"/>
        <v>0</v>
      </c>
      <c r="P17" s="30">
        <f t="shared" si="5"/>
        <v>0</v>
      </c>
      <c r="Q17" s="30">
        <f t="shared" si="5"/>
        <v>0</v>
      </c>
      <c r="R17" s="30">
        <f t="shared" si="5"/>
        <v>0</v>
      </c>
      <c r="S17" s="30">
        <f t="shared" si="5"/>
        <v>0</v>
      </c>
      <c r="T17" s="30">
        <f t="shared" si="5"/>
        <v>0</v>
      </c>
      <c r="U17" s="30">
        <f t="shared" si="5"/>
        <v>0</v>
      </c>
      <c r="V17" s="30">
        <f t="shared" si="5"/>
        <v>0</v>
      </c>
      <c r="W17" s="30">
        <f t="shared" si="5"/>
        <v>0</v>
      </c>
    </row>
    <row r="19" spans="2:23" ht="37.5" x14ac:dyDescent="0.25">
      <c r="B19" s="194" t="s">
        <v>76</v>
      </c>
      <c r="C19" s="194" t="s">
        <v>77</v>
      </c>
      <c r="D19" s="194" t="s">
        <v>85</v>
      </c>
      <c r="E19" s="194" t="s">
        <v>78</v>
      </c>
      <c r="F19" s="194" t="s">
        <v>79</v>
      </c>
      <c r="G19" s="194" t="s">
        <v>80</v>
      </c>
      <c r="H19" s="194" t="s">
        <v>81</v>
      </c>
      <c r="I19" s="194" t="s">
        <v>82</v>
      </c>
      <c r="J19" s="194" t="s">
        <v>83</v>
      </c>
      <c r="K19" s="194" t="s">
        <v>63</v>
      </c>
      <c r="L19" s="194" t="s">
        <v>64</v>
      </c>
      <c r="M19" s="11" t="s">
        <v>65</v>
      </c>
      <c r="N19" s="12" t="s">
        <v>66</v>
      </c>
      <c r="O19" s="12" t="s">
        <v>67</v>
      </c>
      <c r="P19" s="12" t="s">
        <v>68</v>
      </c>
      <c r="Q19" s="12" t="s">
        <v>69</v>
      </c>
      <c r="R19" s="12" t="s">
        <v>70</v>
      </c>
      <c r="S19" s="12" t="s">
        <v>71</v>
      </c>
      <c r="T19" s="12" t="s">
        <v>72</v>
      </c>
      <c r="U19" s="12" t="s">
        <v>73</v>
      </c>
      <c r="V19" s="12" t="s">
        <v>74</v>
      </c>
      <c r="W19" s="13" t="s">
        <v>75</v>
      </c>
    </row>
    <row r="20" spans="2:23" ht="30" customHeight="1" x14ac:dyDescent="0.25">
      <c r="B20" s="195"/>
      <c r="C20" s="195"/>
      <c r="D20" s="195"/>
      <c r="E20" s="195"/>
      <c r="F20" s="195"/>
      <c r="G20" s="195"/>
      <c r="H20" s="195"/>
      <c r="I20" s="195"/>
      <c r="J20" s="195"/>
      <c r="K20" s="195"/>
      <c r="L20" s="195"/>
      <c r="M20" s="14" t="s">
        <v>84</v>
      </c>
      <c r="N20" s="14" t="s">
        <v>84</v>
      </c>
      <c r="O20" s="14" t="s">
        <v>84</v>
      </c>
      <c r="P20" s="14" t="s">
        <v>84</v>
      </c>
      <c r="Q20" s="14" t="s">
        <v>84</v>
      </c>
      <c r="R20" s="14" t="s">
        <v>84</v>
      </c>
      <c r="S20" s="14" t="s">
        <v>84</v>
      </c>
      <c r="T20" s="14" t="s">
        <v>84</v>
      </c>
      <c r="U20" s="14" t="s">
        <v>84</v>
      </c>
      <c r="V20" s="14" t="s">
        <v>84</v>
      </c>
      <c r="W20" s="15" t="s">
        <v>84</v>
      </c>
    </row>
    <row r="21" spans="2:23" ht="80.099999999999994" customHeight="1" x14ac:dyDescent="0.25">
      <c r="B21" s="77" t="s">
        <v>367</v>
      </c>
      <c r="C21" s="28">
        <v>1</v>
      </c>
      <c r="D21" s="77" t="s">
        <v>368</v>
      </c>
      <c r="E21" s="74" t="s">
        <v>369</v>
      </c>
      <c r="F21" s="77" t="s">
        <v>370</v>
      </c>
      <c r="G21" s="77" t="s">
        <v>95</v>
      </c>
      <c r="H21" s="77" t="s">
        <v>371</v>
      </c>
      <c r="I21" s="75" t="s">
        <v>374</v>
      </c>
      <c r="J21" s="76" t="s">
        <v>372</v>
      </c>
      <c r="K21" s="74" t="s">
        <v>373</v>
      </c>
      <c r="L21" s="28"/>
      <c r="M21" s="28"/>
      <c r="N21" s="28" t="s">
        <v>169</v>
      </c>
      <c r="O21" s="28"/>
      <c r="P21" s="28"/>
      <c r="Q21" s="28"/>
      <c r="R21" s="28"/>
      <c r="S21" s="28"/>
      <c r="T21" s="28"/>
      <c r="U21" s="28"/>
      <c r="V21" s="28"/>
      <c r="W21" s="28"/>
    </row>
    <row r="22" spans="2:23" ht="80.099999999999994" customHeight="1" x14ac:dyDescent="0.25">
      <c r="B22" s="77" t="s">
        <v>366</v>
      </c>
      <c r="C22" s="28">
        <v>1</v>
      </c>
      <c r="D22" s="77" t="s">
        <v>368</v>
      </c>
      <c r="E22" s="74" t="s">
        <v>375</v>
      </c>
      <c r="F22" s="77" t="s">
        <v>376</v>
      </c>
      <c r="G22" s="77" t="s">
        <v>95</v>
      </c>
      <c r="H22" s="77" t="s">
        <v>377</v>
      </c>
      <c r="I22" s="75" t="s">
        <v>374</v>
      </c>
      <c r="J22" s="76" t="s">
        <v>378</v>
      </c>
      <c r="K22" s="75" t="s">
        <v>379</v>
      </c>
      <c r="L22" s="28"/>
      <c r="M22" s="28"/>
      <c r="N22" s="28" t="s">
        <v>169</v>
      </c>
      <c r="O22" s="28"/>
      <c r="P22" s="28"/>
      <c r="Q22" s="28"/>
      <c r="R22" s="28"/>
      <c r="S22" s="28"/>
      <c r="T22" s="28"/>
      <c r="U22" s="28"/>
      <c r="V22" s="28"/>
      <c r="W22" s="28"/>
    </row>
    <row r="23" spans="2:23" ht="80.099999999999994" customHeight="1" x14ac:dyDescent="0.25">
      <c r="B23" s="77" t="s">
        <v>366</v>
      </c>
      <c r="C23" s="28">
        <v>1</v>
      </c>
      <c r="D23" s="77" t="s">
        <v>368</v>
      </c>
      <c r="E23" s="77" t="s">
        <v>380</v>
      </c>
      <c r="F23" s="77" t="s">
        <v>381</v>
      </c>
      <c r="G23" s="77" t="s">
        <v>103</v>
      </c>
      <c r="H23" s="77" t="s">
        <v>382</v>
      </c>
      <c r="I23" s="75" t="s">
        <v>374</v>
      </c>
      <c r="J23" s="76" t="s">
        <v>383</v>
      </c>
      <c r="K23" s="75" t="s">
        <v>384</v>
      </c>
      <c r="L23" s="28"/>
      <c r="M23" s="28"/>
      <c r="N23" s="28" t="s">
        <v>169</v>
      </c>
      <c r="O23" s="28"/>
      <c r="P23" s="28"/>
      <c r="Q23" s="28"/>
      <c r="R23" s="28"/>
      <c r="S23" s="28"/>
      <c r="T23" s="28"/>
      <c r="U23" s="28"/>
      <c r="V23" s="28"/>
      <c r="W23" s="28"/>
    </row>
    <row r="24" spans="2:23" ht="80.099999999999994" customHeight="1" x14ac:dyDescent="0.25">
      <c r="B24" s="77" t="s">
        <v>366</v>
      </c>
      <c r="C24" s="28">
        <v>1</v>
      </c>
      <c r="D24" s="77" t="s">
        <v>368</v>
      </c>
      <c r="E24" s="77" t="s">
        <v>385</v>
      </c>
      <c r="F24" s="77" t="s">
        <v>386</v>
      </c>
      <c r="G24" s="77" t="s">
        <v>103</v>
      </c>
      <c r="H24" s="77" t="s">
        <v>495</v>
      </c>
      <c r="I24" s="75" t="s">
        <v>374</v>
      </c>
      <c r="J24" s="76" t="s">
        <v>387</v>
      </c>
      <c r="K24" s="75" t="s">
        <v>384</v>
      </c>
      <c r="L24" s="28"/>
      <c r="M24" s="28"/>
      <c r="N24" s="28" t="s">
        <v>169</v>
      </c>
      <c r="O24" s="28"/>
      <c r="P24" s="28"/>
      <c r="Q24" s="28"/>
      <c r="R24" s="28"/>
      <c r="S24" s="28"/>
      <c r="T24" s="28"/>
      <c r="U24" s="28"/>
      <c r="V24" s="28"/>
      <c r="W24" s="28"/>
    </row>
    <row r="25" spans="2:23" ht="80.099999999999994" customHeight="1" x14ac:dyDescent="0.25">
      <c r="B25" s="77" t="s">
        <v>366</v>
      </c>
      <c r="C25" s="28">
        <v>1</v>
      </c>
      <c r="D25" s="77" t="s">
        <v>368</v>
      </c>
      <c r="E25" s="77" t="s">
        <v>389</v>
      </c>
      <c r="F25" s="77" t="s">
        <v>388</v>
      </c>
      <c r="G25" s="77" t="s">
        <v>103</v>
      </c>
      <c r="H25" s="77" t="s">
        <v>392</v>
      </c>
      <c r="I25" s="75" t="s">
        <v>374</v>
      </c>
      <c r="J25" s="76" t="s">
        <v>390</v>
      </c>
      <c r="K25" s="77" t="s">
        <v>391</v>
      </c>
      <c r="L25" s="28"/>
      <c r="M25" s="28"/>
      <c r="N25" s="28" t="s">
        <v>169</v>
      </c>
      <c r="O25" s="28"/>
      <c r="P25" s="28"/>
      <c r="Q25" s="28"/>
      <c r="R25" s="28"/>
      <c r="S25" s="28"/>
      <c r="T25" s="28"/>
      <c r="U25" s="28"/>
      <c r="V25" s="28"/>
      <c r="W25" s="28"/>
    </row>
    <row r="26" spans="2:23" ht="80.099999999999994" customHeight="1" x14ac:dyDescent="0.25">
      <c r="B26" s="77" t="s">
        <v>366</v>
      </c>
      <c r="C26" s="28">
        <v>1</v>
      </c>
      <c r="D26" s="77" t="s">
        <v>368</v>
      </c>
      <c r="E26" s="77" t="s">
        <v>393</v>
      </c>
      <c r="F26" s="77" t="s">
        <v>394</v>
      </c>
      <c r="G26" s="77" t="s">
        <v>113</v>
      </c>
      <c r="H26" s="77" t="s">
        <v>395</v>
      </c>
      <c r="I26" s="75" t="s">
        <v>374</v>
      </c>
      <c r="J26" s="76" t="s">
        <v>396</v>
      </c>
      <c r="K26" s="77" t="s">
        <v>397</v>
      </c>
      <c r="L26" s="28"/>
      <c r="M26" s="28"/>
      <c r="N26" s="28" t="s">
        <v>169</v>
      </c>
      <c r="O26" s="28"/>
      <c r="P26" s="28"/>
      <c r="Q26" s="28"/>
      <c r="R26" s="28"/>
      <c r="S26" s="28"/>
      <c r="T26" s="28"/>
      <c r="U26" s="28"/>
      <c r="V26" s="28"/>
      <c r="W26" s="28"/>
    </row>
    <row r="27" spans="2:23" ht="80.099999999999994" customHeight="1" x14ac:dyDescent="0.25">
      <c r="B27" s="77" t="s">
        <v>366</v>
      </c>
      <c r="C27" s="28">
        <v>1</v>
      </c>
      <c r="D27" s="77" t="s">
        <v>368</v>
      </c>
      <c r="E27" s="77" t="s">
        <v>398</v>
      </c>
      <c r="F27" s="77" t="s">
        <v>399</v>
      </c>
      <c r="G27" s="77" t="s">
        <v>103</v>
      </c>
      <c r="H27" s="78" t="s">
        <v>400</v>
      </c>
      <c r="I27" s="75" t="s">
        <v>374</v>
      </c>
      <c r="J27" s="76" t="s">
        <v>401</v>
      </c>
      <c r="K27" s="77" t="s">
        <v>402</v>
      </c>
      <c r="L27" s="28"/>
      <c r="M27" s="28"/>
      <c r="N27" s="28" t="s">
        <v>169</v>
      </c>
      <c r="O27" s="28"/>
      <c r="P27" s="28"/>
      <c r="Q27" s="28"/>
      <c r="R27" s="28"/>
      <c r="S27" s="28"/>
      <c r="T27" s="28"/>
      <c r="U27" s="28"/>
      <c r="V27" s="28"/>
      <c r="W27" s="28"/>
    </row>
    <row r="28" spans="2:23" ht="80.099999999999994" customHeight="1" x14ac:dyDescent="0.25">
      <c r="B28" s="77" t="s">
        <v>366</v>
      </c>
      <c r="C28" s="28">
        <v>1</v>
      </c>
      <c r="D28" s="77" t="s">
        <v>368</v>
      </c>
      <c r="E28" s="77" t="s">
        <v>403</v>
      </c>
      <c r="F28" s="77" t="s">
        <v>404</v>
      </c>
      <c r="G28" s="77" t="s">
        <v>95</v>
      </c>
      <c r="H28" s="77" t="s">
        <v>405</v>
      </c>
      <c r="I28" s="75" t="s">
        <v>374</v>
      </c>
      <c r="J28" s="76" t="s">
        <v>406</v>
      </c>
      <c r="K28" s="77" t="s">
        <v>407</v>
      </c>
      <c r="L28" s="28"/>
      <c r="M28" s="28"/>
      <c r="N28" s="28" t="s">
        <v>169</v>
      </c>
      <c r="O28" s="28"/>
      <c r="P28" s="28"/>
      <c r="Q28" s="28"/>
      <c r="R28" s="28"/>
      <c r="S28" s="28"/>
      <c r="T28" s="28"/>
      <c r="U28" s="28"/>
      <c r="V28" s="28"/>
      <c r="W28" s="28"/>
    </row>
    <row r="29" spans="2:23" ht="80.099999999999994" customHeight="1" x14ac:dyDescent="0.25">
      <c r="B29" s="77" t="s">
        <v>366</v>
      </c>
      <c r="C29" s="28">
        <v>1</v>
      </c>
      <c r="D29" s="77" t="s">
        <v>368</v>
      </c>
      <c r="E29" s="77" t="s">
        <v>408</v>
      </c>
      <c r="F29" s="77" t="s">
        <v>409</v>
      </c>
      <c r="G29" s="77" t="s">
        <v>95</v>
      </c>
      <c r="H29" s="77" t="s">
        <v>410</v>
      </c>
      <c r="I29" s="75" t="s">
        <v>374</v>
      </c>
      <c r="J29" s="76" t="s">
        <v>411</v>
      </c>
      <c r="K29" s="77" t="s">
        <v>412</v>
      </c>
      <c r="L29" s="28"/>
      <c r="M29" s="28"/>
      <c r="N29" s="28" t="s">
        <v>169</v>
      </c>
      <c r="O29" s="28"/>
      <c r="P29" s="28"/>
      <c r="Q29" s="28"/>
      <c r="R29" s="28"/>
      <c r="S29" s="28"/>
      <c r="T29" s="28"/>
      <c r="U29" s="28"/>
      <c r="V29" s="28"/>
      <c r="W29" s="28"/>
    </row>
    <row r="30" spans="2:23" ht="80.099999999999994" customHeight="1" x14ac:dyDescent="0.25">
      <c r="B30" s="77" t="s">
        <v>366</v>
      </c>
      <c r="C30" s="28">
        <v>1</v>
      </c>
      <c r="D30" s="77" t="s">
        <v>368</v>
      </c>
      <c r="E30" s="77" t="s">
        <v>417</v>
      </c>
      <c r="F30" s="77" t="s">
        <v>416</v>
      </c>
      <c r="G30" s="77" t="s">
        <v>103</v>
      </c>
      <c r="H30" s="77" t="s">
        <v>413</v>
      </c>
      <c r="I30" s="75" t="s">
        <v>374</v>
      </c>
      <c r="J30" s="76" t="s">
        <v>414</v>
      </c>
      <c r="K30" s="76" t="s">
        <v>415</v>
      </c>
      <c r="L30" s="28"/>
      <c r="M30" s="28"/>
      <c r="N30" s="28" t="s">
        <v>169</v>
      </c>
      <c r="O30" s="28"/>
      <c r="P30" s="28"/>
      <c r="Q30" s="28"/>
      <c r="R30" s="28"/>
      <c r="S30" s="28"/>
      <c r="T30" s="28"/>
      <c r="U30" s="28"/>
      <c r="V30" s="28"/>
      <c r="W30" s="28"/>
    </row>
    <row r="31" spans="2:23" ht="80.099999999999994" customHeight="1" x14ac:dyDescent="0.25">
      <c r="B31" s="77" t="s">
        <v>366</v>
      </c>
      <c r="C31" s="28">
        <v>1</v>
      </c>
      <c r="D31" s="77" t="s">
        <v>368</v>
      </c>
      <c r="E31" s="77" t="s">
        <v>418</v>
      </c>
      <c r="F31" s="77" t="s">
        <v>419</v>
      </c>
      <c r="G31" s="77" t="s">
        <v>103</v>
      </c>
      <c r="H31" s="77" t="s">
        <v>420</v>
      </c>
      <c r="I31" s="75" t="s">
        <v>374</v>
      </c>
      <c r="J31" s="76" t="s">
        <v>421</v>
      </c>
      <c r="K31" s="76" t="s">
        <v>422</v>
      </c>
      <c r="L31" s="28"/>
      <c r="M31" s="28"/>
      <c r="N31" s="28" t="s">
        <v>169</v>
      </c>
      <c r="O31" s="28"/>
      <c r="P31" s="28"/>
      <c r="Q31" s="28"/>
      <c r="R31" s="28"/>
      <c r="S31" s="28"/>
      <c r="T31" s="28"/>
      <c r="U31" s="28"/>
      <c r="V31" s="28"/>
      <c r="W31" s="28"/>
    </row>
    <row r="32" spans="2:23" ht="80.099999999999994" customHeight="1" x14ac:dyDescent="0.25">
      <c r="B32" s="77" t="s">
        <v>366</v>
      </c>
      <c r="C32" s="28">
        <v>1</v>
      </c>
      <c r="D32" s="77" t="s">
        <v>368</v>
      </c>
      <c r="E32" s="77" t="s">
        <v>423</v>
      </c>
      <c r="F32" s="77" t="s">
        <v>424</v>
      </c>
      <c r="G32" s="77" t="s">
        <v>103</v>
      </c>
      <c r="H32" s="77" t="s">
        <v>425</v>
      </c>
      <c r="I32" s="75" t="s">
        <v>374</v>
      </c>
      <c r="J32" s="76" t="s">
        <v>426</v>
      </c>
      <c r="K32" s="76" t="s">
        <v>427</v>
      </c>
      <c r="L32" s="28"/>
      <c r="M32" s="28"/>
      <c r="N32" s="28" t="s">
        <v>169</v>
      </c>
      <c r="O32" s="28"/>
      <c r="P32" s="28"/>
      <c r="Q32" s="28"/>
      <c r="R32" s="28"/>
      <c r="S32" s="28"/>
      <c r="T32" s="28"/>
      <c r="U32" s="28"/>
      <c r="V32" s="28"/>
      <c r="W32" s="28"/>
    </row>
    <row r="33" spans="2:23" ht="80.099999999999994" customHeight="1" x14ac:dyDescent="0.25">
      <c r="B33" s="77" t="s">
        <v>366</v>
      </c>
      <c r="C33" s="28">
        <v>1</v>
      </c>
      <c r="D33" s="77" t="s">
        <v>368</v>
      </c>
      <c r="E33" s="77" t="s">
        <v>432</v>
      </c>
      <c r="F33" s="77" t="s">
        <v>428</v>
      </c>
      <c r="G33" s="77" t="s">
        <v>103</v>
      </c>
      <c r="H33" s="77" t="s">
        <v>431</v>
      </c>
      <c r="I33" s="75" t="s">
        <v>374</v>
      </c>
      <c r="J33" s="76" t="s">
        <v>429</v>
      </c>
      <c r="K33" s="76" t="s">
        <v>430</v>
      </c>
      <c r="L33" s="28"/>
      <c r="M33" s="28"/>
      <c r="N33" s="28" t="s">
        <v>169</v>
      </c>
      <c r="O33" s="28"/>
      <c r="P33" s="28"/>
      <c r="Q33" s="28"/>
      <c r="R33" s="28"/>
      <c r="S33" s="28"/>
      <c r="T33" s="28"/>
      <c r="U33" s="28"/>
      <c r="V33" s="28"/>
      <c r="W33" s="28"/>
    </row>
    <row r="34" spans="2:23" ht="80.099999999999994" customHeight="1" x14ac:dyDescent="0.25">
      <c r="B34" s="77" t="s">
        <v>366</v>
      </c>
      <c r="C34" s="28">
        <v>1</v>
      </c>
      <c r="D34" s="77" t="s">
        <v>368</v>
      </c>
      <c r="E34" s="77" t="s">
        <v>433</v>
      </c>
      <c r="F34" s="77" t="s">
        <v>434</v>
      </c>
      <c r="G34" s="77" t="s">
        <v>103</v>
      </c>
      <c r="H34" s="77" t="s">
        <v>435</v>
      </c>
      <c r="I34" s="75" t="s">
        <v>374</v>
      </c>
      <c r="J34" s="76" t="s">
        <v>436</v>
      </c>
      <c r="K34" s="76" t="s">
        <v>437</v>
      </c>
      <c r="L34" s="28"/>
      <c r="M34" s="28"/>
      <c r="N34" s="28" t="s">
        <v>169</v>
      </c>
      <c r="O34" s="28"/>
      <c r="P34" s="28"/>
      <c r="Q34" s="28"/>
      <c r="R34" s="28"/>
      <c r="S34" s="28"/>
      <c r="T34" s="28"/>
      <c r="U34" s="28"/>
      <c r="V34" s="28"/>
      <c r="W34" s="28"/>
    </row>
    <row r="35" spans="2:23" ht="80.099999999999994" customHeight="1" x14ac:dyDescent="0.25">
      <c r="B35" s="77" t="s">
        <v>366</v>
      </c>
      <c r="C35" s="28">
        <v>1</v>
      </c>
      <c r="D35" s="77" t="s">
        <v>368</v>
      </c>
      <c r="E35" s="77" t="s">
        <v>438</v>
      </c>
      <c r="F35" s="77" t="s">
        <v>439</v>
      </c>
      <c r="G35" s="77" t="s">
        <v>103</v>
      </c>
      <c r="H35" s="77" t="s">
        <v>440</v>
      </c>
      <c r="I35" s="75" t="s">
        <v>374</v>
      </c>
      <c r="J35" s="76" t="s">
        <v>441</v>
      </c>
      <c r="K35" s="76" t="s">
        <v>442</v>
      </c>
      <c r="L35" s="28"/>
      <c r="M35" s="28"/>
      <c r="N35" s="28" t="s">
        <v>169</v>
      </c>
      <c r="O35" s="28"/>
      <c r="P35" s="28"/>
      <c r="Q35" s="28"/>
      <c r="R35" s="28"/>
      <c r="S35" s="28"/>
      <c r="T35" s="28"/>
      <c r="U35" s="28"/>
      <c r="V35" s="28"/>
      <c r="W35" s="28"/>
    </row>
    <row r="36" spans="2:23" ht="80.099999999999994" customHeight="1" x14ac:dyDescent="0.25">
      <c r="B36" s="77" t="s">
        <v>366</v>
      </c>
      <c r="C36" s="28">
        <v>1</v>
      </c>
      <c r="D36" s="77" t="s">
        <v>368</v>
      </c>
      <c r="E36" s="77" t="s">
        <v>443</v>
      </c>
      <c r="F36" s="77" t="s">
        <v>444</v>
      </c>
      <c r="G36" s="77" t="s">
        <v>103</v>
      </c>
      <c r="H36" s="77" t="s">
        <v>445</v>
      </c>
      <c r="I36" s="75" t="s">
        <v>374</v>
      </c>
      <c r="J36" s="76" t="s">
        <v>446</v>
      </c>
      <c r="K36" s="76" t="s">
        <v>447</v>
      </c>
      <c r="L36" s="28"/>
      <c r="M36" s="28"/>
      <c r="N36" s="28" t="s">
        <v>169</v>
      </c>
      <c r="O36" s="28"/>
      <c r="P36" s="28"/>
      <c r="Q36" s="28"/>
      <c r="R36" s="28"/>
      <c r="S36" s="28"/>
      <c r="T36" s="28"/>
      <c r="U36" s="28"/>
      <c r="V36" s="28"/>
      <c r="W36" s="28"/>
    </row>
    <row r="37" spans="2:23" ht="80.099999999999994" customHeight="1" x14ac:dyDescent="0.25">
      <c r="B37" s="77" t="s">
        <v>366</v>
      </c>
      <c r="C37" s="28">
        <v>1</v>
      </c>
      <c r="D37" s="77" t="s">
        <v>368</v>
      </c>
      <c r="E37" s="77" t="s">
        <v>448</v>
      </c>
      <c r="F37" s="77" t="s">
        <v>449</v>
      </c>
      <c r="G37" s="77" t="s">
        <v>103</v>
      </c>
      <c r="H37" s="79" t="s">
        <v>450</v>
      </c>
      <c r="I37" s="75" t="s">
        <v>374</v>
      </c>
      <c r="J37" s="76" t="s">
        <v>451</v>
      </c>
      <c r="K37" s="77" t="s">
        <v>452</v>
      </c>
      <c r="L37" s="28"/>
      <c r="M37" s="28"/>
      <c r="N37" s="28" t="s">
        <v>169</v>
      </c>
      <c r="O37" s="28"/>
      <c r="P37" s="28"/>
      <c r="Q37" s="28"/>
      <c r="R37" s="28"/>
      <c r="S37" s="28"/>
      <c r="T37" s="28"/>
      <c r="U37" s="28"/>
      <c r="V37" s="28"/>
      <c r="W37" s="28"/>
    </row>
    <row r="38" spans="2:23" ht="80.099999999999994" customHeight="1" x14ac:dyDescent="0.25">
      <c r="B38" s="77" t="s">
        <v>366</v>
      </c>
      <c r="C38" s="28">
        <v>1</v>
      </c>
      <c r="D38" s="77" t="s">
        <v>368</v>
      </c>
      <c r="E38" s="77" t="s">
        <v>453</v>
      </c>
      <c r="F38" s="77" t="s">
        <v>454</v>
      </c>
      <c r="G38" s="77" t="s">
        <v>103</v>
      </c>
      <c r="H38" s="77" t="s">
        <v>455</v>
      </c>
      <c r="I38" s="75" t="s">
        <v>374</v>
      </c>
      <c r="J38" s="76" t="s">
        <v>456</v>
      </c>
      <c r="K38" s="77" t="s">
        <v>457</v>
      </c>
      <c r="L38" s="28"/>
      <c r="M38" s="28"/>
      <c r="N38" s="28" t="s">
        <v>169</v>
      </c>
      <c r="O38" s="28"/>
      <c r="P38" s="28"/>
      <c r="Q38" s="28"/>
      <c r="R38" s="28"/>
      <c r="S38" s="28"/>
      <c r="T38" s="28"/>
      <c r="U38" s="28"/>
      <c r="V38" s="28"/>
      <c r="W38" s="28"/>
    </row>
    <row r="39" spans="2:23" ht="80.099999999999994" customHeight="1" x14ac:dyDescent="0.25">
      <c r="B39" s="77" t="s">
        <v>366</v>
      </c>
      <c r="C39" s="28">
        <v>1</v>
      </c>
      <c r="D39" s="77" t="s">
        <v>368</v>
      </c>
      <c r="E39" s="77" t="s">
        <v>458</v>
      </c>
      <c r="F39" s="77" t="s">
        <v>462</v>
      </c>
      <c r="G39" s="77" t="s">
        <v>103</v>
      </c>
      <c r="H39" s="76" t="s">
        <v>459</v>
      </c>
      <c r="I39" s="75" t="s">
        <v>374</v>
      </c>
      <c r="J39" s="76" t="s">
        <v>460</v>
      </c>
      <c r="K39" s="77" t="s">
        <v>461</v>
      </c>
      <c r="L39" s="28"/>
      <c r="M39" s="28"/>
      <c r="N39" s="28" t="s">
        <v>169</v>
      </c>
      <c r="O39" s="28"/>
      <c r="P39" s="28"/>
      <c r="Q39" s="28"/>
      <c r="R39" s="28"/>
      <c r="S39" s="28"/>
      <c r="T39" s="28"/>
      <c r="U39" s="28"/>
      <c r="V39" s="28"/>
      <c r="W39" s="28"/>
    </row>
    <row r="40" spans="2:23" ht="80.099999999999994" customHeight="1" x14ac:dyDescent="0.25">
      <c r="B40" s="77" t="s">
        <v>366</v>
      </c>
      <c r="C40" s="28">
        <v>1</v>
      </c>
      <c r="D40" s="77" t="s">
        <v>368</v>
      </c>
      <c r="E40" s="77" t="s">
        <v>468</v>
      </c>
      <c r="F40" s="77" t="s">
        <v>464</v>
      </c>
      <c r="G40" s="77" t="s">
        <v>103</v>
      </c>
      <c r="H40" s="77" t="s">
        <v>465</v>
      </c>
      <c r="I40" s="75" t="s">
        <v>374</v>
      </c>
      <c r="J40" s="76" t="s">
        <v>466</v>
      </c>
      <c r="K40" s="77" t="s">
        <v>467</v>
      </c>
      <c r="L40" s="28"/>
      <c r="M40" s="28"/>
      <c r="N40" s="28" t="s">
        <v>169</v>
      </c>
      <c r="O40" s="28"/>
      <c r="P40" s="28"/>
      <c r="Q40" s="28"/>
      <c r="R40" s="28"/>
      <c r="S40" s="28"/>
      <c r="T40" s="28"/>
      <c r="U40" s="28"/>
      <c r="V40" s="28"/>
      <c r="W40" s="28"/>
    </row>
    <row r="41" spans="2:23" ht="80.099999999999994" customHeight="1" x14ac:dyDescent="0.25">
      <c r="B41" s="77" t="s">
        <v>366</v>
      </c>
      <c r="C41" s="28">
        <v>1</v>
      </c>
      <c r="D41" s="77" t="s">
        <v>368</v>
      </c>
      <c r="E41" s="77" t="s">
        <v>463</v>
      </c>
      <c r="F41" s="77" t="s">
        <v>469</v>
      </c>
      <c r="G41" s="77" t="s">
        <v>103</v>
      </c>
      <c r="H41" s="74" t="s">
        <v>470</v>
      </c>
      <c r="I41" s="75" t="s">
        <v>374</v>
      </c>
      <c r="J41" s="76" t="s">
        <v>471</v>
      </c>
      <c r="K41" s="77" t="s">
        <v>472</v>
      </c>
      <c r="L41" s="28"/>
      <c r="M41" s="28"/>
      <c r="N41" s="28" t="s">
        <v>169</v>
      </c>
      <c r="O41" s="28"/>
      <c r="P41" s="28"/>
      <c r="Q41" s="28"/>
      <c r="R41" s="28"/>
      <c r="S41" s="28"/>
      <c r="T41" s="28"/>
      <c r="U41" s="28"/>
      <c r="V41" s="28"/>
      <c r="W41" s="28"/>
    </row>
    <row r="42" spans="2:23" ht="80.099999999999994" customHeight="1" x14ac:dyDescent="0.25">
      <c r="B42" s="77" t="s">
        <v>366</v>
      </c>
      <c r="C42" s="28">
        <v>1</v>
      </c>
      <c r="D42" s="77" t="s">
        <v>368</v>
      </c>
      <c r="E42" s="77" t="s">
        <v>473</v>
      </c>
      <c r="F42" s="77" t="s">
        <v>474</v>
      </c>
      <c r="G42" s="77" t="s">
        <v>103</v>
      </c>
      <c r="H42" s="77" t="s">
        <v>475</v>
      </c>
      <c r="I42" s="75" t="s">
        <v>374</v>
      </c>
      <c r="J42" s="76" t="s">
        <v>476</v>
      </c>
      <c r="K42" s="77" t="s">
        <v>480</v>
      </c>
      <c r="L42" s="28"/>
      <c r="M42" s="28"/>
      <c r="N42" s="28" t="s">
        <v>169</v>
      </c>
      <c r="O42" s="28"/>
      <c r="P42" s="28"/>
      <c r="Q42" s="28"/>
      <c r="R42" s="28"/>
      <c r="S42" s="28"/>
      <c r="T42" s="28"/>
      <c r="U42" s="28"/>
      <c r="V42" s="28"/>
      <c r="W42" s="28"/>
    </row>
    <row r="43" spans="2:23" ht="80.099999999999994" customHeight="1" x14ac:dyDescent="0.25">
      <c r="B43" s="77" t="s">
        <v>366</v>
      </c>
      <c r="C43" s="28">
        <v>1</v>
      </c>
      <c r="D43" s="77" t="s">
        <v>368</v>
      </c>
      <c r="E43" s="77" t="s">
        <v>478</v>
      </c>
      <c r="F43" s="77" t="s">
        <v>477</v>
      </c>
      <c r="G43" s="77" t="s">
        <v>103</v>
      </c>
      <c r="H43" s="77" t="s">
        <v>496</v>
      </c>
      <c r="I43" s="75" t="s">
        <v>374</v>
      </c>
      <c r="J43" s="76" t="s">
        <v>479</v>
      </c>
      <c r="K43" s="77" t="s">
        <v>480</v>
      </c>
      <c r="L43" s="28"/>
      <c r="M43" s="28"/>
      <c r="N43" s="28" t="s">
        <v>169</v>
      </c>
      <c r="O43" s="28"/>
      <c r="P43" s="28"/>
      <c r="Q43" s="28"/>
      <c r="R43" s="28"/>
      <c r="S43" s="28"/>
      <c r="T43" s="28"/>
      <c r="U43" s="28"/>
      <c r="V43" s="28"/>
      <c r="W43" s="28"/>
    </row>
    <row r="44" spans="2:23" ht="80.099999999999994" customHeight="1" x14ac:dyDescent="0.25">
      <c r="B44" s="77" t="s">
        <v>366</v>
      </c>
      <c r="C44" s="28">
        <v>1</v>
      </c>
      <c r="D44" s="77" t="s">
        <v>368</v>
      </c>
      <c r="E44" s="77" t="s">
        <v>482</v>
      </c>
      <c r="F44" s="77" t="s">
        <v>481</v>
      </c>
      <c r="G44" s="77" t="s">
        <v>103</v>
      </c>
      <c r="H44" s="77" t="s">
        <v>483</v>
      </c>
      <c r="I44" s="75" t="s">
        <v>374</v>
      </c>
      <c r="J44" s="76" t="s">
        <v>484</v>
      </c>
      <c r="K44" s="77" t="s">
        <v>480</v>
      </c>
      <c r="L44" s="28"/>
      <c r="M44" s="28"/>
      <c r="N44" s="28" t="s">
        <v>169</v>
      </c>
      <c r="O44" s="28"/>
      <c r="P44" s="28"/>
      <c r="Q44" s="28"/>
      <c r="R44" s="28"/>
      <c r="S44" s="28"/>
      <c r="T44" s="28"/>
      <c r="U44" s="28"/>
      <c r="V44" s="28"/>
      <c r="W44" s="28"/>
    </row>
    <row r="45" spans="2:23" ht="80.099999999999994" customHeight="1" x14ac:dyDescent="0.25">
      <c r="B45" s="77" t="s">
        <v>366</v>
      </c>
      <c r="C45" s="28">
        <v>1</v>
      </c>
      <c r="D45" s="77" t="s">
        <v>368</v>
      </c>
      <c r="E45" s="77" t="s">
        <v>485</v>
      </c>
      <c r="F45" s="77" t="s">
        <v>486</v>
      </c>
      <c r="G45" s="77" t="s">
        <v>103</v>
      </c>
      <c r="H45" s="77" t="s">
        <v>492</v>
      </c>
      <c r="I45" s="75" t="s">
        <v>374</v>
      </c>
      <c r="J45" s="76" t="s">
        <v>487</v>
      </c>
      <c r="K45" s="77" t="s">
        <v>488</v>
      </c>
      <c r="L45" s="28"/>
      <c r="M45" s="28"/>
      <c r="N45" s="28" t="s">
        <v>169</v>
      </c>
      <c r="O45" s="28"/>
      <c r="P45" s="28"/>
      <c r="Q45" s="28"/>
      <c r="R45" s="28"/>
      <c r="S45" s="28"/>
      <c r="T45" s="28"/>
      <c r="U45" s="28"/>
      <c r="V45" s="28"/>
      <c r="W45" s="28"/>
    </row>
    <row r="46" spans="2:23" ht="80.099999999999994" customHeight="1" x14ac:dyDescent="0.25">
      <c r="B46" s="77" t="s">
        <v>366</v>
      </c>
      <c r="C46" s="28">
        <v>1</v>
      </c>
      <c r="D46" s="77" t="s">
        <v>368</v>
      </c>
      <c r="E46" s="77" t="s">
        <v>489</v>
      </c>
      <c r="F46" s="77" t="s">
        <v>490</v>
      </c>
      <c r="G46" s="77" t="s">
        <v>103</v>
      </c>
      <c r="H46" s="77" t="s">
        <v>491</v>
      </c>
      <c r="I46" s="75" t="s">
        <v>374</v>
      </c>
      <c r="J46" s="76" t="s">
        <v>493</v>
      </c>
      <c r="K46" s="74" t="s">
        <v>494</v>
      </c>
      <c r="L46" s="28"/>
      <c r="M46" s="28"/>
      <c r="N46" s="28" t="s">
        <v>169</v>
      </c>
      <c r="O46" s="28"/>
      <c r="P46" s="28"/>
      <c r="Q46" s="28"/>
      <c r="R46" s="28"/>
      <c r="S46" s="28"/>
      <c r="T46" s="28"/>
      <c r="U46" s="28"/>
      <c r="V46" s="28"/>
      <c r="W46" s="28"/>
    </row>
    <row r="47" spans="2:23" ht="80.099999999999994" customHeight="1" x14ac:dyDescent="0.25">
      <c r="B47" s="28"/>
      <c r="C47" s="28"/>
      <c r="D47" s="77"/>
      <c r="E47" s="77"/>
      <c r="F47" s="77"/>
      <c r="G47" s="77"/>
      <c r="H47" s="77"/>
      <c r="I47" s="75"/>
      <c r="J47" s="76"/>
      <c r="K47" s="77"/>
      <c r="L47" s="28"/>
      <c r="M47" s="28"/>
      <c r="N47" s="28"/>
      <c r="O47" s="28"/>
      <c r="P47" s="28"/>
      <c r="Q47" s="28"/>
      <c r="R47" s="28"/>
      <c r="S47" s="28"/>
      <c r="T47" s="28"/>
      <c r="U47" s="28"/>
      <c r="V47" s="28"/>
      <c r="W47" s="28"/>
    </row>
    <row r="48" spans="2:23" ht="80.099999999999994" customHeight="1" x14ac:dyDescent="0.25">
      <c r="B48" s="28"/>
      <c r="C48" s="28"/>
      <c r="D48" s="77"/>
      <c r="E48" s="77"/>
      <c r="F48" s="77"/>
      <c r="G48" s="77"/>
      <c r="H48" s="77"/>
      <c r="I48" s="75"/>
      <c r="J48" s="76"/>
      <c r="K48" s="77"/>
      <c r="L48" s="28"/>
      <c r="M48" s="28"/>
      <c r="N48" s="28"/>
      <c r="O48" s="28"/>
      <c r="P48" s="28"/>
      <c r="Q48" s="28"/>
      <c r="R48" s="28"/>
      <c r="S48" s="28"/>
      <c r="T48" s="28"/>
      <c r="U48" s="28"/>
      <c r="V48" s="28"/>
      <c r="W48" s="28"/>
    </row>
    <row r="49" spans="2:23" ht="80.099999999999994" customHeight="1" x14ac:dyDescent="0.25">
      <c r="B49" s="28"/>
      <c r="C49" s="28"/>
      <c r="D49" s="77"/>
      <c r="E49" s="77"/>
      <c r="F49" s="77"/>
      <c r="G49" s="77"/>
      <c r="H49" s="76"/>
      <c r="I49" s="75"/>
      <c r="J49" s="76"/>
      <c r="K49" s="77"/>
      <c r="L49" s="28"/>
      <c r="M49" s="28"/>
      <c r="N49" s="28"/>
      <c r="O49" s="28"/>
      <c r="P49" s="28"/>
      <c r="Q49" s="28"/>
      <c r="R49" s="28"/>
      <c r="S49" s="28"/>
      <c r="T49" s="28"/>
      <c r="U49" s="28"/>
      <c r="V49" s="28"/>
      <c r="W49" s="28"/>
    </row>
    <row r="50" spans="2:23" ht="80.099999999999994" customHeight="1" x14ac:dyDescent="0.25">
      <c r="B50" s="28"/>
      <c r="C50" s="28"/>
      <c r="D50" s="77"/>
      <c r="E50" s="77"/>
      <c r="F50" s="77"/>
      <c r="G50" s="77"/>
      <c r="H50" s="76"/>
      <c r="I50" s="75"/>
      <c r="J50" s="76"/>
      <c r="K50" s="77"/>
      <c r="L50" s="28"/>
      <c r="M50" s="28"/>
      <c r="N50" s="28"/>
      <c r="O50" s="28"/>
      <c r="P50" s="28"/>
      <c r="Q50" s="28"/>
      <c r="R50" s="28"/>
      <c r="S50" s="28"/>
      <c r="T50" s="28"/>
      <c r="U50" s="28"/>
      <c r="V50" s="28"/>
      <c r="W50" s="28"/>
    </row>
    <row r="51" spans="2:23" ht="80.099999999999994" customHeight="1" x14ac:dyDescent="0.25">
      <c r="B51" s="28"/>
      <c r="C51" s="28"/>
      <c r="D51" s="77"/>
      <c r="E51" s="77"/>
      <c r="F51" s="77"/>
      <c r="G51" s="77"/>
      <c r="H51" s="76"/>
      <c r="I51" s="75"/>
      <c r="J51" s="76"/>
      <c r="K51" s="77"/>
      <c r="L51" s="28"/>
      <c r="M51" s="28"/>
      <c r="N51" s="28"/>
      <c r="O51" s="28"/>
      <c r="P51" s="28"/>
      <c r="Q51" s="28"/>
      <c r="R51" s="28"/>
      <c r="S51" s="28"/>
      <c r="T51" s="28"/>
      <c r="U51" s="28"/>
      <c r="V51" s="28"/>
      <c r="W51" s="28"/>
    </row>
    <row r="52" spans="2:23" ht="80.099999999999994" customHeight="1" x14ac:dyDescent="0.25">
      <c r="B52" s="28"/>
      <c r="C52" s="28"/>
      <c r="D52" s="77"/>
      <c r="E52" s="77"/>
      <c r="F52" s="77"/>
      <c r="G52" s="77"/>
      <c r="H52" s="76"/>
      <c r="I52" s="75"/>
      <c r="J52" s="76"/>
      <c r="K52" s="77"/>
      <c r="L52" s="28"/>
      <c r="M52" s="28"/>
      <c r="N52" s="28"/>
      <c r="O52" s="28"/>
      <c r="P52" s="28"/>
      <c r="Q52" s="28"/>
      <c r="R52" s="28"/>
      <c r="S52" s="28"/>
      <c r="T52" s="28"/>
      <c r="U52" s="28"/>
      <c r="V52" s="28"/>
      <c r="W52" s="28"/>
    </row>
    <row r="53" spans="2:23" ht="80.099999999999994" customHeight="1" x14ac:dyDescent="0.25">
      <c r="B53" s="28"/>
      <c r="C53" s="28"/>
      <c r="D53" s="77"/>
      <c r="E53" s="77"/>
      <c r="F53" s="77"/>
      <c r="G53" s="77"/>
      <c r="H53" s="76"/>
      <c r="I53" s="75"/>
      <c r="J53" s="76"/>
      <c r="K53" s="77"/>
      <c r="L53" s="28"/>
      <c r="M53" s="28"/>
      <c r="N53" s="28"/>
      <c r="O53" s="28"/>
      <c r="P53" s="28"/>
      <c r="Q53" s="28"/>
      <c r="R53" s="28"/>
      <c r="S53" s="28"/>
      <c r="T53" s="28"/>
      <c r="U53" s="28"/>
      <c r="V53" s="28"/>
      <c r="W53" s="28"/>
    </row>
    <row r="54" spans="2:23" ht="80.099999999999994" customHeight="1" x14ac:dyDescent="0.25">
      <c r="B54" s="28"/>
      <c r="C54" s="28"/>
      <c r="D54" s="77"/>
      <c r="E54" s="77"/>
      <c r="F54" s="77"/>
      <c r="G54" s="77"/>
      <c r="H54" s="76"/>
      <c r="I54" s="75"/>
      <c r="J54" s="76"/>
      <c r="K54" s="77"/>
      <c r="L54" s="28"/>
      <c r="M54" s="28"/>
      <c r="N54" s="28"/>
      <c r="O54" s="28"/>
      <c r="P54" s="28"/>
      <c r="Q54" s="28"/>
      <c r="R54" s="28"/>
      <c r="S54" s="28"/>
      <c r="T54" s="28"/>
      <c r="U54" s="28"/>
      <c r="V54" s="28"/>
      <c r="W54" s="28"/>
    </row>
    <row r="55" spans="2:23" ht="80.099999999999994" customHeight="1" x14ac:dyDescent="0.25">
      <c r="B55" s="28"/>
      <c r="C55" s="28"/>
      <c r="D55" s="77"/>
      <c r="E55" s="77"/>
      <c r="F55" s="77"/>
      <c r="G55" s="77"/>
      <c r="H55" s="76"/>
      <c r="I55" s="75"/>
      <c r="J55" s="76"/>
      <c r="K55" s="77"/>
      <c r="L55" s="28"/>
      <c r="M55" s="28"/>
      <c r="N55" s="28"/>
      <c r="O55" s="28"/>
      <c r="P55" s="28"/>
      <c r="Q55" s="28"/>
      <c r="R55" s="28"/>
      <c r="S55" s="28"/>
      <c r="T55" s="28"/>
      <c r="U55" s="28"/>
      <c r="V55" s="28"/>
      <c r="W55" s="28"/>
    </row>
    <row r="56" spans="2:23" ht="80.099999999999994" customHeight="1" x14ac:dyDescent="0.25">
      <c r="B56" s="28"/>
      <c r="C56" s="28"/>
      <c r="D56" s="77"/>
      <c r="E56" s="77"/>
      <c r="F56" s="77"/>
      <c r="G56" s="77"/>
      <c r="H56" s="76"/>
      <c r="I56" s="75"/>
      <c r="J56" s="76"/>
      <c r="K56" s="77"/>
      <c r="L56" s="28"/>
      <c r="M56" s="28"/>
      <c r="N56" s="28"/>
      <c r="O56" s="28"/>
      <c r="P56" s="28"/>
      <c r="Q56" s="28"/>
      <c r="R56" s="28"/>
      <c r="S56" s="28"/>
      <c r="T56" s="28"/>
      <c r="U56" s="28"/>
      <c r="V56" s="28"/>
      <c r="W56" s="28"/>
    </row>
    <row r="57" spans="2:23" ht="80.099999999999994" customHeight="1" x14ac:dyDescent="0.25">
      <c r="B57" s="28"/>
      <c r="C57" s="28"/>
      <c r="D57" s="77"/>
      <c r="E57" s="77"/>
      <c r="F57" s="77"/>
      <c r="G57" s="77"/>
      <c r="H57" s="76"/>
      <c r="I57" s="75"/>
      <c r="J57" s="76"/>
      <c r="K57" s="77"/>
      <c r="L57" s="28"/>
      <c r="M57" s="28"/>
      <c r="N57" s="28"/>
      <c r="O57" s="28"/>
      <c r="P57" s="28"/>
      <c r="Q57" s="28"/>
      <c r="R57" s="28"/>
      <c r="S57" s="28"/>
      <c r="T57" s="28"/>
      <c r="U57" s="28"/>
      <c r="V57" s="28"/>
      <c r="W57" s="28"/>
    </row>
    <row r="58" spans="2:23" ht="80.099999999999994" customHeight="1" x14ac:dyDescent="0.25">
      <c r="B58" s="28"/>
      <c r="C58" s="28"/>
      <c r="D58" s="77"/>
      <c r="E58" s="77"/>
      <c r="F58" s="77"/>
      <c r="G58" s="77"/>
      <c r="H58" s="76"/>
      <c r="I58" s="75"/>
      <c r="J58" s="76"/>
      <c r="K58" s="77"/>
      <c r="L58" s="28"/>
      <c r="M58" s="28"/>
      <c r="N58" s="28"/>
      <c r="O58" s="28"/>
      <c r="P58" s="28"/>
      <c r="Q58" s="28"/>
      <c r="R58" s="28"/>
      <c r="S58" s="28"/>
      <c r="T58" s="28"/>
      <c r="U58" s="28"/>
      <c r="V58" s="28"/>
      <c r="W58" s="28"/>
    </row>
    <row r="59" spans="2:23" ht="80.099999999999994" customHeight="1" x14ac:dyDescent="0.25">
      <c r="B59" s="28"/>
      <c r="C59" s="28"/>
      <c r="D59" s="77"/>
      <c r="E59" s="77"/>
      <c r="F59" s="77"/>
      <c r="G59" s="77"/>
      <c r="H59" s="76"/>
      <c r="I59" s="75"/>
      <c r="J59" s="76"/>
      <c r="K59" s="77"/>
      <c r="L59" s="28"/>
      <c r="M59" s="28"/>
      <c r="N59" s="28"/>
      <c r="O59" s="28"/>
      <c r="P59" s="28"/>
      <c r="Q59" s="28"/>
      <c r="R59" s="28"/>
      <c r="S59" s="28"/>
      <c r="T59" s="28"/>
      <c r="U59" s="28"/>
      <c r="V59" s="28"/>
      <c r="W59" s="28"/>
    </row>
    <row r="60" spans="2:23" ht="80.099999999999994" customHeight="1" x14ac:dyDescent="0.25">
      <c r="B60" s="28"/>
      <c r="C60" s="28"/>
      <c r="D60" s="77"/>
      <c r="E60" s="79"/>
      <c r="F60" s="77"/>
      <c r="G60" s="77"/>
      <c r="H60" s="77"/>
      <c r="I60" s="75"/>
      <c r="J60" s="76"/>
      <c r="K60" s="77"/>
      <c r="L60" s="28"/>
      <c r="M60" s="28"/>
      <c r="N60" s="28"/>
      <c r="O60" s="28"/>
      <c r="P60" s="28"/>
      <c r="Q60" s="28"/>
      <c r="R60" s="28"/>
      <c r="S60" s="28"/>
      <c r="T60" s="28"/>
      <c r="U60" s="28"/>
      <c r="V60" s="28"/>
      <c r="W60" s="28"/>
    </row>
    <row r="61" spans="2:23" ht="80.099999999999994" customHeight="1" x14ac:dyDescent="0.25">
      <c r="B61" s="28"/>
      <c r="C61" s="28"/>
      <c r="D61" s="77"/>
      <c r="E61" s="77"/>
      <c r="F61" s="77"/>
      <c r="G61" s="77"/>
      <c r="H61" s="76"/>
      <c r="I61" s="75"/>
      <c r="J61" s="76"/>
      <c r="K61" s="77"/>
      <c r="L61" s="28"/>
      <c r="M61" s="28"/>
      <c r="N61" s="28"/>
      <c r="O61" s="28"/>
      <c r="P61" s="28"/>
      <c r="Q61" s="28"/>
      <c r="R61" s="28"/>
      <c r="S61" s="28"/>
      <c r="T61" s="28"/>
      <c r="U61" s="28"/>
      <c r="V61" s="28"/>
      <c r="W61" s="28"/>
    </row>
    <row r="62" spans="2:23" ht="80.099999999999994" customHeight="1" x14ac:dyDescent="0.25">
      <c r="B62" s="28"/>
      <c r="C62" s="28"/>
      <c r="D62" s="77"/>
      <c r="E62" s="77"/>
      <c r="F62" s="77"/>
      <c r="G62" s="77"/>
      <c r="H62" s="76"/>
      <c r="I62" s="75"/>
      <c r="J62" s="76"/>
      <c r="K62" s="77"/>
      <c r="L62" s="28"/>
      <c r="M62" s="28"/>
      <c r="N62" s="28"/>
      <c r="O62" s="28"/>
      <c r="P62" s="28"/>
      <c r="Q62" s="28"/>
      <c r="R62" s="28"/>
      <c r="S62" s="28"/>
      <c r="T62" s="28"/>
      <c r="U62" s="28"/>
      <c r="V62" s="28"/>
      <c r="W62" s="28"/>
    </row>
    <row r="63" spans="2:23" ht="80.099999999999994" customHeight="1" x14ac:dyDescent="0.25">
      <c r="B63" s="28"/>
      <c r="C63" s="28"/>
      <c r="D63" s="77"/>
      <c r="E63" s="77"/>
      <c r="F63" s="77"/>
      <c r="G63" s="77"/>
      <c r="H63" s="76"/>
      <c r="I63" s="75"/>
      <c r="J63" s="76"/>
      <c r="K63" s="77"/>
      <c r="L63" s="28"/>
      <c r="M63" s="28"/>
      <c r="N63" s="28"/>
      <c r="O63" s="28"/>
      <c r="P63" s="28"/>
      <c r="Q63" s="28"/>
      <c r="R63" s="28"/>
      <c r="S63" s="28"/>
      <c r="T63" s="28"/>
      <c r="U63" s="28"/>
      <c r="V63" s="28"/>
      <c r="W63" s="28"/>
    </row>
    <row r="64" spans="2:23" ht="80.099999999999994" customHeight="1" x14ac:dyDescent="0.25">
      <c r="B64" s="28"/>
      <c r="C64" s="28"/>
      <c r="D64" s="77"/>
      <c r="E64" s="77"/>
      <c r="F64" s="77"/>
      <c r="G64" s="77"/>
      <c r="H64" s="76"/>
      <c r="I64" s="75"/>
      <c r="J64" s="76"/>
      <c r="K64" s="77"/>
      <c r="L64" s="28"/>
      <c r="M64" s="28"/>
      <c r="N64" s="28"/>
      <c r="O64" s="28"/>
      <c r="P64" s="28"/>
      <c r="Q64" s="28"/>
      <c r="R64" s="28"/>
      <c r="S64" s="28"/>
      <c r="T64" s="28"/>
      <c r="U64" s="28"/>
      <c r="V64" s="28"/>
      <c r="W64" s="28"/>
    </row>
    <row r="65" spans="2:23" ht="80.099999999999994" customHeight="1" x14ac:dyDescent="0.25">
      <c r="B65" s="28"/>
      <c r="C65" s="28"/>
      <c r="D65" s="77"/>
      <c r="E65" s="77"/>
      <c r="F65" s="77"/>
      <c r="G65" s="77"/>
      <c r="H65" s="76"/>
      <c r="I65" s="75"/>
      <c r="J65" s="76"/>
      <c r="K65" s="77"/>
      <c r="L65" s="28"/>
      <c r="M65" s="28"/>
      <c r="N65" s="28"/>
      <c r="O65" s="28"/>
      <c r="P65" s="28"/>
      <c r="Q65" s="28"/>
      <c r="R65" s="28"/>
      <c r="S65" s="28"/>
      <c r="T65" s="28"/>
      <c r="U65" s="28"/>
      <c r="V65" s="28"/>
      <c r="W65" s="28"/>
    </row>
    <row r="66" spans="2:23" ht="80.099999999999994" customHeight="1" x14ac:dyDescent="0.25">
      <c r="B66" s="28"/>
      <c r="C66" s="28"/>
      <c r="D66" s="77"/>
      <c r="E66" s="77"/>
      <c r="F66" s="77"/>
      <c r="G66" s="77"/>
      <c r="H66" s="76"/>
      <c r="I66" s="75"/>
      <c r="J66" s="76"/>
      <c r="K66" s="77"/>
      <c r="L66" s="28"/>
      <c r="M66" s="28"/>
      <c r="N66" s="28"/>
      <c r="O66" s="28"/>
      <c r="P66" s="28"/>
      <c r="Q66" s="28"/>
      <c r="R66" s="28"/>
      <c r="S66" s="28"/>
      <c r="T66" s="28"/>
      <c r="U66" s="28"/>
      <c r="V66" s="28"/>
      <c r="W66" s="28"/>
    </row>
    <row r="67" spans="2:23" ht="80.099999999999994" customHeight="1" x14ac:dyDescent="0.25">
      <c r="B67" s="28"/>
      <c r="C67" s="28"/>
      <c r="D67" s="77"/>
      <c r="E67" s="77"/>
      <c r="F67" s="77"/>
      <c r="G67" s="77"/>
      <c r="H67" s="76"/>
      <c r="I67" s="75"/>
      <c r="J67" s="76"/>
      <c r="K67" s="77"/>
      <c r="L67" s="28"/>
      <c r="M67" s="28"/>
      <c r="N67" s="28"/>
      <c r="O67" s="28"/>
      <c r="P67" s="28"/>
      <c r="Q67" s="28"/>
      <c r="R67" s="28"/>
      <c r="S67" s="28"/>
      <c r="T67" s="28"/>
      <c r="U67" s="28"/>
      <c r="V67" s="28"/>
      <c r="W67" s="28"/>
    </row>
    <row r="68" spans="2:23" ht="80.099999999999994" customHeight="1" x14ac:dyDescent="0.25">
      <c r="B68" s="28"/>
      <c r="C68" s="28"/>
      <c r="D68" s="77"/>
      <c r="E68" s="77"/>
      <c r="F68" s="77"/>
      <c r="G68" s="77"/>
      <c r="H68" s="76"/>
      <c r="I68" s="75"/>
      <c r="J68" s="76"/>
      <c r="K68" s="77"/>
      <c r="L68" s="28"/>
      <c r="M68" s="28"/>
      <c r="N68" s="28"/>
      <c r="O68" s="28"/>
      <c r="P68" s="28"/>
      <c r="Q68" s="28"/>
      <c r="R68" s="28"/>
      <c r="S68" s="28"/>
      <c r="T68" s="28"/>
      <c r="U68" s="28"/>
      <c r="V68" s="28"/>
      <c r="W68" s="28"/>
    </row>
    <row r="69" spans="2:23" ht="80.099999999999994" customHeight="1" x14ac:dyDescent="0.25">
      <c r="B69" s="28"/>
      <c r="C69" s="28"/>
      <c r="D69" s="77"/>
      <c r="E69" s="77"/>
      <c r="F69" s="77"/>
      <c r="G69" s="77"/>
      <c r="H69" s="76"/>
      <c r="I69" s="75"/>
      <c r="J69" s="76"/>
      <c r="K69" s="77"/>
      <c r="L69" s="28"/>
      <c r="M69" s="28"/>
      <c r="N69" s="28"/>
      <c r="O69" s="28"/>
      <c r="P69" s="28"/>
      <c r="Q69" s="28"/>
      <c r="R69" s="28"/>
      <c r="S69" s="28"/>
      <c r="T69" s="28"/>
      <c r="U69" s="28"/>
      <c r="V69" s="28"/>
      <c r="W69" s="28"/>
    </row>
    <row r="70" spans="2:23" x14ac:dyDescent="0.25">
      <c r="B70" s="28"/>
      <c r="C70" s="28"/>
      <c r="D70" s="28"/>
      <c r="E70" s="28"/>
      <c r="F70" s="28"/>
      <c r="G70" s="28"/>
      <c r="H70" s="28"/>
      <c r="I70" s="28"/>
      <c r="J70" s="28"/>
      <c r="K70" s="28"/>
      <c r="L70" s="28"/>
      <c r="M70" s="28"/>
      <c r="N70" s="28"/>
      <c r="O70" s="28"/>
      <c r="P70" s="28"/>
      <c r="Q70" s="28"/>
      <c r="R70" s="28"/>
      <c r="S70" s="28"/>
      <c r="T70" s="28"/>
      <c r="U70" s="28"/>
      <c r="V70" s="28"/>
      <c r="W70" s="28"/>
    </row>
    <row r="71" spans="2:23" x14ac:dyDescent="0.25">
      <c r="B71" s="28"/>
      <c r="C71" s="28"/>
      <c r="D71" s="28"/>
      <c r="E71" s="28"/>
      <c r="F71" s="28"/>
      <c r="G71" s="28"/>
      <c r="H71" s="28"/>
      <c r="I71" s="28"/>
      <c r="J71" s="28"/>
      <c r="K71" s="28"/>
      <c r="L71" s="28"/>
      <c r="M71" s="28"/>
      <c r="N71" s="28"/>
      <c r="O71" s="28"/>
      <c r="P71" s="28"/>
      <c r="Q71" s="28"/>
      <c r="R71" s="28"/>
      <c r="S71" s="28"/>
      <c r="T71" s="28"/>
      <c r="U71" s="28"/>
      <c r="V71" s="28"/>
      <c r="W71" s="28"/>
    </row>
    <row r="72" spans="2:23" x14ac:dyDescent="0.25">
      <c r="B72" s="28"/>
      <c r="C72" s="28"/>
      <c r="D72" s="28"/>
      <c r="E72" s="28"/>
      <c r="F72" s="28"/>
      <c r="G72" s="28"/>
      <c r="H72" s="28"/>
      <c r="I72" s="28"/>
      <c r="J72" s="28"/>
      <c r="K72" s="28"/>
      <c r="L72" s="28"/>
      <c r="M72" s="28"/>
      <c r="N72" s="28"/>
      <c r="O72" s="28"/>
      <c r="P72" s="28"/>
      <c r="Q72" s="28"/>
      <c r="R72" s="28"/>
      <c r="S72" s="28"/>
      <c r="T72" s="28"/>
      <c r="U72" s="28"/>
      <c r="V72" s="28"/>
      <c r="W72" s="28"/>
    </row>
    <row r="73" spans="2:23" x14ac:dyDescent="0.25">
      <c r="B73" s="28"/>
      <c r="C73" s="28"/>
      <c r="D73" s="28"/>
      <c r="E73" s="28"/>
      <c r="F73" s="28"/>
      <c r="G73" s="28"/>
      <c r="H73" s="28"/>
      <c r="I73" s="28"/>
      <c r="J73" s="28"/>
      <c r="K73" s="28"/>
      <c r="L73" s="28"/>
      <c r="M73" s="28"/>
      <c r="N73" s="28"/>
      <c r="O73" s="28"/>
      <c r="P73" s="28"/>
      <c r="Q73" s="28"/>
      <c r="R73" s="28"/>
      <c r="S73" s="28"/>
      <c r="T73" s="28"/>
      <c r="U73" s="28"/>
      <c r="V73" s="28"/>
      <c r="W73" s="28"/>
    </row>
    <row r="74" spans="2:23" x14ac:dyDescent="0.25">
      <c r="B74" s="28"/>
      <c r="C74" s="28"/>
      <c r="D74" s="28"/>
      <c r="E74" s="28"/>
      <c r="F74" s="28"/>
      <c r="G74" s="28"/>
      <c r="H74" s="28"/>
      <c r="I74" s="28"/>
      <c r="J74" s="28"/>
      <c r="K74" s="28"/>
      <c r="L74" s="28"/>
      <c r="M74" s="28"/>
      <c r="N74" s="28"/>
      <c r="O74" s="28"/>
      <c r="P74" s="28"/>
      <c r="Q74" s="28"/>
      <c r="R74" s="28"/>
      <c r="S74" s="28"/>
      <c r="T74" s="28"/>
      <c r="U74" s="28"/>
      <c r="V74" s="28"/>
      <c r="W74" s="28"/>
    </row>
    <row r="75" spans="2:23" x14ac:dyDescent="0.25">
      <c r="B75" s="28"/>
      <c r="C75" s="28"/>
      <c r="D75" s="28"/>
      <c r="E75" s="28"/>
      <c r="F75" s="28"/>
      <c r="G75" s="28"/>
      <c r="H75" s="28"/>
      <c r="I75" s="28"/>
      <c r="J75" s="28"/>
      <c r="K75" s="28"/>
      <c r="L75" s="28"/>
      <c r="M75" s="28"/>
      <c r="N75" s="28"/>
      <c r="O75" s="28"/>
      <c r="P75" s="28"/>
      <c r="Q75" s="28"/>
      <c r="R75" s="28"/>
      <c r="S75" s="28"/>
      <c r="T75" s="28"/>
      <c r="U75" s="28"/>
      <c r="V75" s="28"/>
      <c r="W75" s="28"/>
    </row>
    <row r="76" spans="2:23" x14ac:dyDescent="0.25">
      <c r="B76" s="28"/>
      <c r="C76" s="28"/>
      <c r="D76" s="28"/>
      <c r="E76" s="28"/>
      <c r="F76" s="28"/>
      <c r="G76" s="28"/>
      <c r="H76" s="28"/>
      <c r="I76" s="28"/>
      <c r="J76" s="28"/>
      <c r="K76" s="28"/>
      <c r="L76" s="28"/>
      <c r="M76" s="28"/>
      <c r="N76" s="28"/>
      <c r="O76" s="28"/>
      <c r="P76" s="28"/>
      <c r="Q76" s="28"/>
      <c r="R76" s="28"/>
      <c r="S76" s="28"/>
      <c r="T76" s="28"/>
      <c r="U76" s="28"/>
      <c r="V76" s="28"/>
      <c r="W76" s="28"/>
    </row>
    <row r="77" spans="2:23" x14ac:dyDescent="0.25">
      <c r="B77" s="28"/>
      <c r="C77" s="28"/>
      <c r="D77" s="28"/>
      <c r="E77" s="28"/>
      <c r="F77" s="28"/>
      <c r="G77" s="28"/>
      <c r="H77" s="28"/>
      <c r="I77" s="28"/>
      <c r="J77" s="28"/>
      <c r="K77" s="28"/>
      <c r="L77" s="28"/>
      <c r="M77" s="28"/>
      <c r="N77" s="28"/>
      <c r="O77" s="28"/>
      <c r="P77" s="28"/>
      <c r="Q77" s="28"/>
      <c r="R77" s="28"/>
      <c r="S77" s="28"/>
      <c r="T77" s="28"/>
      <c r="U77" s="28"/>
      <c r="V77" s="28"/>
      <c r="W77" s="28"/>
    </row>
    <row r="78" spans="2:23" x14ac:dyDescent="0.25">
      <c r="B78" s="28"/>
      <c r="C78" s="28"/>
      <c r="D78" s="28"/>
      <c r="E78" s="28"/>
      <c r="F78" s="28"/>
      <c r="G78" s="28"/>
      <c r="H78" s="28"/>
      <c r="I78" s="28"/>
      <c r="J78" s="28"/>
      <c r="K78" s="28"/>
      <c r="L78" s="28"/>
      <c r="M78" s="28"/>
      <c r="N78" s="28"/>
      <c r="O78" s="28"/>
      <c r="P78" s="28"/>
      <c r="Q78" s="28"/>
      <c r="R78" s="28"/>
      <c r="S78" s="28"/>
      <c r="T78" s="28"/>
      <c r="U78" s="28"/>
      <c r="V78" s="28"/>
      <c r="W78" s="28"/>
    </row>
    <row r="79" spans="2:23" x14ac:dyDescent="0.25">
      <c r="B79" s="28"/>
      <c r="C79" s="28"/>
      <c r="D79" s="28"/>
      <c r="E79" s="28"/>
      <c r="F79" s="28"/>
      <c r="G79" s="28"/>
      <c r="H79" s="28"/>
      <c r="I79" s="28"/>
      <c r="J79" s="28"/>
      <c r="K79" s="28"/>
      <c r="L79" s="28"/>
      <c r="M79" s="28"/>
      <c r="N79" s="28"/>
      <c r="O79" s="28"/>
      <c r="P79" s="28"/>
      <c r="Q79" s="28"/>
      <c r="R79" s="28"/>
      <c r="S79" s="28"/>
      <c r="T79" s="28"/>
      <c r="U79" s="28"/>
      <c r="V79" s="28"/>
      <c r="W79" s="28"/>
    </row>
    <row r="80" spans="2:23" x14ac:dyDescent="0.25">
      <c r="B80" s="28"/>
      <c r="C80" s="28"/>
      <c r="D80" s="28"/>
      <c r="E80" s="28"/>
      <c r="F80" s="28"/>
      <c r="G80" s="28"/>
      <c r="H80" s="28"/>
      <c r="I80" s="28"/>
      <c r="J80" s="28"/>
      <c r="K80" s="28"/>
      <c r="L80" s="28"/>
      <c r="M80" s="28"/>
      <c r="N80" s="28"/>
      <c r="O80" s="28"/>
      <c r="P80" s="28"/>
      <c r="Q80" s="28"/>
      <c r="R80" s="28"/>
      <c r="S80" s="28"/>
      <c r="T80" s="28"/>
      <c r="U80" s="28"/>
      <c r="V80" s="28"/>
      <c r="W80" s="28"/>
    </row>
    <row r="81" spans="2:23" x14ac:dyDescent="0.25">
      <c r="B81" s="28"/>
      <c r="C81" s="28"/>
      <c r="D81" s="28"/>
      <c r="E81" s="28"/>
      <c r="F81" s="28"/>
      <c r="G81" s="28"/>
      <c r="H81" s="28"/>
      <c r="I81" s="28"/>
      <c r="J81" s="28"/>
      <c r="K81" s="28"/>
      <c r="L81" s="28"/>
      <c r="M81" s="28"/>
      <c r="N81" s="28"/>
      <c r="O81" s="28"/>
      <c r="P81" s="28"/>
      <c r="Q81" s="28"/>
      <c r="R81" s="28"/>
      <c r="S81" s="28"/>
      <c r="T81" s="28"/>
      <c r="U81" s="28"/>
      <c r="V81" s="28"/>
      <c r="W81" s="28"/>
    </row>
    <row r="82" spans="2:23" x14ac:dyDescent="0.25">
      <c r="B82" s="28"/>
      <c r="C82" s="28"/>
      <c r="D82" s="28"/>
      <c r="E82" s="28"/>
      <c r="F82" s="28"/>
      <c r="G82" s="28"/>
      <c r="H82" s="28"/>
      <c r="I82" s="28"/>
      <c r="J82" s="28"/>
      <c r="K82" s="28"/>
      <c r="L82" s="28"/>
      <c r="M82" s="28"/>
      <c r="N82" s="28"/>
      <c r="O82" s="28"/>
      <c r="P82" s="28"/>
      <c r="Q82" s="28"/>
      <c r="R82" s="28"/>
      <c r="S82" s="28"/>
      <c r="T82" s="28"/>
      <c r="U82" s="28"/>
      <c r="V82" s="28"/>
      <c r="W82" s="28"/>
    </row>
    <row r="83" spans="2:23" x14ac:dyDescent="0.25">
      <c r="B83" s="28"/>
      <c r="C83" s="28"/>
      <c r="D83" s="28"/>
      <c r="E83" s="28"/>
      <c r="F83" s="28"/>
      <c r="G83" s="28"/>
      <c r="H83" s="28"/>
      <c r="I83" s="28"/>
      <c r="J83" s="28"/>
      <c r="K83" s="28"/>
      <c r="L83" s="28"/>
      <c r="M83" s="28"/>
      <c r="N83" s="28"/>
      <c r="O83" s="28"/>
      <c r="P83" s="28"/>
      <c r="Q83" s="28"/>
      <c r="R83" s="28"/>
      <c r="S83" s="28"/>
      <c r="T83" s="28"/>
      <c r="U83" s="28"/>
      <c r="V83" s="28"/>
      <c r="W83" s="28"/>
    </row>
    <row r="84" spans="2:23" x14ac:dyDescent="0.25">
      <c r="B84" s="28"/>
      <c r="C84" s="28"/>
      <c r="D84" s="28"/>
      <c r="E84" s="28"/>
      <c r="F84" s="28"/>
      <c r="G84" s="28"/>
      <c r="H84" s="28"/>
      <c r="I84" s="28"/>
      <c r="J84" s="28"/>
      <c r="K84" s="28"/>
      <c r="L84" s="28"/>
      <c r="M84" s="28"/>
      <c r="N84" s="28"/>
      <c r="O84" s="28"/>
      <c r="P84" s="28"/>
      <c r="Q84" s="28"/>
      <c r="R84" s="28"/>
      <c r="S84" s="28"/>
      <c r="T84" s="28"/>
      <c r="U84" s="28"/>
      <c r="V84" s="28"/>
      <c r="W84" s="28"/>
    </row>
    <row r="85" spans="2:23" x14ac:dyDescent="0.25">
      <c r="B85" s="28"/>
      <c r="C85" s="28"/>
      <c r="D85" s="28"/>
      <c r="E85" s="28"/>
      <c r="F85" s="28"/>
      <c r="G85" s="28"/>
      <c r="H85" s="28"/>
      <c r="I85" s="28"/>
      <c r="J85" s="28"/>
      <c r="K85" s="28"/>
      <c r="L85" s="28"/>
      <c r="M85" s="28"/>
      <c r="N85" s="28"/>
      <c r="O85" s="28"/>
      <c r="P85" s="28"/>
      <c r="Q85" s="28"/>
      <c r="R85" s="28"/>
      <c r="S85" s="28"/>
      <c r="T85" s="28"/>
      <c r="U85" s="28"/>
      <c r="V85" s="28"/>
      <c r="W85" s="28"/>
    </row>
    <row r="86" spans="2:23" x14ac:dyDescent="0.25">
      <c r="B86" s="28"/>
      <c r="C86" s="28"/>
      <c r="D86" s="28"/>
      <c r="E86" s="28"/>
      <c r="F86" s="28"/>
      <c r="G86" s="28"/>
      <c r="H86" s="28"/>
      <c r="I86" s="28"/>
      <c r="J86" s="28"/>
      <c r="K86" s="28"/>
      <c r="L86" s="28"/>
      <c r="M86" s="28"/>
      <c r="N86" s="28"/>
      <c r="O86" s="28"/>
      <c r="P86" s="28"/>
      <c r="Q86" s="28"/>
      <c r="R86" s="28"/>
      <c r="S86" s="28"/>
      <c r="T86" s="28"/>
      <c r="U86" s="28"/>
      <c r="V86" s="28"/>
      <c r="W86" s="28"/>
    </row>
    <row r="87" spans="2:23" x14ac:dyDescent="0.25">
      <c r="B87" s="28"/>
      <c r="C87" s="28"/>
      <c r="D87" s="28"/>
      <c r="E87" s="28"/>
      <c r="F87" s="28"/>
      <c r="G87" s="28"/>
      <c r="H87" s="28"/>
      <c r="I87" s="28"/>
      <c r="J87" s="28"/>
      <c r="K87" s="28"/>
      <c r="L87" s="28"/>
      <c r="M87" s="28"/>
      <c r="N87" s="28"/>
      <c r="O87" s="28"/>
      <c r="P87" s="28"/>
      <c r="Q87" s="28"/>
      <c r="R87" s="28"/>
      <c r="S87" s="28"/>
      <c r="T87" s="28"/>
      <c r="U87" s="28"/>
      <c r="V87" s="28"/>
      <c r="W87" s="28"/>
    </row>
    <row r="88" spans="2:23" x14ac:dyDescent="0.25">
      <c r="B88" s="28"/>
      <c r="C88" s="28"/>
      <c r="D88" s="28"/>
      <c r="E88" s="28"/>
      <c r="F88" s="28"/>
      <c r="G88" s="28"/>
      <c r="H88" s="28"/>
      <c r="I88" s="28"/>
      <c r="J88" s="28"/>
      <c r="K88" s="28"/>
      <c r="L88" s="28"/>
      <c r="M88" s="28"/>
      <c r="N88" s="28"/>
      <c r="O88" s="28"/>
      <c r="P88" s="28"/>
      <c r="Q88" s="28"/>
      <c r="R88" s="28"/>
      <c r="S88" s="28"/>
      <c r="T88" s="28"/>
      <c r="U88" s="28"/>
      <c r="V88" s="28"/>
      <c r="W88" s="28"/>
    </row>
    <row r="89" spans="2:23" x14ac:dyDescent="0.25">
      <c r="B89" s="28"/>
      <c r="C89" s="28"/>
      <c r="D89" s="28"/>
      <c r="E89" s="28"/>
      <c r="F89" s="28"/>
      <c r="G89" s="28"/>
      <c r="H89" s="28"/>
      <c r="I89" s="28"/>
      <c r="J89" s="28"/>
      <c r="K89" s="28"/>
      <c r="L89" s="28"/>
      <c r="M89" s="28"/>
      <c r="N89" s="28"/>
      <c r="O89" s="28"/>
      <c r="P89" s="28"/>
      <c r="Q89" s="28"/>
      <c r="R89" s="28"/>
      <c r="S89" s="28"/>
      <c r="T89" s="28"/>
      <c r="U89" s="28"/>
      <c r="V89" s="28"/>
      <c r="W89" s="28"/>
    </row>
    <row r="90" spans="2:23" x14ac:dyDescent="0.25">
      <c r="B90" s="28"/>
      <c r="C90" s="28"/>
      <c r="D90" s="28"/>
      <c r="E90" s="28"/>
      <c r="F90" s="28"/>
      <c r="G90" s="28"/>
      <c r="H90" s="28"/>
      <c r="I90" s="28"/>
      <c r="J90" s="28"/>
      <c r="K90" s="28"/>
      <c r="L90" s="28"/>
      <c r="M90" s="28"/>
      <c r="N90" s="28"/>
      <c r="O90" s="28"/>
      <c r="P90" s="28"/>
      <c r="Q90" s="28"/>
      <c r="R90" s="28"/>
      <c r="S90" s="28"/>
      <c r="T90" s="28"/>
      <c r="U90" s="28"/>
      <c r="V90" s="28"/>
      <c r="W90" s="28"/>
    </row>
    <row r="91" spans="2:23" x14ac:dyDescent="0.25">
      <c r="B91" s="28"/>
      <c r="C91" s="28"/>
      <c r="D91" s="28"/>
      <c r="E91" s="28"/>
      <c r="F91" s="28"/>
      <c r="G91" s="28"/>
      <c r="H91" s="28"/>
      <c r="I91" s="28"/>
      <c r="J91" s="28"/>
      <c r="K91" s="28"/>
      <c r="L91" s="28"/>
      <c r="M91" s="28"/>
      <c r="N91" s="28"/>
      <c r="O91" s="28"/>
      <c r="P91" s="28"/>
      <c r="Q91" s="28"/>
      <c r="R91" s="28"/>
      <c r="S91" s="28"/>
      <c r="T91" s="28"/>
      <c r="U91" s="28"/>
      <c r="V91" s="28"/>
      <c r="W91" s="28"/>
    </row>
    <row r="92" spans="2:23" x14ac:dyDescent="0.25">
      <c r="B92" s="28"/>
      <c r="C92" s="28"/>
      <c r="D92" s="28"/>
      <c r="E92" s="28"/>
      <c r="F92" s="28"/>
      <c r="G92" s="28"/>
      <c r="H92" s="28"/>
      <c r="I92" s="28"/>
      <c r="J92" s="28"/>
      <c r="K92" s="28"/>
      <c r="L92" s="28"/>
      <c r="M92" s="28"/>
      <c r="N92" s="28"/>
      <c r="O92" s="28"/>
      <c r="P92" s="28"/>
      <c r="Q92" s="28"/>
      <c r="R92" s="28"/>
      <c r="S92" s="28"/>
      <c r="T92" s="28"/>
      <c r="U92" s="28"/>
      <c r="V92" s="28"/>
      <c r="W92" s="28"/>
    </row>
    <row r="93" spans="2:23" x14ac:dyDescent="0.25">
      <c r="B93" s="28"/>
      <c r="C93" s="28"/>
      <c r="D93" s="28"/>
      <c r="E93" s="28"/>
      <c r="F93" s="28"/>
      <c r="G93" s="28"/>
      <c r="H93" s="28"/>
      <c r="I93" s="28"/>
      <c r="J93" s="28"/>
      <c r="K93" s="28"/>
      <c r="L93" s="28"/>
      <c r="M93" s="28"/>
      <c r="N93" s="28"/>
      <c r="O93" s="28"/>
      <c r="P93" s="28"/>
      <c r="Q93" s="28"/>
      <c r="R93" s="28"/>
      <c r="S93" s="28"/>
      <c r="T93" s="28"/>
      <c r="U93" s="28"/>
      <c r="V93" s="28"/>
      <c r="W93" s="28"/>
    </row>
    <row r="94" spans="2:23" x14ac:dyDescent="0.25">
      <c r="B94" s="28"/>
      <c r="C94" s="28"/>
      <c r="D94" s="28"/>
      <c r="E94" s="28"/>
      <c r="F94" s="28"/>
      <c r="G94" s="28"/>
      <c r="H94" s="28"/>
      <c r="I94" s="28"/>
      <c r="J94" s="28"/>
      <c r="K94" s="28"/>
      <c r="L94" s="28"/>
      <c r="M94" s="28"/>
      <c r="N94" s="28"/>
      <c r="O94" s="28"/>
      <c r="P94" s="28"/>
      <c r="Q94" s="28"/>
      <c r="R94" s="28"/>
      <c r="S94" s="28"/>
      <c r="T94" s="28"/>
      <c r="U94" s="28"/>
      <c r="V94" s="28"/>
      <c r="W94" s="28"/>
    </row>
    <row r="95" spans="2:23" x14ac:dyDescent="0.25">
      <c r="B95" s="28"/>
      <c r="C95" s="28"/>
      <c r="D95" s="28"/>
      <c r="E95" s="28"/>
      <c r="F95" s="28"/>
      <c r="G95" s="28"/>
      <c r="H95" s="28"/>
      <c r="I95" s="28"/>
      <c r="J95" s="28"/>
      <c r="K95" s="28"/>
      <c r="L95" s="28"/>
      <c r="M95" s="28"/>
      <c r="N95" s="28"/>
      <c r="O95" s="28"/>
      <c r="P95" s="28"/>
      <c r="Q95" s="28"/>
      <c r="R95" s="28"/>
      <c r="S95" s="28"/>
      <c r="T95" s="28"/>
      <c r="U95" s="28"/>
      <c r="V95" s="28"/>
      <c r="W95" s="28"/>
    </row>
    <row r="96" spans="2:23" x14ac:dyDescent="0.25">
      <c r="B96" s="28"/>
      <c r="C96" s="28"/>
      <c r="D96" s="28"/>
      <c r="E96" s="28"/>
      <c r="F96" s="28"/>
      <c r="G96" s="28"/>
      <c r="H96" s="28"/>
      <c r="I96" s="28"/>
      <c r="J96" s="28"/>
      <c r="K96" s="28"/>
      <c r="L96" s="28"/>
      <c r="M96" s="28"/>
      <c r="N96" s="28"/>
      <c r="O96" s="28"/>
      <c r="P96" s="28"/>
      <c r="Q96" s="28"/>
      <c r="R96" s="28"/>
      <c r="S96" s="28"/>
      <c r="T96" s="28"/>
      <c r="U96" s="28"/>
      <c r="V96" s="28"/>
      <c r="W96" s="28"/>
    </row>
    <row r="97" spans="2:23" x14ac:dyDescent="0.25">
      <c r="B97" s="28"/>
      <c r="C97" s="28"/>
      <c r="D97" s="28"/>
      <c r="E97" s="28"/>
      <c r="F97" s="28"/>
      <c r="G97" s="28"/>
      <c r="H97" s="28"/>
      <c r="I97" s="28"/>
      <c r="J97" s="28"/>
      <c r="K97" s="28"/>
      <c r="L97" s="28"/>
      <c r="M97" s="28"/>
      <c r="N97" s="28"/>
      <c r="O97" s="28"/>
      <c r="P97" s="28"/>
      <c r="Q97" s="28"/>
      <c r="R97" s="28"/>
      <c r="S97" s="28"/>
      <c r="T97" s="28"/>
      <c r="U97" s="28"/>
      <c r="V97" s="28"/>
      <c r="W97" s="28"/>
    </row>
    <row r="98" spans="2:23" x14ac:dyDescent="0.25">
      <c r="B98" s="28"/>
      <c r="C98" s="28"/>
      <c r="D98" s="28"/>
      <c r="E98" s="28"/>
      <c r="F98" s="28"/>
      <c r="G98" s="28"/>
      <c r="H98" s="28"/>
      <c r="I98" s="28"/>
      <c r="J98" s="28"/>
      <c r="K98" s="28"/>
      <c r="L98" s="28"/>
      <c r="M98" s="28"/>
      <c r="N98" s="28"/>
      <c r="O98" s="28"/>
      <c r="P98" s="28"/>
      <c r="Q98" s="28"/>
      <c r="R98" s="28"/>
      <c r="S98" s="28"/>
      <c r="T98" s="28"/>
      <c r="U98" s="28"/>
      <c r="V98" s="28"/>
      <c r="W98" s="28"/>
    </row>
    <row r="99" spans="2:23" x14ac:dyDescent="0.25">
      <c r="B99" s="28"/>
      <c r="C99" s="28"/>
      <c r="D99" s="28"/>
      <c r="E99" s="28"/>
      <c r="F99" s="28"/>
      <c r="G99" s="28"/>
      <c r="H99" s="28"/>
      <c r="I99" s="28"/>
      <c r="J99" s="28"/>
      <c r="K99" s="28"/>
      <c r="L99" s="28"/>
      <c r="M99" s="28"/>
      <c r="N99" s="28"/>
      <c r="O99" s="28"/>
      <c r="P99" s="28"/>
      <c r="Q99" s="28"/>
      <c r="R99" s="28"/>
      <c r="S99" s="28"/>
      <c r="T99" s="28"/>
      <c r="U99" s="28"/>
      <c r="V99" s="28"/>
      <c r="W99" s="28"/>
    </row>
    <row r="100" spans="2:23" x14ac:dyDescent="0.25">
      <c r="B100" s="28"/>
      <c r="C100" s="28"/>
      <c r="D100" s="28"/>
      <c r="E100" s="28"/>
      <c r="F100" s="28"/>
      <c r="G100" s="28"/>
      <c r="H100" s="28"/>
      <c r="I100" s="28"/>
      <c r="J100" s="28"/>
      <c r="K100" s="28"/>
      <c r="L100" s="28"/>
      <c r="M100" s="28"/>
      <c r="N100" s="28"/>
      <c r="O100" s="28"/>
      <c r="P100" s="28"/>
      <c r="Q100" s="28"/>
      <c r="R100" s="28"/>
      <c r="S100" s="28"/>
      <c r="T100" s="28"/>
      <c r="U100" s="28"/>
      <c r="V100" s="28"/>
      <c r="W100" s="28"/>
    </row>
    <row r="101" spans="2:23" x14ac:dyDescent="0.25">
      <c r="B101" s="28"/>
      <c r="C101" s="28"/>
      <c r="D101" s="28"/>
      <c r="E101" s="28"/>
      <c r="F101" s="28"/>
      <c r="G101" s="28"/>
      <c r="H101" s="28"/>
      <c r="I101" s="28"/>
      <c r="J101" s="28"/>
      <c r="K101" s="28"/>
      <c r="L101" s="28"/>
      <c r="M101" s="28"/>
      <c r="N101" s="28"/>
      <c r="O101" s="28"/>
      <c r="P101" s="28"/>
      <c r="Q101" s="28"/>
      <c r="R101" s="28"/>
      <c r="S101" s="28"/>
      <c r="T101" s="28"/>
      <c r="U101" s="28"/>
      <c r="V101" s="28"/>
      <c r="W101" s="28"/>
    </row>
    <row r="102" spans="2:23" x14ac:dyDescent="0.25">
      <c r="B102" s="28"/>
      <c r="C102" s="28"/>
      <c r="D102" s="28"/>
      <c r="E102" s="28"/>
      <c r="F102" s="28"/>
      <c r="G102" s="28"/>
      <c r="H102" s="28"/>
      <c r="I102" s="28"/>
      <c r="J102" s="28"/>
      <c r="K102" s="28"/>
      <c r="L102" s="28"/>
      <c r="M102" s="28"/>
      <c r="N102" s="28"/>
      <c r="O102" s="28"/>
      <c r="P102" s="28"/>
      <c r="Q102" s="28"/>
      <c r="R102" s="28"/>
      <c r="S102" s="28"/>
      <c r="T102" s="28"/>
      <c r="U102" s="28"/>
      <c r="V102" s="28"/>
      <c r="W102" s="28"/>
    </row>
    <row r="103" spans="2:23" x14ac:dyDescent="0.25">
      <c r="B103" s="28"/>
      <c r="C103" s="28"/>
      <c r="D103" s="28"/>
      <c r="E103" s="28"/>
      <c r="F103" s="28"/>
      <c r="G103" s="28"/>
      <c r="H103" s="28"/>
      <c r="I103" s="28"/>
      <c r="J103" s="28"/>
      <c r="K103" s="28"/>
      <c r="L103" s="28"/>
      <c r="M103" s="28"/>
      <c r="N103" s="28"/>
      <c r="O103" s="28"/>
      <c r="P103" s="28"/>
      <c r="Q103" s="28"/>
      <c r="R103" s="28"/>
      <c r="S103" s="28"/>
      <c r="T103" s="28"/>
      <c r="U103" s="28"/>
      <c r="V103" s="28"/>
      <c r="W103" s="28"/>
    </row>
    <row r="104" spans="2:23" x14ac:dyDescent="0.25">
      <c r="B104" s="28"/>
      <c r="C104" s="28"/>
      <c r="D104" s="28"/>
      <c r="E104" s="28"/>
      <c r="F104" s="28"/>
      <c r="G104" s="28"/>
      <c r="H104" s="28"/>
      <c r="I104" s="28"/>
      <c r="J104" s="28"/>
      <c r="K104" s="28"/>
      <c r="L104" s="28"/>
      <c r="M104" s="28"/>
      <c r="N104" s="28"/>
      <c r="O104" s="28"/>
      <c r="P104" s="28"/>
      <c r="Q104" s="28"/>
      <c r="R104" s="28"/>
      <c r="S104" s="28"/>
      <c r="T104" s="28"/>
      <c r="U104" s="28"/>
      <c r="V104" s="28"/>
      <c r="W104" s="28"/>
    </row>
    <row r="105" spans="2:23" x14ac:dyDescent="0.25">
      <c r="B105" s="28"/>
      <c r="C105" s="28"/>
      <c r="D105" s="28"/>
      <c r="E105" s="28"/>
      <c r="F105" s="28"/>
      <c r="G105" s="28"/>
      <c r="H105" s="28"/>
      <c r="I105" s="28"/>
      <c r="J105" s="28"/>
      <c r="K105" s="28"/>
      <c r="L105" s="28"/>
      <c r="M105" s="28"/>
      <c r="N105" s="28"/>
      <c r="O105" s="28"/>
      <c r="P105" s="28"/>
      <c r="Q105" s="28"/>
      <c r="R105" s="28"/>
      <c r="S105" s="28"/>
      <c r="T105" s="28"/>
      <c r="U105" s="28"/>
      <c r="V105" s="28"/>
      <c r="W105" s="28"/>
    </row>
    <row r="106" spans="2:23" x14ac:dyDescent="0.25">
      <c r="B106" s="28"/>
      <c r="C106" s="28"/>
      <c r="D106" s="28"/>
      <c r="E106" s="28"/>
      <c r="F106" s="28"/>
      <c r="G106" s="28"/>
      <c r="H106" s="28"/>
      <c r="I106" s="28"/>
      <c r="J106" s="28"/>
      <c r="K106" s="28"/>
      <c r="L106" s="28"/>
      <c r="M106" s="28"/>
      <c r="N106" s="28"/>
      <c r="O106" s="28"/>
      <c r="P106" s="28"/>
      <c r="Q106" s="28"/>
      <c r="R106" s="28"/>
      <c r="S106" s="28"/>
      <c r="T106" s="28"/>
      <c r="U106" s="28"/>
      <c r="V106" s="28"/>
      <c r="W106" s="28"/>
    </row>
    <row r="107" spans="2:23" x14ac:dyDescent="0.25">
      <c r="B107" s="28"/>
      <c r="C107" s="28"/>
      <c r="D107" s="28"/>
      <c r="E107" s="28"/>
      <c r="F107" s="28"/>
      <c r="G107" s="28"/>
      <c r="H107" s="28"/>
      <c r="I107" s="28"/>
      <c r="J107" s="28"/>
      <c r="K107" s="28"/>
      <c r="L107" s="28"/>
      <c r="M107" s="28"/>
      <c r="N107" s="28"/>
      <c r="O107" s="28"/>
      <c r="P107" s="28"/>
      <c r="Q107" s="28"/>
      <c r="R107" s="28"/>
      <c r="S107" s="28"/>
      <c r="T107" s="28"/>
      <c r="U107" s="28"/>
      <c r="V107" s="28"/>
      <c r="W107" s="28"/>
    </row>
    <row r="108" spans="2:23" x14ac:dyDescent="0.25">
      <c r="B108" s="28"/>
      <c r="C108" s="28"/>
      <c r="D108" s="28"/>
      <c r="E108" s="28"/>
      <c r="F108" s="28"/>
      <c r="G108" s="28"/>
      <c r="H108" s="28"/>
      <c r="I108" s="28"/>
      <c r="J108" s="28"/>
      <c r="K108" s="28"/>
      <c r="L108" s="28"/>
      <c r="M108" s="28"/>
      <c r="N108" s="28"/>
      <c r="O108" s="28"/>
      <c r="P108" s="28"/>
      <c r="Q108" s="28"/>
      <c r="R108" s="28"/>
      <c r="S108" s="28"/>
      <c r="T108" s="28"/>
      <c r="U108" s="28"/>
      <c r="V108" s="28"/>
      <c r="W108" s="28"/>
    </row>
    <row r="109" spans="2:23" x14ac:dyDescent="0.25">
      <c r="B109" s="28"/>
      <c r="C109" s="28"/>
      <c r="D109" s="28"/>
      <c r="E109" s="28"/>
      <c r="F109" s="28"/>
      <c r="G109" s="28"/>
      <c r="H109" s="28"/>
      <c r="I109" s="28"/>
      <c r="J109" s="28"/>
      <c r="K109" s="28"/>
      <c r="L109" s="28"/>
      <c r="M109" s="28"/>
      <c r="N109" s="28"/>
      <c r="O109" s="28"/>
      <c r="P109" s="28"/>
      <c r="Q109" s="28"/>
      <c r="R109" s="28"/>
      <c r="S109" s="28"/>
      <c r="T109" s="28"/>
      <c r="U109" s="28"/>
      <c r="V109" s="28"/>
      <c r="W109" s="28"/>
    </row>
    <row r="110" spans="2:23" x14ac:dyDescent="0.25">
      <c r="B110" s="28"/>
      <c r="C110" s="28"/>
      <c r="D110" s="28"/>
      <c r="E110" s="28"/>
      <c r="F110" s="28"/>
      <c r="G110" s="28"/>
      <c r="H110" s="28"/>
      <c r="I110" s="28"/>
      <c r="J110" s="28"/>
      <c r="K110" s="28"/>
      <c r="L110" s="28"/>
      <c r="M110" s="28"/>
      <c r="N110" s="28"/>
      <c r="O110" s="28"/>
      <c r="P110" s="28"/>
      <c r="Q110" s="28"/>
      <c r="R110" s="28"/>
      <c r="S110" s="28"/>
      <c r="T110" s="28"/>
      <c r="U110" s="28"/>
      <c r="V110" s="28"/>
      <c r="W110" s="28"/>
    </row>
    <row r="111" spans="2:23" x14ac:dyDescent="0.25">
      <c r="B111" s="28"/>
      <c r="C111" s="28"/>
      <c r="D111" s="28"/>
      <c r="E111" s="28"/>
      <c r="F111" s="28"/>
      <c r="G111" s="28"/>
      <c r="H111" s="28"/>
      <c r="I111" s="28"/>
      <c r="J111" s="28"/>
      <c r="K111" s="28"/>
      <c r="L111" s="28"/>
      <c r="M111" s="28"/>
      <c r="N111" s="28"/>
      <c r="O111" s="28"/>
      <c r="P111" s="28"/>
      <c r="Q111" s="28"/>
      <c r="R111" s="28"/>
      <c r="S111" s="28"/>
      <c r="T111" s="28"/>
      <c r="U111" s="28"/>
      <c r="V111" s="28"/>
      <c r="W111" s="28"/>
    </row>
    <row r="112" spans="2:23" x14ac:dyDescent="0.25">
      <c r="B112" s="28"/>
      <c r="C112" s="28"/>
      <c r="D112" s="28"/>
      <c r="E112" s="28"/>
      <c r="F112" s="28"/>
      <c r="G112" s="28"/>
      <c r="H112" s="28"/>
      <c r="I112" s="28"/>
      <c r="J112" s="28"/>
      <c r="K112" s="28"/>
      <c r="L112" s="28"/>
      <c r="M112" s="28"/>
      <c r="N112" s="28"/>
      <c r="O112" s="28"/>
      <c r="P112" s="28"/>
      <c r="Q112" s="28"/>
      <c r="R112" s="28"/>
      <c r="S112" s="28"/>
      <c r="T112" s="28"/>
      <c r="U112" s="28"/>
      <c r="V112" s="28"/>
      <c r="W112" s="28"/>
    </row>
    <row r="113" spans="2:23" x14ac:dyDescent="0.25">
      <c r="B113" s="28"/>
      <c r="C113" s="28"/>
      <c r="D113" s="28"/>
      <c r="E113" s="28"/>
      <c r="F113" s="28"/>
      <c r="G113" s="28"/>
      <c r="H113" s="28"/>
      <c r="I113" s="28"/>
      <c r="J113" s="28"/>
      <c r="K113" s="28"/>
      <c r="L113" s="28"/>
      <c r="M113" s="28"/>
      <c r="N113" s="28"/>
      <c r="O113" s="28"/>
      <c r="P113" s="28"/>
      <c r="Q113" s="28"/>
      <c r="R113" s="28"/>
      <c r="S113" s="28"/>
      <c r="T113" s="28"/>
      <c r="U113" s="28"/>
      <c r="V113" s="28"/>
      <c r="W113" s="28"/>
    </row>
    <row r="114" spans="2:23" x14ac:dyDescent="0.25">
      <c r="B114" s="28"/>
      <c r="C114" s="28"/>
      <c r="D114" s="28"/>
      <c r="E114" s="28"/>
      <c r="F114" s="28"/>
      <c r="G114" s="28"/>
      <c r="H114" s="28"/>
      <c r="I114" s="28"/>
      <c r="J114" s="28"/>
      <c r="K114" s="28"/>
      <c r="L114" s="28"/>
      <c r="M114" s="28"/>
      <c r="N114" s="28"/>
      <c r="O114" s="28"/>
      <c r="P114" s="28"/>
      <c r="Q114" s="28"/>
      <c r="R114" s="28"/>
      <c r="S114" s="28"/>
      <c r="T114" s="28"/>
      <c r="U114" s="28"/>
      <c r="V114" s="28"/>
      <c r="W114" s="28"/>
    </row>
    <row r="115" spans="2:23" x14ac:dyDescent="0.25">
      <c r="B115" s="28"/>
      <c r="C115" s="28"/>
      <c r="D115" s="28"/>
      <c r="E115" s="28"/>
      <c r="F115" s="28"/>
      <c r="G115" s="28"/>
      <c r="H115" s="28"/>
      <c r="I115" s="28"/>
      <c r="J115" s="28"/>
      <c r="K115" s="28"/>
      <c r="L115" s="28"/>
      <c r="M115" s="28"/>
      <c r="N115" s="28"/>
      <c r="O115" s="28"/>
      <c r="P115" s="28"/>
      <c r="Q115" s="28"/>
      <c r="R115" s="28"/>
      <c r="S115" s="28"/>
      <c r="T115" s="28"/>
      <c r="U115" s="28"/>
      <c r="V115" s="28"/>
      <c r="W115" s="28"/>
    </row>
    <row r="116" spans="2:23" x14ac:dyDescent="0.25">
      <c r="B116" s="28"/>
      <c r="C116" s="28"/>
      <c r="D116" s="28"/>
      <c r="E116" s="28"/>
      <c r="F116" s="28"/>
      <c r="G116" s="28"/>
      <c r="H116" s="28"/>
      <c r="I116" s="28"/>
      <c r="J116" s="28"/>
      <c r="K116" s="28"/>
      <c r="L116" s="28"/>
      <c r="M116" s="28"/>
      <c r="N116" s="28"/>
      <c r="O116" s="28"/>
      <c r="P116" s="28"/>
      <c r="Q116" s="28"/>
      <c r="R116" s="28"/>
      <c r="S116" s="28"/>
      <c r="T116" s="28"/>
      <c r="U116" s="28"/>
      <c r="V116" s="28"/>
      <c r="W116" s="28"/>
    </row>
    <row r="117" spans="2:23" x14ac:dyDescent="0.25">
      <c r="B117" s="28"/>
      <c r="C117" s="28"/>
      <c r="D117" s="28"/>
      <c r="E117" s="28"/>
      <c r="F117" s="28"/>
      <c r="G117" s="28"/>
      <c r="H117" s="28"/>
      <c r="I117" s="28"/>
      <c r="J117" s="28"/>
      <c r="K117" s="28"/>
      <c r="L117" s="28"/>
      <c r="M117" s="28"/>
      <c r="N117" s="28"/>
      <c r="O117" s="28"/>
      <c r="P117" s="28"/>
      <c r="Q117" s="28"/>
      <c r="R117" s="28"/>
      <c r="S117" s="28"/>
      <c r="T117" s="28"/>
      <c r="U117" s="28"/>
      <c r="V117" s="28"/>
      <c r="W117" s="28"/>
    </row>
    <row r="118" spans="2:23" x14ac:dyDescent="0.25">
      <c r="B118" s="28"/>
      <c r="C118" s="28"/>
      <c r="D118" s="28"/>
      <c r="E118" s="28"/>
      <c r="F118" s="28"/>
      <c r="G118" s="28"/>
      <c r="H118" s="28"/>
      <c r="I118" s="28"/>
      <c r="J118" s="28"/>
      <c r="K118" s="28"/>
      <c r="L118" s="28"/>
      <c r="M118" s="28"/>
      <c r="N118" s="28"/>
      <c r="O118" s="28"/>
      <c r="P118" s="28"/>
      <c r="Q118" s="28"/>
      <c r="R118" s="28"/>
      <c r="S118" s="28"/>
      <c r="T118" s="28"/>
      <c r="U118" s="28"/>
      <c r="V118" s="28"/>
      <c r="W118" s="28"/>
    </row>
    <row r="119" spans="2:23" x14ac:dyDescent="0.25">
      <c r="B119" s="28"/>
      <c r="C119" s="28"/>
      <c r="D119" s="28"/>
      <c r="E119" s="28"/>
      <c r="F119" s="28"/>
      <c r="G119" s="28"/>
      <c r="H119" s="28"/>
      <c r="I119" s="28"/>
      <c r="J119" s="28"/>
      <c r="K119" s="28"/>
      <c r="L119" s="28"/>
      <c r="M119" s="28"/>
      <c r="N119" s="28"/>
      <c r="O119" s="28"/>
      <c r="P119" s="28"/>
      <c r="Q119" s="28"/>
      <c r="R119" s="28"/>
      <c r="S119" s="28"/>
      <c r="T119" s="28"/>
      <c r="U119" s="28"/>
      <c r="V119" s="28"/>
      <c r="W119" s="28"/>
    </row>
    <row r="120" spans="2:23" x14ac:dyDescent="0.25">
      <c r="B120" s="28"/>
      <c r="C120" s="28"/>
      <c r="D120" s="28"/>
      <c r="E120" s="28"/>
      <c r="F120" s="28"/>
      <c r="G120" s="28"/>
      <c r="H120" s="28"/>
      <c r="I120" s="28"/>
      <c r="J120" s="28"/>
      <c r="K120" s="28"/>
      <c r="L120" s="28"/>
      <c r="M120" s="28"/>
      <c r="N120" s="28"/>
      <c r="O120" s="28"/>
      <c r="P120" s="28"/>
      <c r="Q120" s="28"/>
      <c r="R120" s="28"/>
      <c r="S120" s="28"/>
      <c r="T120" s="28"/>
      <c r="U120" s="28"/>
      <c r="V120" s="28"/>
      <c r="W120" s="28"/>
    </row>
    <row r="121" spans="2:23" x14ac:dyDescent="0.25">
      <c r="B121" s="28"/>
      <c r="C121" s="28"/>
      <c r="D121" s="28"/>
      <c r="E121" s="28"/>
      <c r="F121" s="28"/>
      <c r="G121" s="28"/>
      <c r="H121" s="28"/>
      <c r="I121" s="28"/>
      <c r="J121" s="28"/>
      <c r="K121" s="28"/>
      <c r="L121" s="28"/>
      <c r="M121" s="28"/>
      <c r="N121" s="28"/>
      <c r="O121" s="28"/>
      <c r="P121" s="28"/>
      <c r="Q121" s="28"/>
      <c r="R121" s="28"/>
      <c r="S121" s="28"/>
      <c r="T121" s="28"/>
      <c r="U121" s="28"/>
      <c r="V121" s="28"/>
      <c r="W121" s="28"/>
    </row>
    <row r="122" spans="2:23" x14ac:dyDescent="0.25">
      <c r="B122" s="28"/>
      <c r="C122" s="28"/>
      <c r="D122" s="28"/>
      <c r="E122" s="28"/>
      <c r="F122" s="28"/>
      <c r="G122" s="28"/>
      <c r="H122" s="28"/>
      <c r="I122" s="28"/>
      <c r="J122" s="28"/>
      <c r="K122" s="28"/>
      <c r="L122" s="28"/>
      <c r="M122" s="28"/>
      <c r="N122" s="28"/>
      <c r="O122" s="28"/>
      <c r="P122" s="28"/>
      <c r="Q122" s="28"/>
      <c r="R122" s="28"/>
      <c r="S122" s="28"/>
      <c r="T122" s="28"/>
      <c r="U122" s="28"/>
      <c r="V122" s="28"/>
      <c r="W122" s="28"/>
    </row>
    <row r="123" spans="2:23" x14ac:dyDescent="0.25">
      <c r="B123" s="28"/>
      <c r="C123" s="28"/>
      <c r="D123" s="28"/>
      <c r="E123" s="28"/>
      <c r="F123" s="28"/>
      <c r="G123" s="28"/>
      <c r="H123" s="28"/>
      <c r="I123" s="28"/>
      <c r="J123" s="28"/>
      <c r="K123" s="28"/>
      <c r="L123" s="28"/>
      <c r="M123" s="28"/>
      <c r="N123" s="28"/>
      <c r="O123" s="28"/>
      <c r="P123" s="28"/>
      <c r="Q123" s="28"/>
      <c r="R123" s="28"/>
      <c r="S123" s="28"/>
      <c r="T123" s="28"/>
      <c r="U123" s="28"/>
      <c r="V123" s="28"/>
      <c r="W123" s="28"/>
    </row>
    <row r="124" spans="2:23" x14ac:dyDescent="0.25">
      <c r="B124" s="28"/>
      <c r="C124" s="28"/>
      <c r="D124" s="28"/>
      <c r="E124" s="28"/>
      <c r="F124" s="28"/>
      <c r="G124" s="28"/>
      <c r="H124" s="28"/>
      <c r="I124" s="28"/>
      <c r="J124" s="28"/>
      <c r="K124" s="28"/>
      <c r="L124" s="28"/>
      <c r="M124" s="28"/>
      <c r="N124" s="28"/>
      <c r="O124" s="28"/>
      <c r="P124" s="28"/>
      <c r="Q124" s="28"/>
      <c r="R124" s="28"/>
      <c r="S124" s="28"/>
      <c r="T124" s="28"/>
      <c r="U124" s="28"/>
      <c r="V124" s="28"/>
      <c r="W124" s="28"/>
    </row>
    <row r="125" spans="2:23" x14ac:dyDescent="0.25">
      <c r="B125" s="28"/>
      <c r="C125" s="28"/>
      <c r="D125" s="28"/>
      <c r="E125" s="28"/>
      <c r="F125" s="28"/>
      <c r="G125" s="28"/>
      <c r="H125" s="28"/>
      <c r="I125" s="28"/>
      <c r="J125" s="28"/>
      <c r="K125" s="28"/>
      <c r="L125" s="28"/>
      <c r="M125" s="28"/>
      <c r="N125" s="28"/>
      <c r="O125" s="28"/>
      <c r="P125" s="28"/>
      <c r="Q125" s="28"/>
      <c r="R125" s="28"/>
      <c r="S125" s="28"/>
      <c r="T125" s="28"/>
      <c r="U125" s="28"/>
      <c r="V125" s="28"/>
      <c r="W125" s="28"/>
    </row>
    <row r="126" spans="2:23" x14ac:dyDescent="0.25">
      <c r="B126" s="28"/>
      <c r="C126" s="28"/>
      <c r="D126" s="28"/>
      <c r="E126" s="28"/>
      <c r="F126" s="28"/>
      <c r="G126" s="28"/>
      <c r="H126" s="28"/>
      <c r="I126" s="28"/>
      <c r="J126" s="28"/>
      <c r="K126" s="28"/>
      <c r="L126" s="28"/>
      <c r="M126" s="28"/>
      <c r="N126" s="28"/>
      <c r="O126" s="28"/>
      <c r="P126" s="28"/>
      <c r="Q126" s="28"/>
      <c r="R126" s="28"/>
      <c r="S126" s="28"/>
      <c r="T126" s="28"/>
      <c r="U126" s="28"/>
      <c r="V126" s="28"/>
      <c r="W126" s="28"/>
    </row>
    <row r="127" spans="2:23" x14ac:dyDescent="0.25">
      <c r="B127" s="28"/>
      <c r="C127" s="28"/>
      <c r="D127" s="28"/>
      <c r="E127" s="28"/>
      <c r="F127" s="28"/>
      <c r="G127" s="28"/>
      <c r="H127" s="28"/>
      <c r="I127" s="28"/>
      <c r="J127" s="28"/>
      <c r="K127" s="28"/>
      <c r="L127" s="28"/>
      <c r="M127" s="28"/>
      <c r="N127" s="28"/>
      <c r="O127" s="28"/>
      <c r="P127" s="28"/>
      <c r="Q127" s="28"/>
      <c r="R127" s="28"/>
      <c r="S127" s="28"/>
      <c r="T127" s="28"/>
      <c r="U127" s="28"/>
      <c r="V127" s="28"/>
      <c r="W127" s="28"/>
    </row>
    <row r="128" spans="2:23" x14ac:dyDescent="0.25">
      <c r="B128" s="28"/>
      <c r="C128" s="28"/>
      <c r="D128" s="28"/>
      <c r="E128" s="28"/>
      <c r="F128" s="28"/>
      <c r="G128" s="28"/>
      <c r="H128" s="28"/>
      <c r="I128" s="28"/>
      <c r="J128" s="28"/>
      <c r="K128" s="28"/>
      <c r="L128" s="28"/>
      <c r="M128" s="28"/>
      <c r="N128" s="28"/>
      <c r="O128" s="28"/>
      <c r="P128" s="28"/>
      <c r="Q128" s="28"/>
      <c r="R128" s="28"/>
      <c r="S128" s="28"/>
      <c r="T128" s="28"/>
      <c r="U128" s="28"/>
      <c r="V128" s="28"/>
      <c r="W128" s="28"/>
    </row>
    <row r="129" spans="2:23" x14ac:dyDescent="0.25">
      <c r="B129" s="28"/>
      <c r="C129" s="28"/>
      <c r="D129" s="28"/>
      <c r="E129" s="28"/>
      <c r="F129" s="28"/>
      <c r="G129" s="28"/>
      <c r="H129" s="28"/>
      <c r="I129" s="28"/>
      <c r="J129" s="28"/>
      <c r="K129" s="28"/>
      <c r="L129" s="28"/>
      <c r="M129" s="28"/>
      <c r="N129" s="28"/>
      <c r="O129" s="28"/>
      <c r="P129" s="28"/>
      <c r="Q129" s="28"/>
      <c r="R129" s="28"/>
      <c r="S129" s="28"/>
      <c r="T129" s="28"/>
      <c r="U129" s="28"/>
      <c r="V129" s="28"/>
      <c r="W129" s="28"/>
    </row>
    <row r="130" spans="2:23" x14ac:dyDescent="0.25">
      <c r="B130" s="28"/>
      <c r="C130" s="28"/>
      <c r="D130" s="28"/>
      <c r="E130" s="28"/>
      <c r="F130" s="28"/>
      <c r="G130" s="28"/>
      <c r="H130" s="28"/>
      <c r="I130" s="28"/>
      <c r="J130" s="28"/>
      <c r="K130" s="28"/>
      <c r="L130" s="28"/>
      <c r="M130" s="28"/>
      <c r="N130" s="28"/>
      <c r="O130" s="28"/>
      <c r="P130" s="28"/>
      <c r="Q130" s="28"/>
      <c r="R130" s="28"/>
      <c r="S130" s="28"/>
      <c r="T130" s="28"/>
      <c r="U130" s="28"/>
      <c r="V130" s="28"/>
      <c r="W130" s="28"/>
    </row>
    <row r="131" spans="2:23" x14ac:dyDescent="0.25">
      <c r="B131" s="28"/>
      <c r="C131" s="28"/>
      <c r="D131" s="28"/>
      <c r="E131" s="28"/>
      <c r="F131" s="28"/>
      <c r="G131" s="28"/>
      <c r="H131" s="28"/>
      <c r="I131" s="28"/>
      <c r="J131" s="28"/>
      <c r="K131" s="28"/>
      <c r="L131" s="28"/>
      <c r="M131" s="28"/>
      <c r="N131" s="28"/>
      <c r="O131" s="28"/>
      <c r="P131" s="28"/>
      <c r="Q131" s="28"/>
      <c r="R131" s="28"/>
      <c r="S131" s="28"/>
      <c r="T131" s="28"/>
      <c r="U131" s="28"/>
      <c r="V131" s="28"/>
      <c r="W131" s="28"/>
    </row>
    <row r="132" spans="2:23" x14ac:dyDescent="0.25">
      <c r="B132" s="28"/>
      <c r="C132" s="28"/>
      <c r="D132" s="28"/>
      <c r="E132" s="28"/>
      <c r="F132" s="28"/>
      <c r="G132" s="28"/>
      <c r="H132" s="28"/>
      <c r="I132" s="28"/>
      <c r="J132" s="28"/>
      <c r="K132" s="28"/>
      <c r="L132" s="28"/>
      <c r="M132" s="28"/>
      <c r="N132" s="28"/>
      <c r="O132" s="28"/>
      <c r="P132" s="28"/>
      <c r="Q132" s="28"/>
      <c r="R132" s="28"/>
      <c r="S132" s="28"/>
      <c r="T132" s="28"/>
      <c r="U132" s="28"/>
      <c r="V132" s="28"/>
      <c r="W132" s="28"/>
    </row>
    <row r="133" spans="2:23" x14ac:dyDescent="0.25">
      <c r="B133" s="28"/>
      <c r="C133" s="28"/>
      <c r="D133" s="28"/>
      <c r="E133" s="28"/>
      <c r="F133" s="28"/>
      <c r="G133" s="28"/>
      <c r="H133" s="28"/>
      <c r="I133" s="28"/>
      <c r="J133" s="28"/>
      <c r="K133" s="28"/>
      <c r="L133" s="28"/>
      <c r="M133" s="28"/>
      <c r="N133" s="28"/>
      <c r="O133" s="28"/>
      <c r="P133" s="28"/>
      <c r="Q133" s="28"/>
      <c r="R133" s="28"/>
      <c r="S133" s="28"/>
      <c r="T133" s="28"/>
      <c r="U133" s="28"/>
      <c r="V133" s="28"/>
      <c r="W133" s="28"/>
    </row>
    <row r="134" spans="2:23" x14ac:dyDescent="0.25">
      <c r="B134" s="28"/>
      <c r="C134" s="28"/>
      <c r="D134" s="28"/>
      <c r="E134" s="28"/>
      <c r="F134" s="28"/>
      <c r="G134" s="28"/>
      <c r="H134" s="28"/>
      <c r="I134" s="28"/>
      <c r="J134" s="28"/>
      <c r="K134" s="28"/>
      <c r="L134" s="28"/>
      <c r="M134" s="28"/>
      <c r="N134" s="28"/>
      <c r="O134" s="28"/>
      <c r="P134" s="28"/>
      <c r="Q134" s="28"/>
      <c r="R134" s="28"/>
      <c r="S134" s="28"/>
      <c r="T134" s="28"/>
      <c r="U134" s="28"/>
      <c r="V134" s="28"/>
      <c r="W134" s="28"/>
    </row>
    <row r="135" spans="2:23" x14ac:dyDescent="0.25">
      <c r="B135" s="28"/>
      <c r="C135" s="28"/>
      <c r="D135" s="28"/>
      <c r="E135" s="28"/>
      <c r="F135" s="28"/>
      <c r="G135" s="28"/>
      <c r="H135" s="28"/>
      <c r="I135" s="28"/>
      <c r="J135" s="28"/>
      <c r="K135" s="28"/>
      <c r="L135" s="28"/>
      <c r="M135" s="28"/>
      <c r="N135" s="28"/>
      <c r="O135" s="28"/>
      <c r="P135" s="28"/>
      <c r="Q135" s="28"/>
      <c r="R135" s="28"/>
      <c r="S135" s="28"/>
      <c r="T135" s="28"/>
      <c r="U135" s="28"/>
      <c r="V135" s="28"/>
      <c r="W135" s="28"/>
    </row>
    <row r="136" spans="2:23" x14ac:dyDescent="0.25">
      <c r="B136" s="28"/>
      <c r="C136" s="28"/>
      <c r="D136" s="28"/>
      <c r="E136" s="28"/>
      <c r="F136" s="28"/>
      <c r="G136" s="28"/>
      <c r="H136" s="28"/>
      <c r="I136" s="28"/>
      <c r="J136" s="28"/>
      <c r="K136" s="28"/>
      <c r="L136" s="28"/>
      <c r="M136" s="28"/>
      <c r="N136" s="28"/>
      <c r="O136" s="28"/>
      <c r="P136" s="28"/>
      <c r="Q136" s="28"/>
      <c r="R136" s="28"/>
      <c r="S136" s="28"/>
      <c r="T136" s="28"/>
      <c r="U136" s="28"/>
      <c r="V136" s="28"/>
      <c r="W136" s="28"/>
    </row>
    <row r="137" spans="2:23" x14ac:dyDescent="0.25">
      <c r="B137" s="28"/>
      <c r="C137" s="28"/>
      <c r="D137" s="28"/>
      <c r="E137" s="28"/>
      <c r="F137" s="28"/>
      <c r="G137" s="28"/>
      <c r="H137" s="28"/>
      <c r="I137" s="28"/>
      <c r="J137" s="28"/>
      <c r="K137" s="28"/>
      <c r="L137" s="28"/>
      <c r="M137" s="28"/>
      <c r="N137" s="28"/>
      <c r="O137" s="28"/>
      <c r="P137" s="28"/>
      <c r="Q137" s="28"/>
      <c r="R137" s="28"/>
      <c r="S137" s="28"/>
      <c r="T137" s="28"/>
      <c r="U137" s="28"/>
      <c r="V137" s="28"/>
      <c r="W137" s="28"/>
    </row>
    <row r="138" spans="2:23" x14ac:dyDescent="0.25">
      <c r="B138" s="28"/>
      <c r="C138" s="28"/>
      <c r="D138" s="28"/>
      <c r="E138" s="28"/>
      <c r="F138" s="28"/>
      <c r="G138" s="28"/>
      <c r="H138" s="28"/>
      <c r="I138" s="28"/>
      <c r="J138" s="28"/>
      <c r="K138" s="28"/>
      <c r="L138" s="28"/>
      <c r="M138" s="28"/>
      <c r="N138" s="28"/>
      <c r="O138" s="28"/>
      <c r="P138" s="28"/>
      <c r="Q138" s="28"/>
      <c r="R138" s="28"/>
      <c r="S138" s="28"/>
      <c r="T138" s="28"/>
      <c r="U138" s="28"/>
      <c r="V138" s="28"/>
      <c r="W138" s="28"/>
    </row>
    <row r="139" spans="2:23" x14ac:dyDescent="0.25">
      <c r="B139" s="28"/>
      <c r="C139" s="28"/>
      <c r="D139" s="28"/>
      <c r="E139" s="28"/>
      <c r="F139" s="28"/>
      <c r="G139" s="28"/>
      <c r="H139" s="28"/>
      <c r="I139" s="28"/>
      <c r="J139" s="28"/>
      <c r="K139" s="28"/>
      <c r="L139" s="28"/>
      <c r="M139" s="28"/>
      <c r="N139" s="28"/>
      <c r="O139" s="28"/>
      <c r="P139" s="28"/>
      <c r="Q139" s="28"/>
      <c r="R139" s="28"/>
      <c r="S139" s="28"/>
      <c r="T139" s="28"/>
      <c r="U139" s="28"/>
      <c r="V139" s="28"/>
      <c r="W139" s="28"/>
    </row>
    <row r="140" spans="2:23" x14ac:dyDescent="0.25">
      <c r="B140" s="28"/>
      <c r="C140" s="28"/>
      <c r="D140" s="28"/>
      <c r="E140" s="28"/>
      <c r="F140" s="28"/>
      <c r="G140" s="28"/>
      <c r="H140" s="28"/>
      <c r="I140" s="28"/>
      <c r="J140" s="28"/>
      <c r="K140" s="28"/>
      <c r="L140" s="28"/>
      <c r="M140" s="28"/>
      <c r="N140" s="28"/>
      <c r="O140" s="28"/>
      <c r="P140" s="28"/>
      <c r="Q140" s="28"/>
      <c r="R140" s="28"/>
      <c r="S140" s="28"/>
      <c r="T140" s="28"/>
      <c r="U140" s="28"/>
      <c r="V140" s="28"/>
      <c r="W140" s="28"/>
    </row>
    <row r="141" spans="2:23" x14ac:dyDescent="0.25">
      <c r="B141" s="28"/>
      <c r="C141" s="28"/>
      <c r="D141" s="28"/>
      <c r="E141" s="28"/>
      <c r="F141" s="28"/>
      <c r="G141" s="28"/>
      <c r="H141" s="28"/>
      <c r="I141" s="28"/>
      <c r="J141" s="28"/>
      <c r="K141" s="28"/>
      <c r="L141" s="28"/>
      <c r="M141" s="28"/>
      <c r="N141" s="28"/>
      <c r="O141" s="28"/>
      <c r="P141" s="28"/>
      <c r="Q141" s="28"/>
      <c r="R141" s="28"/>
      <c r="S141" s="28"/>
      <c r="T141" s="28"/>
      <c r="U141" s="28"/>
      <c r="V141" s="28"/>
      <c r="W141" s="28"/>
    </row>
    <row r="142" spans="2:23" x14ac:dyDescent="0.25">
      <c r="B142" s="28"/>
      <c r="C142" s="28"/>
      <c r="D142" s="28"/>
      <c r="E142" s="28"/>
      <c r="F142" s="28"/>
      <c r="G142" s="28"/>
      <c r="H142" s="28"/>
      <c r="I142" s="28"/>
      <c r="J142" s="28"/>
      <c r="K142" s="28"/>
      <c r="L142" s="28"/>
      <c r="M142" s="28"/>
      <c r="N142" s="28"/>
      <c r="O142" s="28"/>
      <c r="P142" s="28"/>
      <c r="Q142" s="28"/>
      <c r="R142" s="28"/>
      <c r="S142" s="28"/>
      <c r="T142" s="28"/>
      <c r="U142" s="28"/>
      <c r="V142" s="28"/>
      <c r="W142" s="28"/>
    </row>
    <row r="143" spans="2:23" x14ac:dyDescent="0.25">
      <c r="B143" s="28"/>
      <c r="C143" s="28"/>
      <c r="D143" s="28"/>
      <c r="E143" s="28"/>
      <c r="F143" s="28"/>
      <c r="G143" s="28"/>
      <c r="H143" s="28"/>
      <c r="I143" s="28"/>
      <c r="J143" s="28"/>
      <c r="K143" s="28"/>
      <c r="L143" s="28"/>
      <c r="M143" s="28"/>
      <c r="N143" s="28"/>
      <c r="O143" s="28"/>
      <c r="P143" s="28"/>
      <c r="Q143" s="28"/>
      <c r="R143" s="28"/>
      <c r="S143" s="28"/>
      <c r="T143" s="28"/>
      <c r="U143" s="28"/>
      <c r="V143" s="28"/>
      <c r="W143" s="28"/>
    </row>
    <row r="144" spans="2:23" x14ac:dyDescent="0.25">
      <c r="B144" s="28"/>
      <c r="C144" s="28"/>
      <c r="D144" s="28"/>
      <c r="E144" s="28"/>
      <c r="F144" s="28"/>
      <c r="G144" s="28"/>
      <c r="H144" s="28"/>
      <c r="I144" s="28"/>
      <c r="J144" s="28"/>
      <c r="K144" s="28"/>
      <c r="L144" s="28"/>
      <c r="M144" s="28"/>
      <c r="N144" s="28"/>
      <c r="O144" s="28"/>
      <c r="P144" s="28"/>
      <c r="Q144" s="28"/>
      <c r="R144" s="28"/>
      <c r="S144" s="28"/>
      <c r="T144" s="28"/>
      <c r="U144" s="28"/>
      <c r="V144" s="28"/>
      <c r="W144" s="28"/>
    </row>
    <row r="145" spans="2:23" x14ac:dyDescent="0.25">
      <c r="B145" s="28"/>
      <c r="C145" s="28"/>
      <c r="D145" s="28"/>
      <c r="E145" s="28"/>
      <c r="F145" s="28"/>
      <c r="G145" s="28"/>
      <c r="H145" s="28"/>
      <c r="I145" s="28"/>
      <c r="J145" s="28"/>
      <c r="K145" s="28"/>
      <c r="L145" s="28"/>
      <c r="M145" s="28"/>
      <c r="N145" s="28"/>
      <c r="O145" s="28"/>
      <c r="P145" s="28"/>
      <c r="Q145" s="28"/>
      <c r="R145" s="28"/>
      <c r="S145" s="28"/>
      <c r="T145" s="28"/>
      <c r="U145" s="28"/>
      <c r="V145" s="28"/>
      <c r="W145" s="28"/>
    </row>
    <row r="146" spans="2:23" x14ac:dyDescent="0.25">
      <c r="B146" s="28"/>
      <c r="C146" s="28"/>
      <c r="D146" s="28"/>
      <c r="E146" s="28"/>
      <c r="F146" s="28"/>
      <c r="G146" s="28"/>
      <c r="H146" s="28"/>
      <c r="I146" s="28"/>
      <c r="J146" s="28"/>
      <c r="K146" s="28"/>
      <c r="L146" s="28"/>
      <c r="M146" s="28"/>
      <c r="N146" s="28"/>
      <c r="O146" s="28"/>
      <c r="P146" s="28"/>
      <c r="Q146" s="28"/>
      <c r="R146" s="28"/>
      <c r="S146" s="28"/>
      <c r="T146" s="28"/>
      <c r="U146" s="28"/>
      <c r="V146" s="28"/>
      <c r="W146" s="28"/>
    </row>
    <row r="147" spans="2:23" x14ac:dyDescent="0.25">
      <c r="B147" s="28"/>
      <c r="C147" s="28"/>
      <c r="D147" s="28"/>
      <c r="E147" s="28"/>
      <c r="F147" s="28"/>
      <c r="G147" s="28"/>
      <c r="H147" s="28"/>
      <c r="I147" s="28"/>
      <c r="J147" s="28"/>
      <c r="K147" s="28"/>
      <c r="L147" s="28"/>
      <c r="M147" s="28"/>
      <c r="N147" s="28"/>
      <c r="O147" s="28"/>
      <c r="P147" s="28"/>
      <c r="Q147" s="28"/>
      <c r="R147" s="28"/>
      <c r="S147" s="28"/>
      <c r="T147" s="28"/>
      <c r="U147" s="28"/>
      <c r="V147" s="28"/>
      <c r="W147" s="28"/>
    </row>
    <row r="148" spans="2:23" x14ac:dyDescent="0.25">
      <c r="B148" s="28"/>
      <c r="C148" s="28"/>
      <c r="D148" s="28"/>
      <c r="E148" s="28"/>
      <c r="F148" s="28"/>
      <c r="G148" s="28"/>
      <c r="H148" s="28"/>
      <c r="I148" s="28"/>
      <c r="J148" s="28"/>
      <c r="K148" s="28"/>
      <c r="L148" s="28"/>
      <c r="M148" s="28"/>
      <c r="N148" s="28"/>
      <c r="O148" s="28"/>
      <c r="P148" s="28"/>
      <c r="Q148" s="28"/>
      <c r="R148" s="28"/>
      <c r="S148" s="28"/>
      <c r="T148" s="28"/>
      <c r="U148" s="28"/>
      <c r="V148" s="28"/>
      <c r="W148" s="28"/>
    </row>
    <row r="149" spans="2:23" x14ac:dyDescent="0.25">
      <c r="B149" s="28"/>
      <c r="C149" s="28"/>
      <c r="D149" s="28"/>
      <c r="E149" s="28"/>
      <c r="F149" s="28"/>
      <c r="G149" s="28"/>
      <c r="H149" s="28"/>
      <c r="I149" s="28"/>
      <c r="J149" s="28"/>
      <c r="K149" s="28"/>
      <c r="L149" s="28"/>
      <c r="M149" s="28"/>
      <c r="N149" s="28"/>
      <c r="O149" s="28"/>
      <c r="P149" s="28"/>
      <c r="Q149" s="28"/>
      <c r="R149" s="28"/>
      <c r="S149" s="28"/>
      <c r="T149" s="28"/>
      <c r="U149" s="28"/>
      <c r="V149" s="28"/>
      <c r="W149" s="28"/>
    </row>
    <row r="150" spans="2:23" x14ac:dyDescent="0.25">
      <c r="B150" s="28"/>
      <c r="C150" s="28"/>
      <c r="D150" s="28"/>
      <c r="E150" s="28"/>
      <c r="F150" s="28"/>
      <c r="G150" s="28"/>
      <c r="H150" s="28"/>
      <c r="I150" s="28"/>
      <c r="J150" s="28"/>
      <c r="K150" s="28"/>
      <c r="L150" s="28"/>
      <c r="M150" s="28"/>
      <c r="N150" s="28"/>
      <c r="O150" s="28"/>
      <c r="P150" s="28"/>
      <c r="Q150" s="28"/>
      <c r="R150" s="28"/>
      <c r="S150" s="28"/>
      <c r="T150" s="28"/>
      <c r="U150" s="28"/>
      <c r="V150" s="28"/>
      <c r="W150" s="28"/>
    </row>
    <row r="151" spans="2:23" x14ac:dyDescent="0.25">
      <c r="B151" s="28"/>
      <c r="C151" s="28"/>
      <c r="D151" s="28"/>
      <c r="E151" s="28"/>
      <c r="F151" s="28"/>
      <c r="G151" s="28"/>
      <c r="H151" s="28"/>
      <c r="I151" s="28"/>
      <c r="J151" s="28"/>
      <c r="K151" s="28"/>
      <c r="L151" s="28"/>
      <c r="M151" s="28"/>
      <c r="N151" s="28"/>
      <c r="O151" s="28"/>
      <c r="P151" s="28"/>
      <c r="Q151" s="28"/>
      <c r="R151" s="28"/>
      <c r="S151" s="28"/>
      <c r="T151" s="28"/>
      <c r="U151" s="28"/>
      <c r="V151" s="28"/>
      <c r="W151" s="28"/>
    </row>
    <row r="152" spans="2:23" x14ac:dyDescent="0.25">
      <c r="B152" s="28"/>
      <c r="C152" s="28"/>
      <c r="D152" s="28"/>
      <c r="E152" s="28"/>
      <c r="F152" s="28"/>
      <c r="G152" s="28"/>
      <c r="H152" s="28"/>
      <c r="I152" s="28"/>
      <c r="J152" s="28"/>
      <c r="K152" s="28"/>
      <c r="L152" s="28"/>
      <c r="M152" s="28"/>
      <c r="N152" s="28"/>
      <c r="O152" s="28"/>
      <c r="P152" s="28"/>
      <c r="Q152" s="28"/>
      <c r="R152" s="28"/>
      <c r="S152" s="28"/>
      <c r="T152" s="28"/>
      <c r="U152" s="28"/>
      <c r="V152" s="28"/>
      <c r="W152" s="28"/>
    </row>
    <row r="153" spans="2:23" x14ac:dyDescent="0.25">
      <c r="B153" s="28"/>
      <c r="C153" s="28"/>
      <c r="D153" s="28"/>
      <c r="E153" s="28"/>
      <c r="F153" s="28"/>
      <c r="G153" s="28"/>
      <c r="H153" s="28"/>
      <c r="I153" s="28"/>
      <c r="J153" s="28"/>
      <c r="K153" s="28"/>
      <c r="L153" s="28"/>
      <c r="M153" s="28"/>
      <c r="N153" s="28"/>
      <c r="O153" s="28"/>
      <c r="P153" s="28"/>
      <c r="Q153" s="28"/>
      <c r="R153" s="28"/>
      <c r="S153" s="28"/>
      <c r="T153" s="28"/>
      <c r="U153" s="28"/>
      <c r="V153" s="28"/>
      <c r="W153" s="28"/>
    </row>
    <row r="154" spans="2:23" x14ac:dyDescent="0.25">
      <c r="B154" s="28"/>
      <c r="C154" s="28"/>
      <c r="D154" s="28"/>
      <c r="E154" s="28"/>
      <c r="F154" s="28"/>
      <c r="G154" s="28"/>
      <c r="H154" s="28"/>
      <c r="I154" s="28"/>
      <c r="J154" s="28"/>
      <c r="K154" s="28"/>
      <c r="L154" s="28"/>
      <c r="M154" s="28"/>
      <c r="N154" s="28"/>
      <c r="O154" s="28"/>
      <c r="P154" s="28"/>
      <c r="Q154" s="28"/>
      <c r="R154" s="28"/>
      <c r="S154" s="28"/>
      <c r="T154" s="28"/>
      <c r="U154" s="28"/>
      <c r="V154" s="28"/>
      <c r="W154" s="28"/>
    </row>
    <row r="155" spans="2:23" x14ac:dyDescent="0.25">
      <c r="B155" s="28"/>
      <c r="C155" s="28"/>
      <c r="D155" s="28"/>
      <c r="E155" s="28"/>
      <c r="F155" s="28"/>
      <c r="G155" s="28"/>
      <c r="H155" s="28"/>
      <c r="I155" s="28"/>
      <c r="J155" s="28"/>
      <c r="K155" s="28"/>
      <c r="L155" s="28"/>
      <c r="M155" s="28"/>
      <c r="N155" s="28"/>
      <c r="O155" s="28"/>
      <c r="P155" s="28"/>
      <c r="Q155" s="28"/>
      <c r="R155" s="28"/>
      <c r="S155" s="28"/>
      <c r="T155" s="28"/>
      <c r="U155" s="28"/>
      <c r="V155" s="28"/>
      <c r="W155" s="28"/>
    </row>
    <row r="156" spans="2:23" x14ac:dyDescent="0.25">
      <c r="B156" s="28"/>
      <c r="C156" s="28"/>
      <c r="D156" s="28"/>
      <c r="E156" s="28"/>
      <c r="F156" s="28"/>
      <c r="G156" s="28"/>
      <c r="H156" s="28"/>
      <c r="I156" s="28"/>
      <c r="J156" s="28"/>
      <c r="K156" s="28"/>
      <c r="L156" s="28"/>
      <c r="M156" s="28"/>
      <c r="N156" s="28"/>
      <c r="O156" s="28"/>
      <c r="P156" s="28"/>
      <c r="Q156" s="28"/>
      <c r="R156" s="28"/>
      <c r="S156" s="28"/>
      <c r="T156" s="28"/>
      <c r="U156" s="28"/>
      <c r="V156" s="28"/>
      <c r="W156" s="28"/>
    </row>
    <row r="157" spans="2:23" x14ac:dyDescent="0.25">
      <c r="B157" s="28"/>
      <c r="C157" s="28"/>
      <c r="D157" s="28"/>
      <c r="E157" s="28"/>
      <c r="F157" s="28"/>
      <c r="G157" s="28"/>
      <c r="H157" s="28"/>
      <c r="I157" s="28"/>
      <c r="J157" s="28"/>
      <c r="K157" s="28"/>
      <c r="L157" s="28"/>
      <c r="M157" s="28"/>
      <c r="N157" s="28"/>
      <c r="O157" s="28"/>
      <c r="P157" s="28"/>
      <c r="Q157" s="28"/>
      <c r="R157" s="28"/>
      <c r="S157" s="28"/>
      <c r="T157" s="28"/>
      <c r="U157" s="28"/>
      <c r="V157" s="28"/>
      <c r="W157" s="28"/>
    </row>
    <row r="158" spans="2:23" x14ac:dyDescent="0.25">
      <c r="B158" s="28"/>
      <c r="C158" s="28"/>
      <c r="D158" s="28"/>
      <c r="E158" s="28"/>
      <c r="F158" s="28"/>
      <c r="G158" s="28"/>
      <c r="H158" s="28"/>
      <c r="I158" s="28"/>
      <c r="J158" s="28"/>
      <c r="K158" s="28"/>
      <c r="L158" s="28"/>
      <c r="M158" s="28"/>
      <c r="N158" s="28"/>
      <c r="O158" s="28"/>
      <c r="P158" s="28"/>
      <c r="Q158" s="28"/>
      <c r="R158" s="28"/>
      <c r="S158" s="28"/>
      <c r="T158" s="28"/>
      <c r="U158" s="28"/>
      <c r="V158" s="28"/>
      <c r="W158" s="28"/>
    </row>
    <row r="159" spans="2:23" x14ac:dyDescent="0.25">
      <c r="B159" s="28"/>
      <c r="C159" s="28"/>
      <c r="D159" s="28"/>
      <c r="E159" s="28"/>
      <c r="F159" s="28"/>
      <c r="G159" s="28"/>
      <c r="H159" s="28"/>
      <c r="I159" s="28"/>
      <c r="J159" s="28"/>
      <c r="K159" s="28"/>
      <c r="L159" s="28"/>
      <c r="M159" s="28"/>
      <c r="N159" s="28"/>
      <c r="O159" s="28"/>
      <c r="P159" s="28"/>
      <c r="Q159" s="28"/>
      <c r="R159" s="28"/>
      <c r="S159" s="28"/>
      <c r="T159" s="28"/>
      <c r="U159" s="28"/>
      <c r="V159" s="28"/>
      <c r="W159" s="28"/>
    </row>
    <row r="160" spans="2:23" x14ac:dyDescent="0.25">
      <c r="B160" s="28"/>
      <c r="C160" s="28"/>
      <c r="D160" s="28"/>
      <c r="E160" s="28"/>
      <c r="F160" s="28"/>
      <c r="G160" s="28"/>
      <c r="H160" s="28"/>
      <c r="I160" s="28"/>
      <c r="J160" s="28"/>
      <c r="K160" s="28"/>
      <c r="L160" s="28"/>
      <c r="M160" s="28"/>
      <c r="N160" s="28"/>
      <c r="O160" s="28"/>
      <c r="P160" s="28"/>
      <c r="Q160" s="28"/>
      <c r="R160" s="28"/>
      <c r="S160" s="28"/>
      <c r="T160" s="28"/>
      <c r="U160" s="28"/>
      <c r="V160" s="28"/>
      <c r="W160" s="28"/>
    </row>
    <row r="161" spans="2:23" x14ac:dyDescent="0.25">
      <c r="B161" s="28"/>
      <c r="C161" s="28"/>
      <c r="D161" s="28"/>
      <c r="E161" s="28"/>
      <c r="F161" s="28"/>
      <c r="G161" s="28"/>
      <c r="H161" s="28"/>
      <c r="I161" s="28"/>
      <c r="J161" s="28"/>
      <c r="K161" s="28"/>
      <c r="L161" s="28"/>
      <c r="M161" s="28"/>
      <c r="N161" s="28"/>
      <c r="O161" s="28"/>
      <c r="P161" s="28"/>
      <c r="Q161" s="28"/>
      <c r="R161" s="28"/>
      <c r="S161" s="28"/>
      <c r="T161" s="28"/>
      <c r="U161" s="28"/>
      <c r="V161" s="28"/>
      <c r="W161" s="28"/>
    </row>
    <row r="162" spans="2:23" x14ac:dyDescent="0.25">
      <c r="B162" s="28"/>
      <c r="C162" s="28"/>
      <c r="D162" s="28"/>
      <c r="E162" s="28"/>
      <c r="F162" s="28"/>
      <c r="G162" s="28"/>
      <c r="H162" s="28"/>
      <c r="I162" s="28"/>
      <c r="J162" s="28"/>
      <c r="K162" s="28"/>
      <c r="L162" s="28"/>
      <c r="M162" s="28"/>
      <c r="N162" s="28"/>
      <c r="O162" s="28"/>
      <c r="P162" s="28"/>
      <c r="Q162" s="28"/>
      <c r="R162" s="28"/>
      <c r="S162" s="28"/>
      <c r="T162" s="28"/>
      <c r="U162" s="28"/>
      <c r="V162" s="28"/>
      <c r="W162" s="28"/>
    </row>
    <row r="163" spans="2:23" x14ac:dyDescent="0.25">
      <c r="B163" s="28"/>
      <c r="C163" s="28"/>
      <c r="D163" s="28"/>
      <c r="E163" s="28"/>
      <c r="F163" s="28"/>
      <c r="G163" s="28"/>
      <c r="H163" s="28"/>
      <c r="I163" s="28"/>
      <c r="J163" s="28"/>
      <c r="K163" s="28"/>
      <c r="L163" s="28"/>
      <c r="M163" s="28"/>
      <c r="N163" s="28"/>
      <c r="O163" s="28"/>
      <c r="P163" s="28"/>
      <c r="Q163" s="28"/>
      <c r="R163" s="28"/>
      <c r="S163" s="28"/>
      <c r="T163" s="28"/>
      <c r="U163" s="28"/>
      <c r="V163" s="28"/>
      <c r="W163" s="28"/>
    </row>
    <row r="164" spans="2:23" x14ac:dyDescent="0.25">
      <c r="B164" s="28"/>
      <c r="C164" s="28"/>
      <c r="D164" s="28"/>
      <c r="E164" s="28"/>
      <c r="F164" s="28"/>
      <c r="G164" s="28"/>
      <c r="H164" s="28"/>
      <c r="I164" s="28"/>
      <c r="J164" s="28"/>
      <c r="K164" s="28"/>
      <c r="L164" s="28"/>
      <c r="M164" s="28"/>
      <c r="N164" s="28"/>
      <c r="O164" s="28"/>
      <c r="P164" s="28"/>
      <c r="Q164" s="28"/>
      <c r="R164" s="28"/>
      <c r="S164" s="28"/>
      <c r="T164" s="28"/>
      <c r="U164" s="28"/>
      <c r="V164" s="28"/>
      <c r="W164" s="28"/>
    </row>
    <row r="165" spans="2:23" x14ac:dyDescent="0.25">
      <c r="B165" s="28"/>
      <c r="C165" s="28"/>
      <c r="D165" s="28"/>
      <c r="E165" s="28"/>
      <c r="F165" s="28"/>
      <c r="G165" s="28"/>
      <c r="H165" s="28"/>
      <c r="I165" s="28"/>
      <c r="J165" s="28"/>
      <c r="K165" s="28"/>
      <c r="L165" s="28"/>
      <c r="M165" s="28"/>
      <c r="N165" s="28"/>
      <c r="O165" s="28"/>
      <c r="P165" s="28"/>
      <c r="Q165" s="28"/>
      <c r="R165" s="28"/>
      <c r="S165" s="28"/>
      <c r="T165" s="28"/>
      <c r="U165" s="28"/>
      <c r="V165" s="28"/>
      <c r="W165" s="28"/>
    </row>
    <row r="166" spans="2:23" x14ac:dyDescent="0.25">
      <c r="B166" s="28"/>
      <c r="C166" s="28"/>
      <c r="D166" s="28"/>
      <c r="E166" s="28"/>
      <c r="F166" s="28"/>
      <c r="G166" s="28"/>
      <c r="H166" s="28"/>
      <c r="I166" s="28"/>
      <c r="J166" s="28"/>
      <c r="K166" s="28"/>
      <c r="L166" s="28"/>
      <c r="M166" s="28"/>
      <c r="N166" s="28"/>
      <c r="O166" s="28"/>
      <c r="P166" s="28"/>
      <c r="Q166" s="28"/>
      <c r="R166" s="28"/>
      <c r="S166" s="28"/>
      <c r="T166" s="28"/>
      <c r="U166" s="28"/>
      <c r="V166" s="28"/>
      <c r="W166" s="28"/>
    </row>
    <row r="167" spans="2:23" x14ac:dyDescent="0.25">
      <c r="B167" s="28"/>
      <c r="C167" s="28"/>
      <c r="D167" s="28"/>
      <c r="E167" s="28"/>
      <c r="F167" s="28"/>
      <c r="G167" s="28"/>
      <c r="H167" s="28"/>
      <c r="I167" s="28"/>
      <c r="J167" s="28"/>
      <c r="K167" s="28"/>
      <c r="L167" s="28"/>
      <c r="M167" s="28"/>
      <c r="N167" s="28"/>
      <c r="O167" s="28"/>
      <c r="P167" s="28"/>
      <c r="Q167" s="28"/>
      <c r="R167" s="28"/>
      <c r="S167" s="28"/>
      <c r="T167" s="28"/>
      <c r="U167" s="28"/>
      <c r="V167" s="28"/>
      <c r="W167" s="28"/>
    </row>
    <row r="168" spans="2:23" x14ac:dyDescent="0.25">
      <c r="B168" s="28"/>
      <c r="C168" s="28"/>
      <c r="D168" s="28"/>
      <c r="E168" s="28"/>
      <c r="F168" s="28"/>
      <c r="G168" s="28"/>
      <c r="H168" s="28"/>
      <c r="I168" s="28"/>
      <c r="J168" s="28"/>
      <c r="K168" s="28"/>
      <c r="L168" s="28"/>
      <c r="M168" s="28"/>
      <c r="N168" s="28"/>
      <c r="O168" s="28"/>
      <c r="P168" s="28"/>
      <c r="Q168" s="28"/>
      <c r="R168" s="28"/>
      <c r="S168" s="28"/>
      <c r="T168" s="28"/>
      <c r="U168" s="28"/>
      <c r="V168" s="28"/>
      <c r="W168" s="28"/>
    </row>
    <row r="169" spans="2:23" x14ac:dyDescent="0.25">
      <c r="B169" s="28"/>
      <c r="C169" s="28"/>
      <c r="D169" s="28"/>
      <c r="E169" s="28"/>
      <c r="F169" s="28"/>
      <c r="G169" s="28"/>
      <c r="H169" s="28"/>
      <c r="I169" s="28"/>
      <c r="J169" s="28"/>
      <c r="K169" s="28"/>
      <c r="L169" s="28"/>
      <c r="M169" s="28"/>
      <c r="N169" s="28"/>
      <c r="O169" s="28"/>
      <c r="P169" s="28"/>
      <c r="Q169" s="28"/>
      <c r="R169" s="28"/>
      <c r="S169" s="28"/>
      <c r="T169" s="28"/>
      <c r="U169" s="28"/>
      <c r="V169" s="28"/>
      <c r="W169" s="28"/>
    </row>
    <row r="170" spans="2:23" x14ac:dyDescent="0.25">
      <c r="B170" s="28"/>
      <c r="C170" s="28"/>
      <c r="D170" s="28"/>
      <c r="E170" s="28"/>
      <c r="F170" s="28"/>
      <c r="G170" s="28"/>
      <c r="H170" s="28"/>
      <c r="I170" s="28"/>
      <c r="J170" s="28"/>
      <c r="K170" s="28"/>
      <c r="L170" s="28"/>
      <c r="M170" s="28"/>
      <c r="N170" s="28"/>
      <c r="O170" s="28"/>
      <c r="P170" s="28"/>
      <c r="Q170" s="28"/>
      <c r="R170" s="28"/>
      <c r="S170" s="28"/>
      <c r="T170" s="28"/>
      <c r="U170" s="28"/>
      <c r="V170" s="28"/>
      <c r="W170" s="28"/>
    </row>
    <row r="171" spans="2:23" x14ac:dyDescent="0.25">
      <c r="B171" s="28"/>
      <c r="C171" s="28"/>
      <c r="D171" s="28"/>
      <c r="E171" s="28"/>
      <c r="F171" s="28"/>
      <c r="G171" s="28"/>
      <c r="H171" s="28"/>
      <c r="I171" s="28"/>
      <c r="J171" s="28"/>
      <c r="K171" s="28"/>
      <c r="L171" s="28"/>
      <c r="M171" s="28"/>
      <c r="N171" s="28"/>
      <c r="O171" s="28"/>
      <c r="P171" s="28"/>
      <c r="Q171" s="28"/>
      <c r="R171" s="28"/>
      <c r="S171" s="28"/>
      <c r="T171" s="28"/>
      <c r="U171" s="28"/>
      <c r="V171" s="28"/>
      <c r="W171" s="28"/>
    </row>
    <row r="172" spans="2:23" x14ac:dyDescent="0.25">
      <c r="B172" s="28"/>
      <c r="C172" s="28"/>
      <c r="D172" s="28"/>
      <c r="E172" s="28"/>
      <c r="F172" s="28"/>
      <c r="G172" s="28"/>
      <c r="H172" s="28"/>
      <c r="I172" s="28"/>
      <c r="J172" s="28"/>
      <c r="K172" s="28"/>
      <c r="L172" s="28"/>
      <c r="M172" s="28"/>
      <c r="N172" s="28"/>
      <c r="O172" s="28"/>
      <c r="P172" s="28"/>
      <c r="Q172" s="28"/>
      <c r="R172" s="28"/>
      <c r="S172" s="28"/>
      <c r="T172" s="28"/>
      <c r="U172" s="28"/>
      <c r="V172" s="28"/>
      <c r="W172" s="28"/>
    </row>
    <row r="173" spans="2:23" x14ac:dyDescent="0.25">
      <c r="B173" s="28"/>
      <c r="C173" s="28"/>
      <c r="D173" s="28"/>
      <c r="E173" s="28"/>
      <c r="F173" s="28"/>
      <c r="G173" s="28"/>
      <c r="H173" s="28"/>
      <c r="I173" s="28"/>
      <c r="J173" s="28"/>
      <c r="K173" s="28"/>
      <c r="L173" s="28"/>
      <c r="M173" s="28"/>
      <c r="N173" s="28"/>
      <c r="O173" s="28"/>
      <c r="P173" s="28"/>
      <c r="Q173" s="28"/>
      <c r="R173" s="28"/>
      <c r="S173" s="28"/>
      <c r="T173" s="28"/>
      <c r="U173" s="28"/>
      <c r="V173" s="28"/>
      <c r="W173" s="28"/>
    </row>
    <row r="174" spans="2:23" x14ac:dyDescent="0.25">
      <c r="B174" s="28"/>
      <c r="C174" s="28"/>
      <c r="D174" s="28"/>
      <c r="E174" s="28"/>
      <c r="F174" s="28"/>
      <c r="G174" s="28"/>
      <c r="H174" s="28"/>
      <c r="I174" s="28"/>
      <c r="J174" s="28"/>
      <c r="K174" s="28"/>
      <c r="L174" s="28"/>
      <c r="M174" s="28"/>
      <c r="N174" s="28"/>
      <c r="O174" s="28"/>
      <c r="P174" s="28"/>
      <c r="Q174" s="28"/>
      <c r="R174" s="28"/>
      <c r="S174" s="28"/>
      <c r="T174" s="28"/>
      <c r="U174" s="28"/>
      <c r="V174" s="28"/>
      <c r="W174" s="28"/>
    </row>
    <row r="175" spans="2:23" x14ac:dyDescent="0.25">
      <c r="B175" s="28"/>
      <c r="C175" s="28"/>
      <c r="D175" s="28"/>
      <c r="E175" s="28"/>
      <c r="F175" s="28"/>
      <c r="G175" s="28"/>
      <c r="H175" s="28"/>
      <c r="I175" s="28"/>
      <c r="J175" s="28"/>
      <c r="K175" s="28"/>
      <c r="L175" s="28"/>
      <c r="M175" s="28"/>
      <c r="N175" s="28"/>
      <c r="O175" s="28"/>
      <c r="P175" s="28"/>
      <c r="Q175" s="28"/>
      <c r="R175" s="28"/>
      <c r="S175" s="28"/>
      <c r="T175" s="28"/>
      <c r="U175" s="28"/>
      <c r="V175" s="28"/>
      <c r="W175" s="28"/>
    </row>
    <row r="176" spans="2:23" x14ac:dyDescent="0.25">
      <c r="B176" s="28"/>
      <c r="C176" s="28"/>
      <c r="D176" s="28"/>
      <c r="E176" s="28"/>
      <c r="F176" s="28"/>
      <c r="G176" s="28"/>
      <c r="H176" s="28"/>
      <c r="I176" s="28"/>
      <c r="J176" s="28"/>
      <c r="K176" s="28"/>
      <c r="L176" s="28"/>
      <c r="M176" s="28"/>
      <c r="N176" s="28"/>
      <c r="O176" s="28"/>
      <c r="P176" s="28"/>
      <c r="Q176" s="28"/>
      <c r="R176" s="28"/>
      <c r="S176" s="28"/>
      <c r="T176" s="28"/>
      <c r="U176" s="28"/>
      <c r="V176" s="28"/>
      <c r="W176" s="28"/>
    </row>
    <row r="177" spans="2:23" x14ac:dyDescent="0.25">
      <c r="B177" s="28"/>
      <c r="C177" s="28"/>
      <c r="D177" s="28"/>
      <c r="E177" s="28"/>
      <c r="F177" s="28"/>
      <c r="G177" s="28"/>
      <c r="H177" s="28"/>
      <c r="I177" s="28"/>
      <c r="J177" s="28"/>
      <c r="K177" s="28"/>
      <c r="L177" s="28"/>
      <c r="M177" s="28"/>
      <c r="N177" s="28"/>
      <c r="O177" s="28"/>
      <c r="P177" s="28"/>
      <c r="Q177" s="28"/>
      <c r="R177" s="28"/>
      <c r="S177" s="28"/>
      <c r="T177" s="28"/>
      <c r="U177" s="28"/>
      <c r="V177" s="28"/>
      <c r="W177" s="28"/>
    </row>
    <row r="178" spans="2:23" x14ac:dyDescent="0.25">
      <c r="B178" s="28"/>
      <c r="C178" s="28"/>
      <c r="D178" s="28"/>
      <c r="E178" s="28"/>
      <c r="F178" s="28"/>
      <c r="G178" s="28"/>
      <c r="H178" s="28"/>
      <c r="I178" s="28"/>
      <c r="J178" s="28"/>
      <c r="K178" s="28"/>
      <c r="L178" s="28"/>
      <c r="M178" s="28"/>
      <c r="N178" s="28"/>
      <c r="O178" s="28"/>
      <c r="P178" s="28"/>
      <c r="Q178" s="28"/>
      <c r="R178" s="28"/>
      <c r="S178" s="28"/>
      <c r="T178" s="28"/>
      <c r="U178" s="28"/>
      <c r="V178" s="28"/>
      <c r="W178" s="28"/>
    </row>
    <row r="179" spans="2:23" x14ac:dyDescent="0.25">
      <c r="B179" s="28"/>
      <c r="C179" s="28"/>
      <c r="D179" s="28"/>
      <c r="E179" s="28"/>
      <c r="F179" s="28"/>
      <c r="G179" s="28"/>
      <c r="H179" s="28"/>
      <c r="I179" s="28"/>
      <c r="J179" s="28"/>
      <c r="K179" s="28"/>
      <c r="L179" s="28"/>
      <c r="M179" s="28"/>
      <c r="N179" s="28"/>
      <c r="O179" s="28"/>
      <c r="P179" s="28"/>
      <c r="Q179" s="28"/>
      <c r="R179" s="28"/>
      <c r="S179" s="28"/>
      <c r="T179" s="28"/>
      <c r="U179" s="28"/>
      <c r="V179" s="28"/>
      <c r="W179" s="28"/>
    </row>
    <row r="180" spans="2:23" x14ac:dyDescent="0.25">
      <c r="B180" s="28"/>
      <c r="C180" s="28"/>
      <c r="D180" s="28"/>
      <c r="E180" s="28"/>
      <c r="F180" s="28"/>
      <c r="G180" s="28"/>
      <c r="H180" s="28"/>
      <c r="I180" s="28"/>
      <c r="J180" s="28"/>
      <c r="K180" s="28"/>
      <c r="L180" s="28"/>
      <c r="M180" s="28"/>
      <c r="N180" s="28"/>
      <c r="O180" s="28"/>
      <c r="P180" s="28"/>
      <c r="Q180" s="28"/>
      <c r="R180" s="28"/>
      <c r="S180" s="28"/>
      <c r="T180" s="28"/>
      <c r="U180" s="28"/>
      <c r="V180" s="28"/>
      <c r="W180" s="28"/>
    </row>
    <row r="181" spans="2:23" x14ac:dyDescent="0.25">
      <c r="B181" s="28"/>
      <c r="C181" s="28"/>
      <c r="D181" s="28"/>
      <c r="E181" s="28"/>
      <c r="F181" s="28"/>
      <c r="G181" s="28"/>
      <c r="H181" s="28"/>
      <c r="I181" s="28"/>
      <c r="J181" s="28"/>
      <c r="K181" s="28"/>
      <c r="L181" s="28"/>
      <c r="M181" s="28"/>
      <c r="N181" s="28"/>
      <c r="O181" s="28"/>
      <c r="P181" s="28"/>
      <c r="Q181" s="28"/>
      <c r="R181" s="28"/>
      <c r="S181" s="28"/>
      <c r="T181" s="28"/>
      <c r="U181" s="28"/>
      <c r="V181" s="28"/>
      <c r="W181" s="28"/>
    </row>
    <row r="182" spans="2:23" x14ac:dyDescent="0.25">
      <c r="B182" s="28"/>
      <c r="C182" s="28"/>
      <c r="D182" s="28"/>
      <c r="E182" s="28"/>
      <c r="F182" s="28"/>
      <c r="G182" s="28"/>
      <c r="H182" s="28"/>
      <c r="I182" s="28"/>
      <c r="J182" s="28"/>
      <c r="K182" s="28"/>
      <c r="L182" s="28"/>
      <c r="M182" s="28"/>
      <c r="N182" s="28"/>
      <c r="O182" s="28"/>
      <c r="P182" s="28"/>
      <c r="Q182" s="28"/>
      <c r="R182" s="28"/>
      <c r="S182" s="28"/>
      <c r="T182" s="28"/>
      <c r="U182" s="28"/>
      <c r="V182" s="28"/>
      <c r="W182" s="28"/>
    </row>
    <row r="183" spans="2:23" x14ac:dyDescent="0.25">
      <c r="B183" s="28"/>
      <c r="C183" s="28"/>
      <c r="D183" s="28"/>
      <c r="E183" s="28"/>
      <c r="F183" s="28"/>
      <c r="G183" s="28"/>
      <c r="H183" s="28"/>
      <c r="I183" s="28"/>
      <c r="J183" s="28"/>
      <c r="K183" s="28"/>
      <c r="L183" s="28"/>
      <c r="M183" s="28"/>
      <c r="N183" s="28"/>
      <c r="O183" s="28"/>
      <c r="P183" s="28"/>
      <c r="Q183" s="28"/>
      <c r="R183" s="28"/>
      <c r="S183" s="28"/>
      <c r="T183" s="28"/>
      <c r="U183" s="28"/>
      <c r="V183" s="28"/>
      <c r="W183" s="28"/>
    </row>
    <row r="184" spans="2:23" x14ac:dyDescent="0.25">
      <c r="B184" s="28"/>
      <c r="C184" s="28"/>
      <c r="D184" s="28"/>
      <c r="E184" s="28"/>
      <c r="F184" s="28"/>
      <c r="G184" s="28"/>
      <c r="H184" s="28"/>
      <c r="I184" s="28"/>
      <c r="J184" s="28"/>
      <c r="K184" s="28"/>
      <c r="L184" s="28"/>
      <c r="M184" s="28"/>
      <c r="N184" s="28"/>
      <c r="O184" s="28"/>
      <c r="P184" s="28"/>
      <c r="Q184" s="28"/>
      <c r="R184" s="28"/>
      <c r="S184" s="28"/>
      <c r="T184" s="28"/>
      <c r="U184" s="28"/>
      <c r="V184" s="28"/>
      <c r="W184" s="28"/>
    </row>
    <row r="185" spans="2:23" x14ac:dyDescent="0.25">
      <c r="B185" s="28"/>
      <c r="C185" s="28"/>
      <c r="D185" s="28"/>
      <c r="E185" s="28"/>
      <c r="F185" s="28"/>
      <c r="G185" s="28"/>
      <c r="H185" s="28"/>
      <c r="I185" s="28"/>
      <c r="J185" s="28"/>
      <c r="K185" s="28"/>
      <c r="L185" s="28"/>
      <c r="M185" s="28"/>
      <c r="N185" s="28"/>
      <c r="O185" s="28"/>
      <c r="P185" s="28"/>
      <c r="Q185" s="28"/>
      <c r="R185" s="28"/>
      <c r="S185" s="28"/>
      <c r="T185" s="28"/>
      <c r="U185" s="28"/>
      <c r="V185" s="28"/>
      <c r="W185" s="28"/>
    </row>
    <row r="186" spans="2:23" x14ac:dyDescent="0.25">
      <c r="B186" s="28"/>
      <c r="C186" s="28"/>
      <c r="D186" s="28"/>
      <c r="E186" s="28"/>
      <c r="F186" s="28"/>
      <c r="G186" s="28"/>
      <c r="H186" s="28"/>
      <c r="I186" s="28"/>
      <c r="J186" s="28"/>
      <c r="K186" s="28"/>
      <c r="L186" s="28"/>
      <c r="M186" s="28"/>
      <c r="N186" s="28"/>
      <c r="O186" s="28"/>
      <c r="P186" s="28"/>
      <c r="Q186" s="28"/>
      <c r="R186" s="28"/>
      <c r="S186" s="28"/>
      <c r="T186" s="28"/>
      <c r="U186" s="28"/>
      <c r="V186" s="28"/>
      <c r="W186" s="28"/>
    </row>
    <row r="187" spans="2:23" x14ac:dyDescent="0.25">
      <c r="B187" s="28"/>
      <c r="C187" s="28"/>
      <c r="D187" s="28"/>
      <c r="E187" s="28"/>
      <c r="F187" s="28"/>
      <c r="G187" s="28"/>
      <c r="H187" s="28"/>
      <c r="I187" s="28"/>
      <c r="J187" s="28"/>
      <c r="K187" s="28"/>
      <c r="L187" s="28"/>
      <c r="M187" s="28"/>
      <c r="N187" s="28"/>
      <c r="O187" s="28"/>
      <c r="P187" s="28"/>
      <c r="Q187" s="28"/>
      <c r="R187" s="28"/>
      <c r="S187" s="28"/>
      <c r="T187" s="28"/>
      <c r="U187" s="28"/>
      <c r="V187" s="28"/>
      <c r="W187" s="28"/>
    </row>
    <row r="188" spans="2:23" x14ac:dyDescent="0.25">
      <c r="B188" s="28"/>
      <c r="C188" s="28"/>
      <c r="D188" s="28"/>
      <c r="E188" s="28"/>
      <c r="F188" s="28"/>
      <c r="G188" s="28"/>
      <c r="H188" s="28"/>
      <c r="I188" s="28"/>
      <c r="J188" s="28"/>
      <c r="K188" s="28"/>
      <c r="L188" s="28"/>
      <c r="M188" s="28"/>
      <c r="N188" s="28"/>
      <c r="O188" s="28"/>
      <c r="P188" s="28"/>
      <c r="Q188" s="28"/>
      <c r="R188" s="28"/>
      <c r="S188" s="28"/>
      <c r="T188" s="28"/>
      <c r="U188" s="28"/>
      <c r="V188" s="28"/>
      <c r="W188" s="28"/>
    </row>
    <row r="189" spans="2:23" x14ac:dyDescent="0.25">
      <c r="B189" s="28"/>
      <c r="C189" s="28"/>
      <c r="D189" s="28"/>
      <c r="E189" s="28"/>
      <c r="F189" s="28"/>
      <c r="G189" s="28"/>
      <c r="H189" s="28"/>
      <c r="I189" s="28"/>
      <c r="J189" s="28"/>
      <c r="K189" s="28"/>
      <c r="L189" s="28"/>
      <c r="M189" s="28"/>
      <c r="N189" s="28"/>
      <c r="O189" s="28"/>
      <c r="P189" s="28"/>
      <c r="Q189" s="28"/>
      <c r="R189" s="28"/>
      <c r="S189" s="28"/>
      <c r="T189" s="28"/>
      <c r="U189" s="28"/>
      <c r="V189" s="28"/>
      <c r="W189" s="28"/>
    </row>
    <row r="190" spans="2:23" x14ac:dyDescent="0.25">
      <c r="B190" s="28"/>
      <c r="C190" s="28"/>
      <c r="D190" s="28"/>
      <c r="E190" s="28"/>
      <c r="F190" s="28"/>
      <c r="G190" s="28"/>
      <c r="H190" s="28"/>
      <c r="I190" s="28"/>
      <c r="J190" s="28"/>
      <c r="K190" s="28"/>
      <c r="L190" s="28"/>
      <c r="M190" s="28"/>
      <c r="N190" s="28"/>
      <c r="O190" s="28"/>
      <c r="P190" s="28"/>
      <c r="Q190" s="28"/>
      <c r="R190" s="28"/>
      <c r="S190" s="28"/>
      <c r="T190" s="28"/>
      <c r="U190" s="28"/>
      <c r="V190" s="28"/>
      <c r="W190" s="28"/>
    </row>
    <row r="191" spans="2:23" x14ac:dyDescent="0.25">
      <c r="B191" s="28"/>
      <c r="C191" s="28"/>
      <c r="D191" s="28"/>
      <c r="E191" s="28"/>
      <c r="F191" s="28"/>
      <c r="G191" s="28"/>
      <c r="H191" s="28"/>
      <c r="I191" s="28"/>
      <c r="J191" s="28"/>
      <c r="K191" s="28"/>
      <c r="L191" s="28"/>
      <c r="M191" s="28"/>
      <c r="N191" s="28"/>
      <c r="O191" s="28"/>
      <c r="P191" s="28"/>
      <c r="Q191" s="28"/>
      <c r="R191" s="28"/>
      <c r="S191" s="28"/>
      <c r="T191" s="28"/>
      <c r="U191" s="28"/>
      <c r="V191" s="28"/>
      <c r="W191" s="28"/>
    </row>
    <row r="192" spans="2:23" x14ac:dyDescent="0.25">
      <c r="B192" s="28"/>
      <c r="C192" s="28"/>
      <c r="D192" s="28"/>
      <c r="E192" s="28"/>
      <c r="F192" s="28"/>
      <c r="G192" s="28"/>
      <c r="H192" s="28"/>
      <c r="I192" s="28"/>
      <c r="J192" s="28"/>
      <c r="K192" s="28"/>
      <c r="L192" s="28"/>
      <c r="M192" s="28"/>
      <c r="N192" s="28"/>
      <c r="O192" s="28"/>
      <c r="P192" s="28"/>
      <c r="Q192" s="28"/>
      <c r="R192" s="28"/>
      <c r="S192" s="28"/>
      <c r="T192" s="28"/>
      <c r="U192" s="28"/>
      <c r="V192" s="28"/>
      <c r="W192" s="28"/>
    </row>
    <row r="193" spans="2:23" x14ac:dyDescent="0.25">
      <c r="B193" s="28"/>
      <c r="C193" s="28"/>
      <c r="D193" s="28"/>
      <c r="E193" s="28"/>
      <c r="F193" s="28"/>
      <c r="G193" s="28"/>
      <c r="H193" s="28"/>
      <c r="I193" s="28"/>
      <c r="J193" s="28"/>
      <c r="K193" s="28"/>
      <c r="L193" s="28"/>
      <c r="M193" s="28"/>
      <c r="N193" s="28"/>
      <c r="O193" s="28"/>
      <c r="P193" s="28"/>
      <c r="Q193" s="28"/>
      <c r="R193" s="28"/>
      <c r="S193" s="28"/>
      <c r="T193" s="28"/>
      <c r="U193" s="28"/>
      <c r="V193" s="28"/>
      <c r="W193" s="28"/>
    </row>
    <row r="194" spans="2:23" x14ac:dyDescent="0.25">
      <c r="B194" s="28"/>
      <c r="C194" s="28"/>
      <c r="D194" s="28"/>
      <c r="E194" s="28"/>
      <c r="F194" s="28"/>
      <c r="G194" s="28"/>
      <c r="H194" s="28"/>
      <c r="I194" s="28"/>
      <c r="J194" s="28"/>
      <c r="K194" s="28"/>
      <c r="L194" s="28"/>
      <c r="M194" s="28"/>
      <c r="N194" s="28"/>
      <c r="O194" s="28"/>
      <c r="P194" s="28"/>
      <c r="Q194" s="28"/>
      <c r="R194" s="28"/>
      <c r="S194" s="28"/>
      <c r="T194" s="28"/>
      <c r="U194" s="28"/>
      <c r="V194" s="28"/>
      <c r="W194" s="28"/>
    </row>
    <row r="195" spans="2:23" x14ac:dyDescent="0.25">
      <c r="B195" s="28"/>
      <c r="C195" s="28"/>
      <c r="D195" s="28"/>
      <c r="E195" s="28"/>
      <c r="F195" s="28"/>
      <c r="G195" s="28"/>
      <c r="H195" s="28"/>
      <c r="I195" s="28"/>
      <c r="J195" s="28"/>
      <c r="K195" s="28"/>
      <c r="L195" s="28"/>
      <c r="M195" s="28"/>
      <c r="N195" s="28"/>
      <c r="O195" s="28"/>
      <c r="P195" s="28"/>
      <c r="Q195" s="28"/>
      <c r="R195" s="28"/>
      <c r="S195" s="28"/>
      <c r="T195" s="28"/>
      <c r="U195" s="28"/>
      <c r="V195" s="28"/>
      <c r="W195" s="28"/>
    </row>
    <row r="196" spans="2:23" x14ac:dyDescent="0.25">
      <c r="B196" s="28"/>
      <c r="C196" s="28"/>
      <c r="D196" s="28"/>
      <c r="E196" s="28"/>
      <c r="F196" s="28"/>
      <c r="G196" s="28"/>
      <c r="H196" s="28"/>
      <c r="I196" s="28"/>
      <c r="J196" s="28"/>
      <c r="K196" s="28"/>
      <c r="L196" s="28"/>
      <c r="M196" s="28"/>
      <c r="N196" s="28"/>
      <c r="O196" s="28"/>
      <c r="P196" s="28"/>
      <c r="Q196" s="28"/>
      <c r="R196" s="28"/>
      <c r="S196" s="28"/>
      <c r="T196" s="28"/>
      <c r="U196" s="28"/>
      <c r="V196" s="28"/>
      <c r="W196" s="28"/>
    </row>
    <row r="197" spans="2:23" x14ac:dyDescent="0.25">
      <c r="B197" s="28"/>
      <c r="C197" s="28"/>
      <c r="D197" s="28"/>
      <c r="E197" s="28"/>
      <c r="F197" s="28"/>
      <c r="G197" s="28"/>
      <c r="H197" s="28"/>
      <c r="I197" s="28"/>
      <c r="J197" s="28"/>
      <c r="K197" s="28"/>
      <c r="L197" s="28"/>
      <c r="M197" s="28"/>
      <c r="N197" s="28"/>
      <c r="O197" s="28"/>
      <c r="P197" s="28"/>
      <c r="Q197" s="28"/>
      <c r="R197" s="28"/>
      <c r="S197" s="28"/>
      <c r="T197" s="28"/>
      <c r="U197" s="28"/>
      <c r="V197" s="28"/>
      <c r="W197" s="28"/>
    </row>
    <row r="198" spans="2:23" x14ac:dyDescent="0.25">
      <c r="B198" s="28"/>
      <c r="C198" s="28"/>
      <c r="D198" s="28"/>
      <c r="E198" s="28"/>
      <c r="F198" s="28"/>
      <c r="G198" s="28"/>
      <c r="H198" s="28"/>
      <c r="I198" s="28"/>
      <c r="J198" s="28"/>
      <c r="K198" s="28"/>
      <c r="L198" s="28"/>
      <c r="M198" s="28"/>
      <c r="N198" s="28"/>
      <c r="O198" s="28"/>
      <c r="P198" s="28"/>
      <c r="Q198" s="28"/>
      <c r="R198" s="28"/>
      <c r="S198" s="28"/>
      <c r="T198" s="28"/>
      <c r="U198" s="28"/>
      <c r="V198" s="28"/>
      <c r="W198" s="28"/>
    </row>
    <row r="199" spans="2:23" x14ac:dyDescent="0.25">
      <c r="B199" s="28"/>
      <c r="C199" s="28"/>
      <c r="D199" s="28"/>
      <c r="E199" s="28"/>
      <c r="F199" s="28"/>
      <c r="G199" s="28"/>
      <c r="H199" s="28"/>
      <c r="I199" s="28"/>
      <c r="J199" s="28"/>
      <c r="K199" s="28"/>
      <c r="L199" s="28"/>
      <c r="M199" s="28"/>
      <c r="N199" s="28"/>
      <c r="O199" s="28"/>
      <c r="P199" s="28"/>
      <c r="Q199" s="28"/>
      <c r="R199" s="28"/>
      <c r="S199" s="28"/>
      <c r="T199" s="28"/>
      <c r="U199" s="28"/>
      <c r="V199" s="28"/>
      <c r="W199" s="28"/>
    </row>
    <row r="200" spans="2:23" x14ac:dyDescent="0.25">
      <c r="B200" s="28"/>
      <c r="C200" s="28"/>
      <c r="D200" s="28"/>
      <c r="E200" s="28"/>
      <c r="F200" s="28"/>
      <c r="G200" s="28"/>
      <c r="H200" s="28"/>
      <c r="I200" s="28"/>
      <c r="J200" s="28"/>
      <c r="K200" s="28"/>
      <c r="L200" s="28"/>
      <c r="M200" s="28"/>
      <c r="N200" s="28"/>
      <c r="O200" s="28"/>
      <c r="P200" s="28"/>
      <c r="Q200" s="28"/>
      <c r="R200" s="28"/>
      <c r="S200" s="28"/>
      <c r="T200" s="28"/>
      <c r="U200" s="28"/>
      <c r="V200" s="28"/>
      <c r="W200" s="28"/>
    </row>
    <row r="201" spans="2:23" x14ac:dyDescent="0.25">
      <c r="B201" s="28"/>
      <c r="C201" s="28"/>
      <c r="D201" s="28"/>
      <c r="E201" s="28"/>
      <c r="F201" s="28"/>
      <c r="G201" s="28"/>
      <c r="H201" s="28"/>
      <c r="I201" s="28"/>
      <c r="J201" s="28"/>
      <c r="K201" s="28"/>
      <c r="L201" s="28"/>
      <c r="M201" s="28"/>
      <c r="N201" s="28"/>
      <c r="O201" s="28"/>
      <c r="P201" s="28"/>
      <c r="Q201" s="28"/>
      <c r="R201" s="28"/>
      <c r="S201" s="28"/>
      <c r="T201" s="28"/>
      <c r="U201" s="28"/>
      <c r="V201" s="28"/>
      <c r="W201" s="28"/>
    </row>
    <row r="202" spans="2:23" x14ac:dyDescent="0.25">
      <c r="B202" s="28"/>
      <c r="C202" s="28"/>
      <c r="D202" s="28"/>
      <c r="E202" s="28"/>
      <c r="F202" s="28"/>
      <c r="G202" s="28"/>
      <c r="H202" s="28"/>
      <c r="I202" s="28"/>
      <c r="J202" s="28"/>
      <c r="K202" s="28"/>
      <c r="L202" s="28"/>
      <c r="M202" s="28"/>
      <c r="N202" s="28"/>
      <c r="O202" s="28"/>
      <c r="P202" s="28"/>
      <c r="Q202" s="28"/>
      <c r="R202" s="28"/>
      <c r="S202" s="28"/>
      <c r="T202" s="28"/>
      <c r="U202" s="28"/>
      <c r="V202" s="28"/>
      <c r="W202" s="28"/>
    </row>
    <row r="203" spans="2:23" x14ac:dyDescent="0.25">
      <c r="B203" s="28"/>
      <c r="C203" s="28"/>
      <c r="D203" s="28"/>
      <c r="E203" s="28"/>
      <c r="F203" s="28"/>
      <c r="G203" s="28"/>
      <c r="H203" s="28"/>
      <c r="I203" s="28"/>
      <c r="J203" s="28"/>
      <c r="K203" s="28"/>
      <c r="L203" s="28"/>
      <c r="M203" s="28"/>
      <c r="N203" s="28"/>
      <c r="O203" s="28"/>
      <c r="P203" s="28"/>
      <c r="Q203" s="28"/>
      <c r="R203" s="28"/>
      <c r="S203" s="28"/>
      <c r="T203" s="28"/>
      <c r="U203" s="28"/>
      <c r="V203" s="28"/>
      <c r="W203" s="28"/>
    </row>
    <row r="204" spans="2:23" x14ac:dyDescent="0.25">
      <c r="B204" s="28"/>
      <c r="C204" s="28"/>
      <c r="D204" s="28"/>
      <c r="E204" s="28"/>
      <c r="F204" s="28"/>
      <c r="G204" s="28"/>
      <c r="H204" s="28"/>
      <c r="I204" s="28"/>
      <c r="J204" s="28"/>
      <c r="K204" s="28"/>
      <c r="L204" s="28"/>
      <c r="M204" s="28"/>
      <c r="N204" s="28"/>
      <c r="O204" s="28"/>
      <c r="P204" s="28"/>
      <c r="Q204" s="28"/>
      <c r="R204" s="28"/>
      <c r="S204" s="28"/>
      <c r="T204" s="28"/>
      <c r="U204" s="28"/>
      <c r="V204" s="28"/>
      <c r="W204" s="28"/>
    </row>
    <row r="205" spans="2:23" x14ac:dyDescent="0.25">
      <c r="B205" s="28"/>
      <c r="C205" s="28"/>
      <c r="D205" s="28"/>
      <c r="E205" s="28"/>
      <c r="F205" s="28"/>
      <c r="G205" s="28"/>
      <c r="H205" s="28"/>
      <c r="I205" s="28"/>
      <c r="J205" s="28"/>
      <c r="K205" s="28"/>
      <c r="L205" s="28"/>
      <c r="M205" s="28"/>
      <c r="N205" s="28"/>
      <c r="O205" s="28"/>
      <c r="P205" s="28"/>
      <c r="Q205" s="28"/>
      <c r="R205" s="28"/>
      <c r="S205" s="28"/>
      <c r="T205" s="28"/>
      <c r="U205" s="28"/>
      <c r="V205" s="28"/>
      <c r="W205" s="28"/>
    </row>
    <row r="206" spans="2:23" x14ac:dyDescent="0.25">
      <c r="B206" s="28"/>
      <c r="C206" s="28"/>
      <c r="D206" s="28"/>
      <c r="E206" s="28"/>
      <c r="F206" s="28"/>
      <c r="G206" s="28"/>
      <c r="H206" s="28"/>
      <c r="I206" s="28"/>
      <c r="J206" s="28"/>
      <c r="K206" s="28"/>
      <c r="L206" s="28"/>
      <c r="M206" s="28"/>
      <c r="N206" s="28"/>
      <c r="O206" s="28"/>
      <c r="P206" s="28"/>
      <c r="Q206" s="28"/>
      <c r="R206" s="28"/>
      <c r="S206" s="28"/>
      <c r="T206" s="28"/>
      <c r="U206" s="28"/>
      <c r="V206" s="28"/>
      <c r="W206" s="28"/>
    </row>
    <row r="207" spans="2:23" x14ac:dyDescent="0.25">
      <c r="B207" s="28"/>
      <c r="C207" s="28"/>
      <c r="D207" s="28"/>
      <c r="E207" s="28"/>
      <c r="F207" s="28"/>
      <c r="G207" s="28"/>
      <c r="H207" s="28"/>
      <c r="I207" s="28"/>
      <c r="J207" s="28"/>
      <c r="K207" s="28"/>
      <c r="L207" s="28"/>
      <c r="M207" s="28"/>
      <c r="N207" s="28"/>
      <c r="O207" s="28"/>
      <c r="P207" s="28"/>
      <c r="Q207" s="28"/>
      <c r="R207" s="28"/>
      <c r="S207" s="28"/>
      <c r="T207" s="28"/>
      <c r="U207" s="28"/>
      <c r="V207" s="28"/>
      <c r="W207" s="28"/>
    </row>
    <row r="208" spans="2:23" x14ac:dyDescent="0.25">
      <c r="B208" s="28"/>
      <c r="C208" s="28"/>
      <c r="D208" s="28"/>
      <c r="E208" s="28"/>
      <c r="F208" s="28"/>
      <c r="G208" s="28"/>
      <c r="H208" s="28"/>
      <c r="I208" s="28"/>
      <c r="J208" s="28"/>
      <c r="K208" s="28"/>
      <c r="L208" s="28"/>
      <c r="M208" s="28"/>
      <c r="N208" s="28"/>
      <c r="O208" s="28"/>
      <c r="P208" s="28"/>
      <c r="Q208" s="28"/>
      <c r="R208" s="28"/>
      <c r="S208" s="28"/>
      <c r="T208" s="28"/>
      <c r="U208" s="28"/>
      <c r="V208" s="28"/>
      <c r="W208" s="28"/>
    </row>
    <row r="209" spans="2:23" x14ac:dyDescent="0.25">
      <c r="B209" s="28"/>
      <c r="C209" s="28"/>
      <c r="D209" s="28"/>
      <c r="E209" s="28"/>
      <c r="F209" s="28"/>
      <c r="G209" s="28"/>
      <c r="H209" s="28"/>
      <c r="I209" s="28"/>
      <c r="J209" s="28"/>
      <c r="K209" s="28"/>
      <c r="L209" s="28"/>
      <c r="M209" s="28"/>
      <c r="N209" s="28"/>
      <c r="O209" s="28"/>
      <c r="P209" s="28"/>
      <c r="Q209" s="28"/>
      <c r="R209" s="28"/>
      <c r="S209" s="28"/>
      <c r="T209" s="28"/>
      <c r="U209" s="28"/>
      <c r="V209" s="28"/>
      <c r="W209" s="28"/>
    </row>
    <row r="210" spans="2:23" x14ac:dyDescent="0.25">
      <c r="B210" s="28"/>
      <c r="C210" s="28"/>
      <c r="D210" s="28"/>
      <c r="E210" s="28"/>
      <c r="F210" s="28"/>
      <c r="G210" s="28"/>
      <c r="H210" s="28"/>
      <c r="I210" s="28"/>
      <c r="J210" s="28"/>
      <c r="K210" s="28"/>
      <c r="L210" s="28"/>
      <c r="M210" s="28"/>
      <c r="N210" s="28"/>
      <c r="O210" s="28"/>
      <c r="P210" s="28"/>
      <c r="Q210" s="28"/>
      <c r="R210" s="28"/>
      <c r="S210" s="28"/>
      <c r="T210" s="28"/>
      <c r="U210" s="28"/>
      <c r="V210" s="28"/>
      <c r="W210" s="28"/>
    </row>
    <row r="211" spans="2:23" x14ac:dyDescent="0.25">
      <c r="B211" s="28"/>
      <c r="C211" s="28"/>
      <c r="D211" s="28"/>
      <c r="E211" s="28"/>
      <c r="F211" s="28"/>
      <c r="G211" s="28"/>
      <c r="H211" s="28"/>
      <c r="I211" s="28"/>
      <c r="J211" s="28"/>
      <c r="K211" s="28"/>
      <c r="L211" s="28"/>
      <c r="M211" s="28"/>
      <c r="N211" s="28"/>
      <c r="O211" s="28"/>
      <c r="P211" s="28"/>
      <c r="Q211" s="28"/>
      <c r="R211" s="28"/>
      <c r="S211" s="28"/>
      <c r="T211" s="28"/>
      <c r="U211" s="28"/>
      <c r="V211" s="28"/>
      <c r="W211" s="28"/>
    </row>
    <row r="212" spans="2:23" x14ac:dyDescent="0.25">
      <c r="B212" s="28"/>
      <c r="C212" s="28"/>
      <c r="D212" s="28"/>
      <c r="E212" s="28"/>
      <c r="F212" s="28"/>
      <c r="G212" s="28"/>
      <c r="H212" s="28"/>
      <c r="I212" s="28"/>
      <c r="J212" s="28"/>
      <c r="K212" s="28"/>
      <c r="L212" s="28"/>
      <c r="M212" s="28"/>
      <c r="N212" s="28"/>
      <c r="O212" s="28"/>
      <c r="P212" s="28"/>
      <c r="Q212" s="28"/>
      <c r="R212" s="28"/>
      <c r="S212" s="28"/>
      <c r="T212" s="28"/>
      <c r="U212" s="28"/>
      <c r="V212" s="28"/>
      <c r="W212" s="28"/>
    </row>
    <row r="213" spans="2:23" x14ac:dyDescent="0.25">
      <c r="B213" s="28"/>
      <c r="C213" s="28"/>
      <c r="D213" s="28"/>
      <c r="E213" s="28"/>
      <c r="F213" s="28"/>
      <c r="G213" s="28"/>
      <c r="H213" s="28"/>
      <c r="I213" s="28"/>
      <c r="J213" s="28"/>
      <c r="K213" s="28"/>
      <c r="L213" s="28"/>
      <c r="M213" s="28"/>
      <c r="N213" s="28"/>
      <c r="O213" s="28"/>
      <c r="P213" s="28"/>
      <c r="Q213" s="28"/>
      <c r="R213" s="28"/>
      <c r="S213" s="28"/>
      <c r="T213" s="28"/>
      <c r="U213" s="28"/>
      <c r="V213" s="28"/>
      <c r="W213" s="28"/>
    </row>
    <row r="214" spans="2:23" x14ac:dyDescent="0.25">
      <c r="B214" s="28"/>
      <c r="C214" s="28"/>
      <c r="D214" s="28"/>
      <c r="E214" s="28"/>
      <c r="F214" s="28"/>
      <c r="G214" s="28"/>
      <c r="H214" s="28"/>
      <c r="I214" s="28"/>
      <c r="J214" s="28"/>
      <c r="K214" s="28"/>
      <c r="L214" s="28"/>
      <c r="M214" s="28"/>
      <c r="N214" s="28"/>
      <c r="O214" s="28"/>
      <c r="P214" s="28"/>
      <c r="Q214" s="28"/>
      <c r="R214" s="28"/>
      <c r="S214" s="28"/>
      <c r="T214" s="28"/>
      <c r="U214" s="28"/>
      <c r="V214" s="28"/>
      <c r="W214" s="28"/>
    </row>
    <row r="215" spans="2:23" x14ac:dyDescent="0.25">
      <c r="B215" s="28"/>
      <c r="C215" s="28"/>
      <c r="D215" s="28"/>
      <c r="E215" s="28"/>
      <c r="F215" s="28"/>
      <c r="G215" s="28"/>
      <c r="H215" s="28"/>
      <c r="I215" s="28"/>
      <c r="J215" s="28"/>
      <c r="K215" s="28"/>
      <c r="L215" s="28"/>
      <c r="M215" s="28"/>
      <c r="N215" s="28"/>
      <c r="O215" s="28"/>
      <c r="P215" s="28"/>
      <c r="Q215" s="28"/>
      <c r="R215" s="28"/>
      <c r="S215" s="28"/>
      <c r="T215" s="28"/>
      <c r="U215" s="28"/>
      <c r="V215" s="28"/>
      <c r="W215" s="28"/>
    </row>
    <row r="216" spans="2:23" x14ac:dyDescent="0.25">
      <c r="B216" s="28"/>
      <c r="C216" s="28"/>
      <c r="D216" s="28"/>
      <c r="E216" s="28"/>
      <c r="F216" s="28"/>
      <c r="G216" s="28"/>
      <c r="H216" s="28"/>
      <c r="I216" s="28"/>
      <c r="J216" s="28"/>
      <c r="K216" s="28"/>
      <c r="L216" s="28"/>
      <c r="M216" s="28"/>
      <c r="N216" s="28"/>
      <c r="O216" s="28"/>
      <c r="P216" s="28"/>
      <c r="Q216" s="28"/>
      <c r="R216" s="28"/>
      <c r="S216" s="28"/>
      <c r="T216" s="28"/>
      <c r="U216" s="28"/>
      <c r="V216" s="28"/>
      <c r="W216" s="28"/>
    </row>
    <row r="217" spans="2:23" x14ac:dyDescent="0.25">
      <c r="B217" s="28"/>
      <c r="C217" s="28"/>
      <c r="D217" s="28"/>
      <c r="E217" s="28"/>
      <c r="F217" s="28"/>
      <c r="G217" s="28"/>
      <c r="H217" s="28"/>
      <c r="I217" s="28"/>
      <c r="J217" s="28"/>
      <c r="K217" s="28"/>
      <c r="L217" s="28"/>
      <c r="M217" s="28"/>
      <c r="N217" s="28"/>
      <c r="O217" s="28"/>
      <c r="P217" s="28"/>
      <c r="Q217" s="28"/>
      <c r="R217" s="28"/>
      <c r="S217" s="28"/>
      <c r="T217" s="28"/>
      <c r="U217" s="28"/>
      <c r="V217" s="28"/>
      <c r="W217" s="28"/>
    </row>
    <row r="218" spans="2:23" x14ac:dyDescent="0.25">
      <c r="B218" s="28"/>
      <c r="C218" s="28"/>
      <c r="D218" s="28"/>
      <c r="E218" s="28"/>
      <c r="F218" s="28"/>
      <c r="G218" s="28"/>
      <c r="H218" s="28"/>
      <c r="I218" s="28"/>
      <c r="J218" s="28"/>
      <c r="K218" s="28"/>
      <c r="L218" s="28"/>
      <c r="M218" s="28"/>
      <c r="N218" s="28"/>
      <c r="O218" s="28"/>
      <c r="P218" s="28"/>
      <c r="Q218" s="28"/>
      <c r="R218" s="28"/>
      <c r="S218" s="28"/>
      <c r="T218" s="28"/>
      <c r="U218" s="28"/>
      <c r="V218" s="28"/>
      <c r="W218" s="28"/>
    </row>
    <row r="219" spans="2:23" x14ac:dyDescent="0.25">
      <c r="B219" s="28"/>
      <c r="C219" s="28"/>
      <c r="D219" s="28"/>
      <c r="E219" s="28"/>
      <c r="F219" s="28"/>
      <c r="G219" s="28"/>
      <c r="H219" s="28"/>
      <c r="I219" s="28"/>
      <c r="J219" s="28"/>
      <c r="K219" s="28"/>
      <c r="L219" s="28"/>
      <c r="M219" s="28"/>
      <c r="N219" s="28"/>
      <c r="O219" s="28"/>
      <c r="P219" s="28"/>
      <c r="Q219" s="28"/>
      <c r="R219" s="28"/>
      <c r="S219" s="28"/>
      <c r="T219" s="28"/>
      <c r="U219" s="28"/>
      <c r="V219" s="28"/>
      <c r="W219" s="28"/>
    </row>
    <row r="220" spans="2:23" x14ac:dyDescent="0.25">
      <c r="B220" s="28"/>
      <c r="C220" s="28"/>
      <c r="D220" s="28"/>
      <c r="E220" s="28"/>
      <c r="F220" s="28"/>
      <c r="G220" s="28"/>
      <c r="H220" s="28"/>
      <c r="I220" s="28"/>
      <c r="J220" s="28"/>
      <c r="K220" s="28"/>
      <c r="L220" s="28"/>
      <c r="M220" s="28"/>
      <c r="N220" s="28"/>
      <c r="O220" s="28"/>
      <c r="P220" s="28"/>
      <c r="Q220" s="28"/>
      <c r="R220" s="28"/>
      <c r="S220" s="28"/>
      <c r="T220" s="28"/>
      <c r="U220" s="28"/>
      <c r="V220" s="28"/>
      <c r="W220" s="28"/>
    </row>
    <row r="221" spans="2:23" x14ac:dyDescent="0.25">
      <c r="B221" s="28"/>
      <c r="C221" s="28"/>
      <c r="D221" s="28"/>
      <c r="E221" s="28"/>
      <c r="F221" s="28"/>
      <c r="G221" s="28"/>
      <c r="H221" s="28"/>
      <c r="I221" s="28"/>
      <c r="J221" s="28"/>
      <c r="K221" s="28"/>
      <c r="L221" s="28"/>
      <c r="M221" s="28"/>
      <c r="N221" s="28"/>
      <c r="O221" s="28"/>
      <c r="P221" s="28"/>
      <c r="Q221" s="28"/>
      <c r="R221" s="28"/>
      <c r="S221" s="28"/>
      <c r="T221" s="28"/>
      <c r="U221" s="28"/>
      <c r="V221" s="28"/>
      <c r="W221" s="28"/>
    </row>
    <row r="222" spans="2:23" x14ac:dyDescent="0.25">
      <c r="B222" s="28"/>
      <c r="C222" s="28"/>
      <c r="D222" s="28"/>
      <c r="E222" s="28"/>
      <c r="F222" s="28"/>
      <c r="G222" s="28"/>
      <c r="H222" s="28"/>
      <c r="I222" s="28"/>
      <c r="J222" s="28"/>
      <c r="K222" s="28"/>
      <c r="L222" s="28"/>
      <c r="M222" s="28"/>
      <c r="N222" s="28"/>
      <c r="O222" s="28"/>
      <c r="P222" s="28"/>
      <c r="Q222" s="28"/>
      <c r="R222" s="28"/>
      <c r="S222" s="28"/>
      <c r="T222" s="28"/>
      <c r="U222" s="28"/>
      <c r="V222" s="28"/>
      <c r="W222" s="28"/>
    </row>
    <row r="223" spans="2:23" x14ac:dyDescent="0.25">
      <c r="B223" s="28"/>
      <c r="C223" s="28"/>
      <c r="D223" s="28"/>
      <c r="E223" s="28"/>
      <c r="F223" s="28"/>
      <c r="G223" s="28"/>
      <c r="H223" s="28"/>
      <c r="I223" s="28"/>
      <c r="J223" s="28"/>
      <c r="K223" s="28"/>
      <c r="L223" s="28"/>
      <c r="M223" s="28"/>
      <c r="N223" s="28"/>
      <c r="O223" s="28"/>
      <c r="P223" s="28"/>
      <c r="Q223" s="28"/>
      <c r="R223" s="28"/>
      <c r="S223" s="28"/>
      <c r="T223" s="28"/>
      <c r="U223" s="28"/>
      <c r="V223" s="28"/>
      <c r="W223" s="28"/>
    </row>
    <row r="224" spans="2:23" x14ac:dyDescent="0.25">
      <c r="B224" s="28"/>
      <c r="C224" s="28"/>
      <c r="D224" s="28"/>
      <c r="E224" s="28"/>
      <c r="F224" s="28"/>
      <c r="G224" s="28"/>
      <c r="H224" s="28"/>
      <c r="I224" s="28"/>
      <c r="J224" s="28"/>
      <c r="K224" s="28"/>
      <c r="L224" s="28"/>
      <c r="M224" s="28"/>
      <c r="N224" s="28"/>
      <c r="O224" s="28"/>
      <c r="P224" s="28"/>
      <c r="Q224" s="28"/>
      <c r="R224" s="28"/>
      <c r="S224" s="28"/>
      <c r="T224" s="28"/>
      <c r="U224" s="28"/>
      <c r="V224" s="28"/>
      <c r="W224" s="28"/>
    </row>
    <row r="225" spans="2:23" x14ac:dyDescent="0.25">
      <c r="B225" s="28"/>
      <c r="C225" s="28"/>
      <c r="D225" s="28"/>
      <c r="E225" s="28"/>
      <c r="F225" s="28"/>
      <c r="G225" s="28"/>
      <c r="H225" s="28"/>
      <c r="I225" s="28"/>
      <c r="J225" s="28"/>
      <c r="K225" s="28"/>
      <c r="L225" s="28"/>
      <c r="M225" s="28"/>
      <c r="N225" s="28"/>
      <c r="O225" s="28"/>
      <c r="P225" s="28"/>
      <c r="Q225" s="28"/>
      <c r="R225" s="28"/>
      <c r="S225" s="28"/>
      <c r="T225" s="28"/>
      <c r="U225" s="28"/>
      <c r="V225" s="28"/>
      <c r="W225" s="28"/>
    </row>
    <row r="226" spans="2:23" x14ac:dyDescent="0.25">
      <c r="B226" s="28"/>
      <c r="C226" s="28"/>
      <c r="D226" s="28"/>
      <c r="E226" s="28"/>
      <c r="F226" s="28"/>
      <c r="G226" s="28"/>
      <c r="H226" s="28"/>
      <c r="I226" s="28"/>
      <c r="J226" s="28"/>
      <c r="K226" s="28"/>
      <c r="L226" s="28"/>
      <c r="M226" s="28"/>
      <c r="N226" s="28"/>
      <c r="O226" s="28"/>
      <c r="P226" s="28"/>
      <c r="Q226" s="28"/>
      <c r="R226" s="28"/>
      <c r="S226" s="28"/>
      <c r="T226" s="28"/>
      <c r="U226" s="28"/>
      <c r="V226" s="28"/>
      <c r="W226" s="28"/>
    </row>
    <row r="227" spans="2:23" x14ac:dyDescent="0.25">
      <c r="B227" s="28"/>
      <c r="C227" s="28"/>
      <c r="D227" s="28"/>
      <c r="E227" s="28"/>
      <c r="F227" s="28"/>
      <c r="G227" s="28"/>
      <c r="H227" s="28"/>
      <c r="I227" s="28"/>
      <c r="J227" s="28"/>
      <c r="K227" s="28"/>
      <c r="L227" s="28"/>
      <c r="M227" s="28"/>
      <c r="N227" s="28"/>
      <c r="O227" s="28"/>
      <c r="P227" s="28"/>
      <c r="Q227" s="28"/>
      <c r="R227" s="28"/>
      <c r="S227" s="28"/>
      <c r="T227" s="28"/>
      <c r="U227" s="28"/>
      <c r="V227" s="28"/>
      <c r="W227" s="28"/>
    </row>
    <row r="228" spans="2:23" x14ac:dyDescent="0.25">
      <c r="B228" s="28"/>
      <c r="C228" s="28"/>
      <c r="D228" s="28"/>
      <c r="E228" s="28"/>
      <c r="F228" s="28"/>
      <c r="G228" s="28"/>
      <c r="H228" s="28"/>
      <c r="I228" s="28"/>
      <c r="J228" s="28"/>
      <c r="K228" s="28"/>
      <c r="L228" s="28"/>
      <c r="M228" s="28"/>
      <c r="N228" s="28"/>
      <c r="O228" s="28"/>
      <c r="P228" s="28"/>
      <c r="Q228" s="28"/>
      <c r="R228" s="28"/>
      <c r="S228" s="28"/>
      <c r="T228" s="28"/>
      <c r="U228" s="28"/>
      <c r="V228" s="28"/>
      <c r="W228" s="28"/>
    </row>
    <row r="229" spans="2:23" x14ac:dyDescent="0.25">
      <c r="B229" s="28"/>
      <c r="C229" s="28"/>
      <c r="D229" s="28"/>
      <c r="E229" s="28"/>
      <c r="F229" s="28"/>
      <c r="G229" s="28"/>
      <c r="H229" s="28"/>
      <c r="I229" s="28"/>
      <c r="J229" s="28"/>
      <c r="K229" s="28"/>
      <c r="L229" s="28"/>
      <c r="M229" s="28"/>
      <c r="N229" s="28"/>
      <c r="O229" s="28"/>
      <c r="P229" s="28"/>
      <c r="Q229" s="28"/>
      <c r="R229" s="28"/>
      <c r="S229" s="28"/>
      <c r="T229" s="28"/>
      <c r="U229" s="28"/>
      <c r="V229" s="28"/>
      <c r="W229" s="28"/>
    </row>
    <row r="230" spans="2:23" x14ac:dyDescent="0.25">
      <c r="B230" s="28"/>
      <c r="C230" s="28"/>
      <c r="D230" s="28"/>
      <c r="E230" s="28"/>
      <c r="F230" s="28"/>
      <c r="G230" s="28"/>
      <c r="H230" s="28"/>
      <c r="I230" s="28"/>
      <c r="J230" s="28"/>
      <c r="K230" s="28"/>
      <c r="L230" s="28"/>
      <c r="M230" s="28"/>
      <c r="N230" s="28"/>
      <c r="O230" s="28"/>
      <c r="P230" s="28"/>
      <c r="Q230" s="28"/>
      <c r="R230" s="28"/>
      <c r="S230" s="28"/>
      <c r="T230" s="28"/>
      <c r="U230" s="28"/>
      <c r="V230" s="28"/>
      <c r="W230" s="28"/>
    </row>
    <row r="231" spans="2:23" x14ac:dyDescent="0.25">
      <c r="B231" s="28"/>
      <c r="C231" s="28"/>
      <c r="D231" s="28"/>
      <c r="E231" s="28"/>
      <c r="F231" s="28"/>
      <c r="G231" s="28"/>
      <c r="H231" s="28"/>
      <c r="I231" s="28"/>
      <c r="J231" s="28"/>
      <c r="K231" s="28"/>
      <c r="L231" s="28"/>
      <c r="M231" s="28"/>
      <c r="N231" s="28"/>
      <c r="O231" s="28"/>
      <c r="P231" s="28"/>
      <c r="Q231" s="28"/>
      <c r="R231" s="28"/>
      <c r="S231" s="28"/>
      <c r="T231" s="28"/>
      <c r="U231" s="28"/>
      <c r="V231" s="28"/>
      <c r="W231" s="28"/>
    </row>
    <row r="232" spans="2:23" x14ac:dyDescent="0.25">
      <c r="B232" s="28"/>
      <c r="C232" s="28"/>
      <c r="D232" s="28"/>
      <c r="E232" s="28"/>
      <c r="F232" s="28"/>
      <c r="G232" s="28"/>
      <c r="H232" s="28"/>
      <c r="I232" s="28"/>
      <c r="J232" s="28"/>
      <c r="K232" s="28"/>
      <c r="L232" s="28"/>
      <c r="M232" s="28"/>
      <c r="N232" s="28"/>
      <c r="O232" s="28"/>
      <c r="P232" s="28"/>
      <c r="Q232" s="28"/>
      <c r="R232" s="28"/>
      <c r="S232" s="28"/>
      <c r="T232" s="28"/>
      <c r="U232" s="28"/>
      <c r="V232" s="28"/>
      <c r="W232" s="28"/>
    </row>
    <row r="233" spans="2:23" x14ac:dyDescent="0.25">
      <c r="B233" s="28"/>
      <c r="C233" s="28"/>
      <c r="D233" s="28"/>
      <c r="E233" s="28"/>
      <c r="F233" s="28"/>
      <c r="G233" s="28"/>
      <c r="H233" s="28"/>
      <c r="I233" s="28"/>
      <c r="J233" s="28"/>
      <c r="K233" s="28"/>
      <c r="L233" s="28"/>
      <c r="M233" s="28"/>
      <c r="N233" s="28"/>
      <c r="O233" s="28"/>
      <c r="P233" s="28"/>
      <c r="Q233" s="28"/>
      <c r="R233" s="28"/>
      <c r="S233" s="28"/>
      <c r="T233" s="28"/>
      <c r="U233" s="28"/>
      <c r="V233" s="28"/>
      <c r="W233" s="28"/>
    </row>
    <row r="234" spans="2:23" x14ac:dyDescent="0.25">
      <c r="B234" s="28"/>
      <c r="C234" s="28"/>
      <c r="D234" s="28"/>
      <c r="E234" s="28"/>
      <c r="F234" s="28"/>
      <c r="G234" s="28"/>
      <c r="H234" s="28"/>
      <c r="I234" s="28"/>
      <c r="J234" s="28"/>
      <c r="K234" s="28"/>
      <c r="L234" s="28"/>
      <c r="M234" s="28"/>
      <c r="N234" s="28"/>
      <c r="O234" s="28"/>
      <c r="P234" s="28"/>
      <c r="Q234" s="28"/>
      <c r="R234" s="28"/>
      <c r="S234" s="28"/>
      <c r="T234" s="28"/>
      <c r="U234" s="28"/>
      <c r="V234" s="28"/>
      <c r="W234" s="28"/>
    </row>
    <row r="235" spans="2:23" x14ac:dyDescent="0.25">
      <c r="B235" s="28"/>
      <c r="C235" s="28"/>
      <c r="D235" s="28"/>
      <c r="E235" s="28"/>
      <c r="F235" s="28"/>
      <c r="G235" s="28"/>
      <c r="H235" s="28"/>
      <c r="I235" s="28"/>
      <c r="J235" s="28"/>
      <c r="K235" s="28"/>
      <c r="L235" s="28"/>
      <c r="M235" s="28"/>
      <c r="N235" s="28"/>
      <c r="O235" s="28"/>
      <c r="P235" s="28"/>
      <c r="Q235" s="28"/>
      <c r="R235" s="28"/>
      <c r="S235" s="28"/>
      <c r="T235" s="28"/>
      <c r="U235" s="28"/>
      <c r="V235" s="28"/>
      <c r="W235" s="28"/>
    </row>
    <row r="236" spans="2:23" x14ac:dyDescent="0.25">
      <c r="B236" s="28"/>
      <c r="C236" s="28"/>
      <c r="D236" s="28"/>
      <c r="E236" s="28"/>
      <c r="F236" s="28"/>
      <c r="G236" s="28"/>
      <c r="H236" s="28"/>
      <c r="I236" s="28"/>
      <c r="J236" s="28"/>
      <c r="K236" s="28"/>
      <c r="L236" s="28"/>
      <c r="M236" s="28"/>
      <c r="N236" s="28"/>
      <c r="O236" s="28"/>
      <c r="P236" s="28"/>
      <c r="Q236" s="28"/>
      <c r="R236" s="28"/>
      <c r="S236" s="28"/>
      <c r="T236" s="28"/>
      <c r="U236" s="28"/>
      <c r="V236" s="28"/>
      <c r="W236" s="28"/>
    </row>
    <row r="237" spans="2:23" x14ac:dyDescent="0.25">
      <c r="B237" s="28"/>
      <c r="C237" s="28"/>
      <c r="D237" s="28"/>
      <c r="E237" s="28"/>
      <c r="F237" s="28"/>
      <c r="G237" s="28"/>
      <c r="H237" s="28"/>
      <c r="I237" s="28"/>
      <c r="J237" s="28"/>
      <c r="K237" s="28"/>
      <c r="L237" s="28"/>
      <c r="M237" s="28"/>
      <c r="N237" s="28"/>
      <c r="O237" s="28"/>
      <c r="P237" s="28"/>
      <c r="Q237" s="28"/>
      <c r="R237" s="28"/>
      <c r="S237" s="28"/>
      <c r="T237" s="28"/>
      <c r="U237" s="28"/>
      <c r="V237" s="28"/>
      <c r="W237" s="28"/>
    </row>
    <row r="238" spans="2:23" x14ac:dyDescent="0.25">
      <c r="B238" s="28"/>
      <c r="C238" s="28"/>
      <c r="D238" s="28"/>
      <c r="E238" s="28"/>
      <c r="F238" s="28"/>
      <c r="G238" s="28"/>
      <c r="H238" s="28"/>
      <c r="I238" s="28"/>
      <c r="J238" s="28"/>
      <c r="K238" s="28"/>
      <c r="L238" s="28"/>
      <c r="M238" s="28"/>
      <c r="N238" s="28"/>
      <c r="O238" s="28"/>
      <c r="P238" s="28"/>
      <c r="Q238" s="28"/>
      <c r="R238" s="28"/>
      <c r="S238" s="28"/>
      <c r="T238" s="28"/>
      <c r="U238" s="28"/>
      <c r="V238" s="28"/>
      <c r="W238" s="28"/>
    </row>
    <row r="239" spans="2:23" x14ac:dyDescent="0.25">
      <c r="B239" s="28"/>
      <c r="C239" s="28"/>
      <c r="D239" s="28"/>
      <c r="E239" s="28"/>
      <c r="F239" s="28"/>
      <c r="G239" s="28"/>
      <c r="H239" s="28"/>
      <c r="I239" s="28"/>
      <c r="J239" s="28"/>
      <c r="K239" s="28"/>
      <c r="L239" s="28"/>
      <c r="M239" s="28"/>
      <c r="N239" s="28"/>
      <c r="O239" s="28"/>
      <c r="P239" s="28"/>
      <c r="Q239" s="28"/>
      <c r="R239" s="28"/>
      <c r="S239" s="28"/>
      <c r="T239" s="28"/>
      <c r="U239" s="28"/>
      <c r="V239" s="28"/>
      <c r="W239" s="28"/>
    </row>
    <row r="240" spans="2:23" x14ac:dyDescent="0.25">
      <c r="B240" s="28"/>
      <c r="C240" s="28"/>
      <c r="D240" s="28"/>
      <c r="E240" s="28"/>
      <c r="F240" s="28"/>
      <c r="G240" s="28"/>
      <c r="H240" s="28"/>
      <c r="I240" s="28"/>
      <c r="J240" s="28"/>
      <c r="K240" s="28"/>
      <c r="L240" s="28"/>
      <c r="M240" s="28"/>
      <c r="N240" s="28"/>
      <c r="O240" s="28"/>
      <c r="P240" s="28"/>
      <c r="Q240" s="28"/>
      <c r="R240" s="28"/>
      <c r="S240" s="28"/>
      <c r="T240" s="28"/>
      <c r="U240" s="28"/>
      <c r="V240" s="28"/>
      <c r="W240" s="28"/>
    </row>
    <row r="241" spans="2:23" x14ac:dyDescent="0.25">
      <c r="B241" s="28"/>
      <c r="C241" s="28"/>
      <c r="D241" s="28"/>
      <c r="E241" s="28"/>
      <c r="F241" s="28"/>
      <c r="G241" s="28"/>
      <c r="H241" s="28"/>
      <c r="I241" s="28"/>
      <c r="J241" s="28"/>
      <c r="K241" s="28"/>
      <c r="L241" s="28"/>
      <c r="M241" s="28"/>
      <c r="N241" s="28"/>
      <c r="O241" s="28"/>
      <c r="P241" s="28"/>
      <c r="Q241" s="28"/>
      <c r="R241" s="28"/>
      <c r="S241" s="28"/>
      <c r="T241" s="28"/>
      <c r="U241" s="28"/>
      <c r="V241" s="28"/>
      <c r="W241" s="28"/>
    </row>
    <row r="242" spans="2:23" x14ac:dyDescent="0.25">
      <c r="B242" s="28"/>
      <c r="C242" s="28"/>
      <c r="D242" s="28"/>
      <c r="E242" s="28"/>
      <c r="F242" s="28"/>
      <c r="G242" s="28"/>
      <c r="H242" s="28"/>
      <c r="I242" s="28"/>
      <c r="J242" s="28"/>
      <c r="K242" s="28"/>
      <c r="L242" s="28"/>
      <c r="M242" s="28"/>
      <c r="N242" s="28"/>
      <c r="O242" s="28"/>
      <c r="P242" s="28"/>
      <c r="Q242" s="28"/>
      <c r="R242" s="28"/>
      <c r="S242" s="28"/>
      <c r="T242" s="28"/>
      <c r="U242" s="28"/>
      <c r="V242" s="28"/>
      <c r="W242" s="28"/>
    </row>
    <row r="243" spans="2:23" x14ac:dyDescent="0.25">
      <c r="B243" s="28"/>
      <c r="C243" s="28"/>
      <c r="D243" s="28"/>
      <c r="E243" s="28"/>
      <c r="F243" s="28"/>
      <c r="G243" s="28"/>
      <c r="H243" s="28"/>
      <c r="I243" s="28"/>
      <c r="J243" s="28"/>
      <c r="K243" s="28"/>
      <c r="L243" s="28"/>
      <c r="M243" s="28"/>
      <c r="N243" s="28"/>
      <c r="O243" s="28"/>
      <c r="P243" s="28"/>
      <c r="Q243" s="28"/>
      <c r="R243" s="28"/>
      <c r="S243" s="28"/>
      <c r="T243" s="28"/>
      <c r="U243" s="28"/>
      <c r="V243" s="28"/>
      <c r="W243" s="28"/>
    </row>
    <row r="244" spans="2:23" x14ac:dyDescent="0.25">
      <c r="B244" s="28"/>
      <c r="C244" s="28"/>
      <c r="D244" s="28"/>
      <c r="E244" s="28"/>
      <c r="F244" s="28"/>
      <c r="G244" s="28"/>
      <c r="H244" s="28"/>
      <c r="I244" s="28"/>
      <c r="J244" s="28"/>
      <c r="K244" s="28"/>
      <c r="L244" s="28"/>
      <c r="M244" s="28"/>
      <c r="N244" s="28"/>
      <c r="O244" s="28"/>
      <c r="P244" s="28"/>
      <c r="Q244" s="28"/>
      <c r="R244" s="28"/>
      <c r="S244" s="28"/>
      <c r="T244" s="28"/>
      <c r="U244" s="28"/>
      <c r="V244" s="28"/>
      <c r="W244" s="28"/>
    </row>
    <row r="245" spans="2:23" x14ac:dyDescent="0.25">
      <c r="B245" s="28"/>
      <c r="C245" s="28"/>
      <c r="D245" s="28"/>
      <c r="E245" s="28"/>
      <c r="F245" s="28"/>
      <c r="G245" s="28"/>
      <c r="H245" s="28"/>
      <c r="I245" s="28"/>
      <c r="J245" s="28"/>
      <c r="K245" s="28"/>
      <c r="L245" s="28"/>
      <c r="M245" s="28"/>
      <c r="N245" s="28"/>
      <c r="O245" s="28"/>
      <c r="P245" s="28"/>
      <c r="Q245" s="28"/>
      <c r="R245" s="28"/>
      <c r="S245" s="28"/>
      <c r="T245" s="28"/>
      <c r="U245" s="28"/>
      <c r="V245" s="28"/>
      <c r="W245" s="28"/>
    </row>
    <row r="246" spans="2:23" x14ac:dyDescent="0.25">
      <c r="B246" s="28"/>
      <c r="C246" s="28"/>
      <c r="D246" s="28"/>
      <c r="E246" s="28"/>
      <c r="F246" s="28"/>
      <c r="G246" s="28"/>
      <c r="H246" s="28"/>
      <c r="I246" s="28"/>
      <c r="J246" s="28"/>
      <c r="K246" s="28"/>
      <c r="L246" s="28"/>
      <c r="M246" s="28"/>
      <c r="N246" s="28"/>
      <c r="O246" s="28"/>
      <c r="P246" s="28"/>
      <c r="Q246" s="28"/>
      <c r="R246" s="28"/>
      <c r="S246" s="28"/>
      <c r="T246" s="28"/>
      <c r="U246" s="28"/>
      <c r="V246" s="28"/>
      <c r="W246" s="28"/>
    </row>
    <row r="247" spans="2:23" x14ac:dyDescent="0.25">
      <c r="B247" s="28"/>
      <c r="C247" s="28"/>
      <c r="D247" s="28"/>
      <c r="E247" s="28"/>
      <c r="F247" s="28"/>
      <c r="G247" s="28"/>
      <c r="H247" s="28"/>
      <c r="I247" s="28"/>
      <c r="J247" s="28"/>
      <c r="K247" s="28"/>
      <c r="L247" s="28"/>
      <c r="M247" s="28"/>
      <c r="N247" s="28"/>
      <c r="O247" s="28"/>
      <c r="P247" s="28"/>
      <c r="Q247" s="28"/>
      <c r="R247" s="28"/>
      <c r="S247" s="28"/>
      <c r="T247" s="28"/>
      <c r="U247" s="28"/>
      <c r="V247" s="28"/>
      <c r="W247" s="28"/>
    </row>
    <row r="248" spans="2:23" x14ac:dyDescent="0.25">
      <c r="B248" s="28"/>
      <c r="C248" s="28"/>
      <c r="D248" s="28"/>
      <c r="E248" s="28"/>
      <c r="F248" s="28"/>
      <c r="G248" s="28"/>
      <c r="H248" s="28"/>
      <c r="I248" s="28"/>
      <c r="J248" s="28"/>
      <c r="K248" s="28"/>
      <c r="L248" s="28"/>
      <c r="M248" s="28"/>
      <c r="N248" s="28"/>
      <c r="O248" s="28"/>
      <c r="P248" s="28"/>
      <c r="Q248" s="28"/>
      <c r="R248" s="28"/>
      <c r="S248" s="28"/>
      <c r="T248" s="28"/>
      <c r="U248" s="28"/>
      <c r="V248" s="28"/>
      <c r="W248" s="28"/>
    </row>
    <row r="249" spans="2:23" x14ac:dyDescent="0.25">
      <c r="B249" s="28"/>
      <c r="C249" s="28"/>
      <c r="D249" s="28"/>
      <c r="E249" s="28"/>
      <c r="F249" s="28"/>
      <c r="G249" s="28"/>
      <c r="H249" s="28"/>
      <c r="I249" s="28"/>
      <c r="J249" s="28"/>
      <c r="K249" s="28"/>
      <c r="L249" s="28"/>
      <c r="M249" s="28"/>
      <c r="N249" s="28"/>
      <c r="O249" s="28"/>
      <c r="P249" s="28"/>
      <c r="Q249" s="28"/>
      <c r="R249" s="28"/>
      <c r="S249" s="28"/>
      <c r="T249" s="28"/>
      <c r="U249" s="28"/>
      <c r="V249" s="28"/>
      <c r="W249" s="28"/>
    </row>
    <row r="250" spans="2:23" x14ac:dyDescent="0.25">
      <c r="B250" s="28"/>
      <c r="C250" s="28"/>
      <c r="D250" s="28"/>
      <c r="E250" s="28"/>
      <c r="F250" s="28"/>
      <c r="G250" s="28"/>
      <c r="H250" s="28"/>
      <c r="I250" s="28"/>
      <c r="J250" s="28"/>
      <c r="K250" s="28"/>
      <c r="L250" s="28"/>
      <c r="M250" s="28"/>
      <c r="N250" s="28"/>
      <c r="O250" s="28"/>
      <c r="P250" s="28"/>
      <c r="Q250" s="28"/>
      <c r="R250" s="28"/>
      <c r="S250" s="28"/>
      <c r="T250" s="28"/>
      <c r="U250" s="28"/>
      <c r="V250" s="28"/>
      <c r="W250" s="28"/>
    </row>
    <row r="251" spans="2:23" x14ac:dyDescent="0.25">
      <c r="B251" s="28"/>
      <c r="C251" s="28"/>
      <c r="D251" s="28"/>
      <c r="E251" s="28"/>
      <c r="F251" s="28"/>
      <c r="G251" s="28"/>
      <c r="H251" s="28"/>
      <c r="I251" s="28"/>
      <c r="J251" s="28"/>
      <c r="K251" s="28"/>
      <c r="L251" s="28"/>
      <c r="M251" s="28"/>
      <c r="N251" s="28"/>
      <c r="O251" s="28"/>
      <c r="P251" s="28"/>
      <c r="Q251" s="28"/>
      <c r="R251" s="28"/>
      <c r="S251" s="28"/>
      <c r="T251" s="28"/>
      <c r="U251" s="28"/>
      <c r="V251" s="28"/>
      <c r="W251" s="28"/>
    </row>
    <row r="252" spans="2:23" x14ac:dyDescent="0.25">
      <c r="B252" s="28"/>
      <c r="C252" s="28"/>
      <c r="D252" s="28"/>
      <c r="E252" s="28"/>
      <c r="F252" s="28"/>
      <c r="G252" s="28"/>
      <c r="H252" s="28"/>
      <c r="I252" s="28"/>
      <c r="J252" s="28"/>
      <c r="K252" s="28"/>
      <c r="L252" s="28"/>
      <c r="M252" s="28"/>
      <c r="N252" s="28"/>
      <c r="O252" s="28"/>
      <c r="P252" s="28"/>
      <c r="Q252" s="28"/>
      <c r="R252" s="28"/>
      <c r="S252" s="28"/>
      <c r="T252" s="28"/>
      <c r="U252" s="28"/>
      <c r="V252" s="28"/>
      <c r="W252" s="28"/>
    </row>
    <row r="253" spans="2:23" x14ac:dyDescent="0.25">
      <c r="B253" s="28"/>
      <c r="C253" s="28"/>
      <c r="D253" s="28"/>
      <c r="E253" s="28"/>
      <c r="F253" s="28"/>
      <c r="G253" s="28"/>
      <c r="H253" s="28"/>
      <c r="I253" s="28"/>
      <c r="J253" s="28"/>
      <c r="K253" s="28"/>
      <c r="L253" s="28"/>
      <c r="M253" s="28"/>
      <c r="N253" s="28"/>
      <c r="O253" s="28"/>
      <c r="P253" s="28"/>
      <c r="Q253" s="28"/>
      <c r="R253" s="28"/>
      <c r="S253" s="28"/>
      <c r="T253" s="28"/>
      <c r="U253" s="28"/>
      <c r="V253" s="28"/>
      <c r="W253" s="28"/>
    </row>
    <row r="254" spans="2:23" x14ac:dyDescent="0.25">
      <c r="B254" s="28"/>
      <c r="C254" s="28"/>
      <c r="D254" s="28"/>
      <c r="E254" s="28"/>
      <c r="F254" s="28"/>
      <c r="G254" s="28"/>
      <c r="H254" s="28"/>
      <c r="I254" s="28"/>
      <c r="J254" s="28"/>
      <c r="K254" s="28"/>
      <c r="L254" s="28"/>
      <c r="M254" s="28"/>
      <c r="N254" s="28"/>
      <c r="O254" s="28"/>
      <c r="P254" s="28"/>
      <c r="Q254" s="28"/>
      <c r="R254" s="28"/>
      <c r="S254" s="28"/>
      <c r="T254" s="28"/>
      <c r="U254" s="28"/>
      <c r="V254" s="28"/>
      <c r="W254" s="28"/>
    </row>
    <row r="255" spans="2:23" x14ac:dyDescent="0.25">
      <c r="B255" s="28"/>
      <c r="C255" s="28"/>
      <c r="D255" s="28"/>
      <c r="E255" s="28"/>
      <c r="F255" s="28"/>
      <c r="G255" s="28"/>
      <c r="H255" s="28"/>
      <c r="I255" s="28"/>
      <c r="J255" s="28"/>
      <c r="K255" s="28"/>
      <c r="L255" s="28"/>
      <c r="M255" s="28"/>
      <c r="N255" s="28"/>
      <c r="O255" s="28"/>
      <c r="P255" s="28"/>
      <c r="Q255" s="28"/>
      <c r="R255" s="28"/>
      <c r="S255" s="28"/>
      <c r="T255" s="28"/>
      <c r="U255" s="28"/>
      <c r="V255" s="28"/>
      <c r="W255" s="28"/>
    </row>
    <row r="256" spans="2:23" x14ac:dyDescent="0.25">
      <c r="B256" s="28"/>
      <c r="C256" s="28"/>
      <c r="D256" s="28"/>
      <c r="E256" s="28"/>
      <c r="F256" s="28"/>
      <c r="G256" s="28"/>
      <c r="H256" s="28"/>
      <c r="I256" s="28"/>
      <c r="J256" s="28"/>
      <c r="K256" s="28"/>
      <c r="L256" s="28"/>
      <c r="M256" s="28"/>
      <c r="N256" s="28"/>
      <c r="O256" s="28"/>
      <c r="P256" s="28"/>
      <c r="Q256" s="28"/>
      <c r="R256" s="28"/>
      <c r="S256" s="28"/>
      <c r="T256" s="28"/>
      <c r="U256" s="28"/>
      <c r="V256" s="28"/>
      <c r="W256" s="28"/>
    </row>
    <row r="257" spans="2:23" x14ac:dyDescent="0.25">
      <c r="B257" s="28"/>
      <c r="C257" s="28"/>
      <c r="D257" s="28"/>
      <c r="E257" s="28"/>
      <c r="F257" s="28"/>
      <c r="G257" s="28"/>
      <c r="H257" s="28"/>
      <c r="I257" s="28"/>
      <c r="J257" s="28"/>
      <c r="K257" s="28"/>
      <c r="L257" s="28"/>
      <c r="M257" s="28"/>
      <c r="N257" s="28"/>
      <c r="O257" s="28"/>
      <c r="P257" s="28"/>
      <c r="Q257" s="28"/>
      <c r="R257" s="28"/>
      <c r="S257" s="28"/>
      <c r="T257" s="28"/>
      <c r="U257" s="28"/>
      <c r="V257" s="28"/>
      <c r="W257" s="28"/>
    </row>
    <row r="258" spans="2:23" x14ac:dyDescent="0.25">
      <c r="B258" s="28"/>
      <c r="C258" s="28"/>
      <c r="D258" s="28"/>
      <c r="E258" s="28"/>
      <c r="F258" s="28"/>
      <c r="G258" s="28"/>
      <c r="H258" s="28"/>
      <c r="I258" s="28"/>
      <c r="J258" s="28"/>
      <c r="K258" s="28"/>
      <c r="L258" s="28"/>
      <c r="M258" s="28"/>
      <c r="N258" s="28"/>
      <c r="O258" s="28"/>
      <c r="P258" s="28"/>
      <c r="Q258" s="28"/>
      <c r="R258" s="28"/>
      <c r="S258" s="28"/>
      <c r="T258" s="28"/>
      <c r="U258" s="28"/>
      <c r="V258" s="28"/>
      <c r="W258" s="28"/>
    </row>
    <row r="259" spans="2:23" x14ac:dyDescent="0.25">
      <c r="B259" s="28"/>
      <c r="C259" s="28"/>
      <c r="D259" s="28"/>
      <c r="E259" s="28"/>
      <c r="F259" s="28"/>
      <c r="G259" s="28"/>
      <c r="H259" s="28"/>
      <c r="I259" s="28"/>
      <c r="J259" s="28"/>
      <c r="K259" s="28"/>
      <c r="L259" s="28"/>
      <c r="M259" s="28"/>
      <c r="N259" s="28"/>
      <c r="O259" s="28"/>
      <c r="P259" s="28"/>
      <c r="Q259" s="28"/>
      <c r="R259" s="28"/>
      <c r="S259" s="28"/>
      <c r="T259" s="28"/>
      <c r="U259" s="28"/>
      <c r="V259" s="28"/>
      <c r="W259" s="28"/>
    </row>
    <row r="260" spans="2:23" x14ac:dyDescent="0.25">
      <c r="B260" s="28"/>
      <c r="C260" s="28"/>
      <c r="D260" s="28"/>
      <c r="E260" s="28"/>
      <c r="F260" s="28"/>
      <c r="G260" s="28"/>
      <c r="H260" s="28"/>
      <c r="I260" s="28"/>
      <c r="J260" s="28"/>
      <c r="K260" s="28"/>
      <c r="L260" s="28"/>
      <c r="M260" s="28"/>
      <c r="N260" s="28"/>
      <c r="O260" s="28"/>
      <c r="P260" s="28"/>
      <c r="Q260" s="28"/>
      <c r="R260" s="28"/>
      <c r="S260" s="28"/>
      <c r="T260" s="28"/>
      <c r="U260" s="28"/>
      <c r="V260" s="28"/>
      <c r="W260" s="28"/>
    </row>
    <row r="261" spans="2:23" x14ac:dyDescent="0.25">
      <c r="B261" s="28"/>
      <c r="C261" s="28"/>
      <c r="D261" s="28"/>
      <c r="E261" s="28"/>
      <c r="F261" s="28"/>
      <c r="G261" s="28"/>
      <c r="H261" s="28"/>
      <c r="I261" s="28"/>
      <c r="J261" s="28"/>
      <c r="K261" s="28"/>
      <c r="L261" s="28"/>
      <c r="M261" s="28"/>
      <c r="N261" s="28"/>
      <c r="O261" s="28"/>
      <c r="P261" s="28"/>
      <c r="Q261" s="28"/>
      <c r="R261" s="28"/>
      <c r="S261" s="28"/>
      <c r="T261" s="28"/>
      <c r="U261" s="28"/>
      <c r="V261" s="28"/>
      <c r="W261" s="28"/>
    </row>
    <row r="262" spans="2:23" x14ac:dyDescent="0.25">
      <c r="B262" s="28"/>
      <c r="C262" s="28"/>
      <c r="D262" s="28"/>
      <c r="E262" s="28"/>
      <c r="F262" s="28"/>
      <c r="G262" s="28"/>
      <c r="H262" s="28"/>
      <c r="I262" s="28"/>
      <c r="J262" s="28"/>
      <c r="K262" s="28"/>
      <c r="L262" s="28"/>
      <c r="M262" s="28"/>
      <c r="N262" s="28"/>
      <c r="O262" s="28"/>
      <c r="P262" s="28"/>
      <c r="Q262" s="28"/>
      <c r="R262" s="28"/>
      <c r="S262" s="28"/>
      <c r="T262" s="28"/>
      <c r="U262" s="28"/>
      <c r="V262" s="28"/>
      <c r="W262" s="28"/>
    </row>
    <row r="263" spans="2:23" x14ac:dyDescent="0.25">
      <c r="B263" s="28"/>
      <c r="C263" s="28"/>
      <c r="D263" s="28"/>
      <c r="E263" s="28"/>
      <c r="F263" s="28"/>
      <c r="G263" s="28"/>
      <c r="H263" s="28"/>
      <c r="I263" s="28"/>
      <c r="J263" s="28"/>
      <c r="K263" s="28"/>
      <c r="L263" s="28"/>
      <c r="M263" s="28"/>
      <c r="N263" s="28"/>
      <c r="O263" s="28"/>
      <c r="P263" s="28"/>
      <c r="Q263" s="28"/>
      <c r="R263" s="28"/>
      <c r="S263" s="28"/>
      <c r="T263" s="28"/>
      <c r="U263" s="28"/>
      <c r="V263" s="28"/>
      <c r="W263" s="28"/>
    </row>
    <row r="264" spans="2:23" x14ac:dyDescent="0.25">
      <c r="B264" s="28"/>
      <c r="C264" s="28"/>
      <c r="D264" s="28"/>
      <c r="E264" s="28"/>
      <c r="F264" s="28"/>
      <c r="G264" s="28"/>
      <c r="H264" s="28"/>
      <c r="I264" s="28"/>
      <c r="J264" s="28"/>
      <c r="K264" s="28"/>
      <c r="L264" s="28"/>
      <c r="M264" s="28"/>
      <c r="N264" s="28"/>
      <c r="O264" s="28"/>
      <c r="P264" s="28"/>
      <c r="Q264" s="28"/>
      <c r="R264" s="28"/>
      <c r="S264" s="28"/>
      <c r="T264" s="28"/>
      <c r="U264" s="28"/>
      <c r="V264" s="28"/>
      <c r="W264" s="28"/>
    </row>
    <row r="265" spans="2:23" x14ac:dyDescent="0.25">
      <c r="B265" s="28"/>
      <c r="C265" s="28"/>
      <c r="D265" s="28"/>
      <c r="E265" s="28"/>
      <c r="F265" s="28"/>
      <c r="G265" s="28"/>
      <c r="H265" s="28"/>
      <c r="I265" s="28"/>
      <c r="J265" s="28"/>
      <c r="K265" s="28"/>
      <c r="L265" s="28"/>
      <c r="M265" s="28"/>
      <c r="N265" s="28"/>
      <c r="O265" s="28"/>
      <c r="P265" s="28"/>
      <c r="Q265" s="28"/>
      <c r="R265" s="28"/>
      <c r="S265" s="28"/>
      <c r="T265" s="28"/>
      <c r="U265" s="28"/>
      <c r="V265" s="28"/>
      <c r="W265" s="28"/>
    </row>
    <row r="266" spans="2:23" x14ac:dyDescent="0.25">
      <c r="B266" s="28"/>
      <c r="C266" s="28"/>
      <c r="D266" s="28"/>
      <c r="E266" s="28"/>
      <c r="F266" s="28"/>
      <c r="G266" s="28"/>
      <c r="H266" s="28"/>
      <c r="I266" s="28"/>
      <c r="J266" s="28"/>
      <c r="K266" s="28"/>
      <c r="L266" s="28"/>
      <c r="M266" s="28"/>
      <c r="N266" s="28"/>
      <c r="O266" s="28"/>
      <c r="P266" s="28"/>
      <c r="Q266" s="28"/>
      <c r="R266" s="28"/>
      <c r="S266" s="28"/>
      <c r="T266" s="28"/>
      <c r="U266" s="28"/>
      <c r="V266" s="28"/>
      <c r="W266" s="28"/>
    </row>
    <row r="267" spans="2:23" x14ac:dyDescent="0.25">
      <c r="B267" s="28"/>
      <c r="C267" s="28"/>
      <c r="D267" s="28"/>
      <c r="E267" s="28"/>
      <c r="F267" s="28"/>
      <c r="G267" s="28"/>
      <c r="H267" s="28"/>
      <c r="I267" s="28"/>
      <c r="J267" s="28"/>
      <c r="K267" s="28"/>
      <c r="L267" s="28"/>
      <c r="M267" s="28"/>
      <c r="N267" s="28"/>
      <c r="O267" s="28"/>
      <c r="P267" s="28"/>
      <c r="Q267" s="28"/>
      <c r="R267" s="28"/>
      <c r="S267" s="28"/>
      <c r="T267" s="28"/>
      <c r="U267" s="28"/>
      <c r="V267" s="28"/>
      <c r="W267" s="28"/>
    </row>
    <row r="268" spans="2:23" x14ac:dyDescent="0.25">
      <c r="B268" s="28"/>
      <c r="C268" s="28"/>
      <c r="D268" s="28"/>
      <c r="E268" s="28"/>
      <c r="F268" s="28"/>
      <c r="G268" s="28"/>
      <c r="H268" s="28"/>
      <c r="I268" s="28"/>
      <c r="J268" s="28"/>
      <c r="K268" s="28"/>
      <c r="L268" s="28"/>
      <c r="M268" s="28"/>
      <c r="N268" s="28"/>
      <c r="O268" s="28"/>
      <c r="P268" s="28"/>
      <c r="Q268" s="28"/>
      <c r="R268" s="28"/>
      <c r="S268" s="28"/>
      <c r="T268" s="28"/>
      <c r="U268" s="28"/>
      <c r="V268" s="28"/>
      <c r="W268" s="28"/>
    </row>
    <row r="269" spans="2:23" x14ac:dyDescent="0.25">
      <c r="B269" s="28"/>
      <c r="C269" s="28"/>
      <c r="D269" s="28"/>
      <c r="E269" s="28"/>
      <c r="F269" s="28"/>
      <c r="G269" s="28"/>
      <c r="H269" s="28"/>
      <c r="I269" s="28"/>
      <c r="J269" s="28"/>
      <c r="K269" s="28"/>
      <c r="L269" s="28"/>
      <c r="M269" s="28"/>
      <c r="N269" s="28"/>
      <c r="O269" s="28"/>
      <c r="P269" s="28"/>
      <c r="Q269" s="28"/>
      <c r="R269" s="28"/>
      <c r="S269" s="28"/>
      <c r="T269" s="28"/>
      <c r="U269" s="28"/>
      <c r="V269" s="28"/>
      <c r="W269" s="28"/>
    </row>
    <row r="270" spans="2:23" x14ac:dyDescent="0.25">
      <c r="B270" s="28"/>
      <c r="C270" s="28"/>
      <c r="D270" s="28"/>
      <c r="E270" s="28"/>
      <c r="F270" s="28"/>
      <c r="G270" s="28"/>
      <c r="H270" s="28"/>
      <c r="I270" s="28"/>
      <c r="J270" s="28"/>
      <c r="K270" s="28"/>
      <c r="L270" s="28"/>
      <c r="M270" s="28"/>
      <c r="N270" s="28"/>
      <c r="O270" s="28"/>
      <c r="P270" s="28"/>
      <c r="Q270" s="28"/>
      <c r="R270" s="28"/>
      <c r="S270" s="28"/>
      <c r="T270" s="28"/>
      <c r="U270" s="28"/>
      <c r="V270" s="28"/>
      <c r="W270" s="28"/>
    </row>
    <row r="271" spans="2:23" x14ac:dyDescent="0.25">
      <c r="B271" s="28"/>
      <c r="C271" s="28"/>
      <c r="D271" s="28"/>
      <c r="E271" s="28"/>
      <c r="F271" s="28"/>
      <c r="G271" s="28"/>
      <c r="H271" s="28"/>
      <c r="I271" s="28"/>
      <c r="J271" s="28"/>
      <c r="K271" s="28"/>
      <c r="L271" s="28"/>
      <c r="M271" s="28"/>
      <c r="N271" s="28"/>
      <c r="O271" s="28"/>
      <c r="P271" s="28"/>
      <c r="Q271" s="28"/>
      <c r="R271" s="28"/>
      <c r="S271" s="28"/>
      <c r="T271" s="28"/>
      <c r="U271" s="28"/>
      <c r="V271" s="28"/>
      <c r="W271" s="28"/>
    </row>
    <row r="272" spans="2:23" x14ac:dyDescent="0.25">
      <c r="B272" s="28"/>
      <c r="C272" s="28"/>
      <c r="D272" s="28"/>
      <c r="E272" s="28"/>
      <c r="F272" s="28"/>
      <c r="G272" s="28"/>
      <c r="H272" s="28"/>
      <c r="I272" s="28"/>
      <c r="J272" s="28"/>
      <c r="K272" s="28"/>
      <c r="L272" s="28"/>
      <c r="M272" s="28"/>
      <c r="N272" s="28"/>
      <c r="O272" s="28"/>
      <c r="P272" s="28"/>
      <c r="Q272" s="28"/>
      <c r="R272" s="28"/>
      <c r="S272" s="28"/>
      <c r="T272" s="28"/>
      <c r="U272" s="28"/>
      <c r="V272" s="28"/>
      <c r="W272" s="28"/>
    </row>
    <row r="273" spans="2:23" x14ac:dyDescent="0.25">
      <c r="B273" s="28"/>
      <c r="C273" s="28"/>
      <c r="D273" s="28"/>
      <c r="E273" s="28"/>
      <c r="F273" s="28"/>
      <c r="G273" s="28"/>
      <c r="H273" s="28"/>
      <c r="I273" s="28"/>
      <c r="J273" s="28"/>
      <c r="K273" s="28"/>
      <c r="L273" s="28"/>
      <c r="M273" s="28"/>
      <c r="N273" s="28"/>
      <c r="O273" s="28"/>
      <c r="P273" s="28"/>
      <c r="Q273" s="28"/>
      <c r="R273" s="28"/>
      <c r="S273" s="28"/>
      <c r="T273" s="28"/>
      <c r="U273" s="28"/>
      <c r="V273" s="28"/>
      <c r="W273" s="28"/>
    </row>
    <row r="274" spans="2:23" x14ac:dyDescent="0.25">
      <c r="B274" s="28"/>
      <c r="C274" s="28"/>
      <c r="D274" s="28"/>
      <c r="E274" s="28"/>
      <c r="F274" s="28"/>
      <c r="G274" s="28"/>
      <c r="H274" s="28"/>
      <c r="I274" s="28"/>
      <c r="J274" s="28"/>
      <c r="K274" s="28"/>
      <c r="L274" s="28"/>
      <c r="M274" s="28"/>
      <c r="N274" s="28"/>
      <c r="O274" s="28"/>
      <c r="P274" s="28"/>
      <c r="Q274" s="28"/>
      <c r="R274" s="28"/>
      <c r="S274" s="28"/>
      <c r="T274" s="28"/>
      <c r="U274" s="28"/>
      <c r="V274" s="28"/>
      <c r="W274" s="28"/>
    </row>
    <row r="275" spans="2:23" x14ac:dyDescent="0.25">
      <c r="B275" s="28"/>
      <c r="C275" s="28"/>
      <c r="D275" s="28"/>
      <c r="E275" s="28"/>
      <c r="F275" s="28"/>
      <c r="G275" s="28"/>
      <c r="H275" s="28"/>
      <c r="I275" s="28"/>
      <c r="J275" s="28"/>
      <c r="K275" s="28"/>
      <c r="L275" s="28"/>
      <c r="M275" s="28"/>
      <c r="N275" s="28"/>
      <c r="O275" s="28"/>
      <c r="P275" s="28"/>
      <c r="Q275" s="28"/>
      <c r="R275" s="28"/>
      <c r="S275" s="28"/>
      <c r="T275" s="28"/>
      <c r="U275" s="28"/>
      <c r="V275" s="28"/>
      <c r="W275" s="28"/>
    </row>
    <row r="276" spans="2:23" x14ac:dyDescent="0.25">
      <c r="B276" s="28"/>
      <c r="C276" s="28"/>
      <c r="D276" s="28"/>
      <c r="E276" s="28"/>
      <c r="F276" s="28"/>
      <c r="G276" s="28"/>
      <c r="H276" s="28"/>
      <c r="I276" s="28"/>
      <c r="J276" s="28"/>
      <c r="K276" s="28"/>
      <c r="L276" s="28"/>
      <c r="M276" s="28"/>
      <c r="N276" s="28"/>
      <c r="O276" s="28"/>
      <c r="P276" s="28"/>
      <c r="Q276" s="28"/>
      <c r="R276" s="28"/>
      <c r="S276" s="28"/>
      <c r="T276" s="28"/>
      <c r="U276" s="28"/>
      <c r="V276" s="28"/>
      <c r="W276" s="28"/>
    </row>
    <row r="277" spans="2:23" x14ac:dyDescent="0.25">
      <c r="B277" s="28"/>
      <c r="C277" s="28"/>
      <c r="D277" s="28"/>
      <c r="E277" s="28"/>
      <c r="F277" s="28"/>
      <c r="G277" s="28"/>
      <c r="H277" s="28"/>
      <c r="I277" s="28"/>
      <c r="J277" s="28"/>
      <c r="K277" s="28"/>
      <c r="L277" s="28"/>
      <c r="M277" s="28"/>
      <c r="N277" s="28"/>
      <c r="O277" s="28"/>
      <c r="P277" s="28"/>
      <c r="Q277" s="28"/>
      <c r="R277" s="28"/>
      <c r="S277" s="28"/>
      <c r="T277" s="28"/>
      <c r="U277" s="28"/>
      <c r="V277" s="28"/>
      <c r="W277" s="28"/>
    </row>
    <row r="278" spans="2:23" x14ac:dyDescent="0.25">
      <c r="B278" s="28"/>
      <c r="C278" s="28"/>
      <c r="D278" s="28"/>
      <c r="E278" s="28"/>
      <c r="F278" s="28"/>
      <c r="G278" s="28"/>
      <c r="H278" s="28"/>
      <c r="I278" s="28"/>
      <c r="J278" s="28"/>
      <c r="K278" s="28"/>
      <c r="L278" s="28"/>
      <c r="M278" s="28"/>
      <c r="N278" s="28"/>
      <c r="O278" s="28"/>
      <c r="P278" s="28"/>
      <c r="Q278" s="28"/>
      <c r="R278" s="28"/>
      <c r="S278" s="28"/>
      <c r="T278" s="28"/>
      <c r="U278" s="28"/>
      <c r="V278" s="28"/>
      <c r="W278" s="28"/>
    </row>
    <row r="279" spans="2:23" x14ac:dyDescent="0.25">
      <c r="B279" s="28"/>
      <c r="C279" s="28"/>
      <c r="D279" s="28"/>
      <c r="E279" s="28"/>
      <c r="F279" s="28"/>
      <c r="G279" s="28"/>
      <c r="H279" s="28"/>
      <c r="I279" s="28"/>
      <c r="J279" s="28"/>
      <c r="K279" s="28"/>
      <c r="L279" s="28"/>
      <c r="M279" s="28"/>
      <c r="N279" s="28"/>
      <c r="O279" s="28"/>
      <c r="P279" s="28"/>
      <c r="Q279" s="28"/>
      <c r="R279" s="28"/>
      <c r="S279" s="28"/>
      <c r="T279" s="28"/>
      <c r="U279" s="28"/>
      <c r="V279" s="28"/>
      <c r="W279" s="28"/>
    </row>
    <row r="280" spans="2:23" x14ac:dyDescent="0.25">
      <c r="B280" s="28"/>
      <c r="C280" s="28"/>
      <c r="D280" s="28"/>
      <c r="E280" s="28"/>
      <c r="F280" s="28"/>
      <c r="G280" s="28"/>
      <c r="H280" s="28"/>
      <c r="I280" s="28"/>
      <c r="J280" s="28"/>
      <c r="K280" s="28"/>
      <c r="L280" s="28"/>
      <c r="M280" s="28"/>
      <c r="N280" s="28"/>
      <c r="O280" s="28"/>
      <c r="P280" s="28"/>
      <c r="Q280" s="28"/>
      <c r="R280" s="28"/>
      <c r="S280" s="28"/>
      <c r="T280" s="28"/>
      <c r="U280" s="28"/>
      <c r="V280" s="28"/>
      <c r="W280" s="28"/>
    </row>
    <row r="281" spans="2:23" x14ac:dyDescent="0.25">
      <c r="B281" s="28"/>
      <c r="C281" s="28"/>
      <c r="D281" s="28"/>
      <c r="E281" s="28"/>
      <c r="F281" s="28"/>
      <c r="G281" s="28"/>
      <c r="H281" s="28"/>
      <c r="I281" s="28"/>
      <c r="J281" s="28"/>
      <c r="K281" s="28"/>
      <c r="L281" s="28"/>
      <c r="M281" s="28"/>
      <c r="N281" s="28"/>
      <c r="O281" s="28"/>
      <c r="P281" s="28"/>
      <c r="Q281" s="28"/>
      <c r="R281" s="28"/>
      <c r="S281" s="28"/>
      <c r="T281" s="28"/>
      <c r="U281" s="28"/>
      <c r="V281" s="28"/>
      <c r="W281" s="28"/>
    </row>
    <row r="282" spans="2:23" x14ac:dyDescent="0.25">
      <c r="B282" s="28"/>
      <c r="C282" s="28"/>
      <c r="D282" s="28"/>
      <c r="E282" s="28"/>
      <c r="F282" s="28"/>
      <c r="G282" s="28"/>
      <c r="H282" s="28"/>
      <c r="I282" s="28"/>
      <c r="J282" s="28"/>
      <c r="K282" s="28"/>
      <c r="L282" s="28"/>
      <c r="M282" s="28"/>
      <c r="N282" s="28"/>
      <c r="O282" s="28"/>
      <c r="P282" s="28"/>
      <c r="Q282" s="28"/>
      <c r="R282" s="28"/>
      <c r="S282" s="28"/>
      <c r="T282" s="28"/>
      <c r="U282" s="28"/>
      <c r="V282" s="28"/>
      <c r="W282" s="28"/>
    </row>
    <row r="283" spans="2:23" x14ac:dyDescent="0.25">
      <c r="B283" s="28"/>
      <c r="C283" s="28"/>
      <c r="D283" s="28"/>
      <c r="E283" s="28"/>
      <c r="F283" s="28"/>
      <c r="G283" s="28"/>
      <c r="H283" s="28"/>
      <c r="I283" s="28"/>
      <c r="J283" s="28"/>
      <c r="K283" s="28"/>
      <c r="L283" s="28"/>
      <c r="M283" s="28"/>
      <c r="N283" s="28"/>
      <c r="O283" s="28"/>
      <c r="P283" s="28"/>
      <c r="Q283" s="28"/>
      <c r="R283" s="28"/>
      <c r="S283" s="28"/>
      <c r="T283" s="28"/>
      <c r="U283" s="28"/>
      <c r="V283" s="28"/>
      <c r="W283" s="28"/>
    </row>
    <row r="284" spans="2:23" x14ac:dyDescent="0.25">
      <c r="B284" s="28"/>
      <c r="C284" s="28"/>
      <c r="D284" s="28"/>
      <c r="E284" s="28"/>
      <c r="F284" s="28"/>
      <c r="G284" s="28"/>
      <c r="H284" s="28"/>
      <c r="I284" s="28"/>
      <c r="J284" s="28"/>
      <c r="K284" s="28"/>
      <c r="L284" s="28"/>
      <c r="M284" s="28"/>
      <c r="N284" s="28"/>
      <c r="O284" s="28"/>
      <c r="P284" s="28"/>
      <c r="Q284" s="28"/>
      <c r="R284" s="28"/>
      <c r="S284" s="28"/>
      <c r="T284" s="28"/>
      <c r="U284" s="28"/>
      <c r="V284" s="28"/>
      <c r="W284" s="28"/>
    </row>
    <row r="285" spans="2:23" x14ac:dyDescent="0.25">
      <c r="B285" s="28"/>
      <c r="C285" s="28"/>
      <c r="D285" s="28"/>
      <c r="E285" s="28"/>
      <c r="F285" s="28"/>
      <c r="G285" s="28"/>
      <c r="H285" s="28"/>
      <c r="I285" s="28"/>
      <c r="J285" s="28"/>
      <c r="K285" s="28"/>
      <c r="L285" s="28"/>
      <c r="M285" s="28"/>
      <c r="N285" s="28"/>
      <c r="O285" s="28"/>
      <c r="P285" s="28"/>
      <c r="Q285" s="28"/>
      <c r="R285" s="28"/>
      <c r="S285" s="28"/>
      <c r="T285" s="28"/>
      <c r="U285" s="28"/>
      <c r="V285" s="28"/>
      <c r="W285" s="28"/>
    </row>
    <row r="286" spans="2:23" x14ac:dyDescent="0.25">
      <c r="B286" s="28"/>
      <c r="C286" s="28"/>
      <c r="D286" s="28"/>
      <c r="E286" s="28"/>
      <c r="F286" s="28"/>
      <c r="G286" s="28"/>
      <c r="H286" s="28"/>
      <c r="I286" s="28"/>
      <c r="J286" s="28"/>
      <c r="K286" s="28"/>
      <c r="L286" s="28"/>
      <c r="M286" s="28"/>
      <c r="N286" s="28"/>
      <c r="O286" s="28"/>
      <c r="P286" s="28"/>
      <c r="Q286" s="28"/>
      <c r="R286" s="28"/>
      <c r="S286" s="28"/>
      <c r="T286" s="28"/>
      <c r="U286" s="28"/>
      <c r="V286" s="28"/>
      <c r="W286" s="28"/>
    </row>
    <row r="287" spans="2:23" x14ac:dyDescent="0.25">
      <c r="B287" s="28"/>
      <c r="C287" s="28"/>
      <c r="D287" s="28"/>
      <c r="E287" s="28"/>
      <c r="F287" s="28"/>
      <c r="G287" s="28"/>
      <c r="H287" s="28"/>
      <c r="I287" s="28"/>
      <c r="J287" s="28"/>
      <c r="K287" s="28"/>
      <c r="L287" s="28"/>
      <c r="M287" s="28"/>
      <c r="N287" s="28"/>
      <c r="O287" s="28"/>
      <c r="P287" s="28"/>
      <c r="Q287" s="28"/>
      <c r="R287" s="28"/>
      <c r="S287" s="28"/>
      <c r="T287" s="28"/>
      <c r="U287" s="28"/>
      <c r="V287" s="28"/>
      <c r="W287" s="28"/>
    </row>
    <row r="288" spans="2:23" x14ac:dyDescent="0.25">
      <c r="B288" s="28"/>
      <c r="C288" s="28"/>
      <c r="D288" s="28"/>
      <c r="E288" s="28"/>
      <c r="F288" s="28"/>
      <c r="G288" s="28"/>
      <c r="H288" s="28"/>
      <c r="I288" s="28"/>
      <c r="J288" s="28"/>
      <c r="K288" s="28"/>
      <c r="L288" s="28"/>
      <c r="M288" s="28"/>
      <c r="N288" s="28"/>
      <c r="O288" s="28"/>
      <c r="P288" s="28"/>
      <c r="Q288" s="28"/>
      <c r="R288" s="28"/>
      <c r="S288" s="28"/>
      <c r="T288" s="28"/>
      <c r="U288" s="28"/>
      <c r="V288" s="28"/>
      <c r="W288" s="28"/>
    </row>
    <row r="289" spans="2:23" x14ac:dyDescent="0.25">
      <c r="B289" s="28"/>
      <c r="C289" s="28"/>
      <c r="D289" s="28"/>
      <c r="E289" s="28"/>
      <c r="F289" s="28"/>
      <c r="G289" s="28"/>
      <c r="H289" s="28"/>
      <c r="I289" s="28"/>
      <c r="J289" s="28"/>
      <c r="K289" s="28"/>
      <c r="L289" s="28"/>
      <c r="M289" s="28"/>
      <c r="N289" s="28"/>
      <c r="O289" s="28"/>
      <c r="P289" s="28"/>
      <c r="Q289" s="28"/>
      <c r="R289" s="28"/>
      <c r="S289" s="28"/>
      <c r="T289" s="28"/>
      <c r="U289" s="28"/>
      <c r="V289" s="28"/>
      <c r="W289" s="28"/>
    </row>
    <row r="290" spans="2:23" x14ac:dyDescent="0.25">
      <c r="B290" s="28"/>
      <c r="C290" s="28"/>
      <c r="D290" s="28"/>
      <c r="E290" s="28"/>
      <c r="F290" s="28"/>
      <c r="G290" s="28"/>
      <c r="H290" s="28"/>
      <c r="I290" s="28"/>
      <c r="J290" s="28"/>
      <c r="K290" s="28"/>
      <c r="L290" s="28"/>
      <c r="M290" s="28"/>
      <c r="N290" s="28"/>
      <c r="O290" s="28"/>
      <c r="P290" s="28"/>
      <c r="Q290" s="28"/>
      <c r="R290" s="28"/>
      <c r="S290" s="28"/>
      <c r="T290" s="28"/>
      <c r="U290" s="28"/>
      <c r="V290" s="28"/>
      <c r="W290" s="28"/>
    </row>
    <row r="291" spans="2:23" x14ac:dyDescent="0.25">
      <c r="B291" s="28"/>
      <c r="C291" s="28"/>
      <c r="D291" s="28"/>
      <c r="E291" s="28"/>
      <c r="F291" s="28"/>
      <c r="G291" s="28"/>
      <c r="H291" s="28"/>
      <c r="I291" s="28"/>
      <c r="J291" s="28"/>
      <c r="K291" s="28"/>
      <c r="L291" s="28"/>
      <c r="M291" s="28"/>
      <c r="N291" s="28"/>
      <c r="O291" s="28"/>
      <c r="P291" s="28"/>
      <c r="Q291" s="28"/>
      <c r="R291" s="28"/>
      <c r="S291" s="28"/>
      <c r="T291" s="28"/>
      <c r="U291" s="28"/>
      <c r="V291" s="28"/>
      <c r="W291" s="28"/>
    </row>
    <row r="292" spans="2:23" x14ac:dyDescent="0.25">
      <c r="B292" s="28"/>
      <c r="C292" s="28"/>
      <c r="D292" s="28"/>
      <c r="E292" s="28"/>
      <c r="F292" s="28"/>
      <c r="G292" s="28"/>
      <c r="H292" s="28"/>
      <c r="I292" s="28"/>
      <c r="J292" s="28"/>
      <c r="K292" s="28"/>
      <c r="L292" s="28"/>
      <c r="M292" s="28"/>
      <c r="N292" s="28"/>
      <c r="O292" s="28"/>
      <c r="P292" s="28"/>
      <c r="Q292" s="28"/>
      <c r="R292" s="28"/>
      <c r="S292" s="28"/>
      <c r="T292" s="28"/>
      <c r="U292" s="28"/>
      <c r="V292" s="28"/>
      <c r="W292" s="28"/>
    </row>
    <row r="293" spans="2:23" x14ac:dyDescent="0.25">
      <c r="B293" s="28"/>
      <c r="C293" s="28"/>
      <c r="D293" s="28"/>
      <c r="E293" s="28"/>
      <c r="F293" s="28"/>
      <c r="G293" s="28"/>
      <c r="H293" s="28"/>
      <c r="I293" s="28"/>
      <c r="J293" s="28"/>
      <c r="K293" s="28"/>
      <c r="L293" s="28"/>
      <c r="M293" s="28"/>
      <c r="N293" s="28"/>
      <c r="O293" s="28"/>
      <c r="P293" s="28"/>
      <c r="Q293" s="28"/>
      <c r="R293" s="28"/>
      <c r="S293" s="28"/>
      <c r="T293" s="28"/>
      <c r="U293" s="28"/>
      <c r="V293" s="28"/>
      <c r="W293" s="28"/>
    </row>
    <row r="294" spans="2:23" x14ac:dyDescent="0.25">
      <c r="B294" s="28"/>
      <c r="C294" s="28"/>
      <c r="D294" s="28"/>
      <c r="E294" s="28"/>
      <c r="F294" s="28"/>
      <c r="G294" s="28"/>
      <c r="H294" s="28"/>
      <c r="I294" s="28"/>
      <c r="J294" s="28"/>
      <c r="K294" s="28"/>
      <c r="L294" s="28"/>
      <c r="M294" s="28"/>
      <c r="N294" s="28"/>
      <c r="O294" s="28"/>
      <c r="P294" s="28"/>
      <c r="Q294" s="28"/>
      <c r="R294" s="28"/>
      <c r="S294" s="28"/>
      <c r="T294" s="28"/>
      <c r="U294" s="28"/>
      <c r="V294" s="28"/>
      <c r="W294" s="28"/>
    </row>
    <row r="295" spans="2:23" x14ac:dyDescent="0.25">
      <c r="B295" s="28"/>
      <c r="C295" s="28"/>
      <c r="D295" s="28"/>
      <c r="E295" s="28"/>
      <c r="F295" s="28"/>
      <c r="G295" s="28"/>
      <c r="H295" s="28"/>
      <c r="I295" s="28"/>
      <c r="J295" s="28"/>
      <c r="K295" s="28"/>
      <c r="L295" s="28"/>
      <c r="M295" s="28"/>
      <c r="N295" s="28"/>
      <c r="O295" s="28"/>
      <c r="P295" s="28"/>
      <c r="Q295" s="28"/>
      <c r="R295" s="28"/>
      <c r="S295" s="28"/>
      <c r="T295" s="28"/>
      <c r="U295" s="28"/>
      <c r="V295" s="28"/>
      <c r="W295" s="28"/>
    </row>
    <row r="296" spans="2:23" x14ac:dyDescent="0.25">
      <c r="B296" s="28"/>
      <c r="C296" s="28"/>
      <c r="D296" s="28"/>
      <c r="E296" s="28"/>
      <c r="F296" s="28"/>
      <c r="G296" s="28"/>
      <c r="H296" s="28"/>
      <c r="I296" s="28"/>
      <c r="J296" s="28"/>
      <c r="K296" s="28"/>
      <c r="L296" s="28"/>
      <c r="M296" s="28"/>
      <c r="N296" s="28"/>
      <c r="O296" s="28"/>
      <c r="P296" s="28"/>
      <c r="Q296" s="28"/>
      <c r="R296" s="28"/>
      <c r="S296" s="28"/>
      <c r="T296" s="28"/>
      <c r="U296" s="28"/>
      <c r="V296" s="28"/>
      <c r="W296" s="28"/>
    </row>
    <row r="297" spans="2:23" x14ac:dyDescent="0.25">
      <c r="B297" s="28"/>
      <c r="C297" s="28"/>
      <c r="D297" s="28"/>
      <c r="E297" s="28"/>
      <c r="F297" s="28"/>
      <c r="G297" s="28"/>
      <c r="H297" s="28"/>
      <c r="I297" s="28"/>
      <c r="J297" s="28"/>
      <c r="K297" s="28"/>
      <c r="L297" s="28"/>
      <c r="M297" s="28"/>
      <c r="N297" s="28"/>
      <c r="O297" s="28"/>
      <c r="P297" s="28"/>
      <c r="Q297" s="28"/>
      <c r="R297" s="28"/>
      <c r="S297" s="28"/>
      <c r="T297" s="28"/>
      <c r="U297" s="28"/>
      <c r="V297" s="28"/>
      <c r="W297" s="28"/>
    </row>
    <row r="298" spans="2:23" x14ac:dyDescent="0.25">
      <c r="B298" s="28"/>
      <c r="C298" s="28"/>
      <c r="D298" s="28"/>
      <c r="E298" s="28"/>
      <c r="F298" s="28"/>
      <c r="G298" s="28"/>
      <c r="H298" s="28"/>
      <c r="I298" s="28"/>
      <c r="J298" s="28"/>
      <c r="K298" s="28"/>
      <c r="L298" s="28"/>
      <c r="M298" s="28"/>
      <c r="N298" s="28"/>
      <c r="O298" s="28"/>
      <c r="P298" s="28"/>
      <c r="Q298" s="28"/>
      <c r="R298" s="28"/>
      <c r="S298" s="28"/>
      <c r="T298" s="28"/>
      <c r="U298" s="28"/>
      <c r="V298" s="28"/>
      <c r="W298" s="28"/>
    </row>
    <row r="299" spans="2:23" x14ac:dyDescent="0.25">
      <c r="B299" s="28"/>
      <c r="C299" s="28"/>
      <c r="D299" s="28"/>
      <c r="E299" s="28"/>
      <c r="F299" s="28"/>
      <c r="G299" s="28"/>
      <c r="H299" s="28"/>
      <c r="I299" s="28"/>
      <c r="J299" s="28"/>
      <c r="K299" s="28"/>
      <c r="L299" s="28"/>
      <c r="M299" s="28"/>
      <c r="N299" s="28"/>
      <c r="O299" s="28"/>
      <c r="P299" s="28"/>
      <c r="Q299" s="28"/>
      <c r="R299" s="28"/>
      <c r="S299" s="28"/>
      <c r="T299" s="28"/>
      <c r="U299" s="28"/>
      <c r="V299" s="28"/>
      <c r="W299" s="28"/>
    </row>
    <row r="300" spans="2:23" x14ac:dyDescent="0.25">
      <c r="B300" s="28"/>
      <c r="C300" s="28"/>
      <c r="D300" s="28"/>
      <c r="E300" s="28"/>
      <c r="F300" s="28"/>
      <c r="G300" s="28"/>
      <c r="H300" s="28"/>
      <c r="I300" s="28"/>
      <c r="J300" s="28"/>
      <c r="K300" s="28"/>
      <c r="L300" s="28"/>
      <c r="M300" s="28"/>
      <c r="N300" s="28"/>
      <c r="O300" s="28"/>
      <c r="P300" s="28"/>
      <c r="Q300" s="28"/>
      <c r="R300" s="28"/>
      <c r="S300" s="28"/>
      <c r="T300" s="28"/>
      <c r="U300" s="28"/>
      <c r="V300" s="28"/>
      <c r="W300" s="28"/>
    </row>
  </sheetData>
  <mergeCells count="26">
    <mergeCell ref="D16:E16"/>
    <mergeCell ref="B10:C16"/>
    <mergeCell ref="F16:G17"/>
    <mergeCell ref="D10:E10"/>
    <mergeCell ref="F10:G10"/>
    <mergeCell ref="D12:E12"/>
    <mergeCell ref="D14:E14"/>
    <mergeCell ref="F12:G12"/>
    <mergeCell ref="F14:G14"/>
    <mergeCell ref="M9:W10"/>
    <mergeCell ref="M11:W11"/>
    <mergeCell ref="B2:D7"/>
    <mergeCell ref="E2:L3"/>
    <mergeCell ref="M2:N7"/>
    <mergeCell ref="E4:L7"/>
    <mergeCell ref="K19:K20"/>
    <mergeCell ref="L19:L20"/>
    <mergeCell ref="B19:B20"/>
    <mergeCell ref="C19:C20"/>
    <mergeCell ref="D19:D20"/>
    <mergeCell ref="E19:E20"/>
    <mergeCell ref="F19:F20"/>
    <mergeCell ref="G19:G20"/>
    <mergeCell ref="H19:H20"/>
    <mergeCell ref="I19:I20"/>
    <mergeCell ref="J19:J20"/>
  </mergeCells>
  <conditionalFormatting sqref="N21">
    <cfRule type="containsText" dxfId="16212" priority="16758" operator="containsText" text="No se pudo ejecutar">
      <formula>NOT(ISERROR(SEARCH("No se pudo ejecutar",N21)))</formula>
    </cfRule>
    <cfRule type="containsText" dxfId="16211" priority="16759" operator="containsText" text="Pendiente">
      <formula>NOT(ISERROR(SEARCH("Pendiente",N21)))</formula>
    </cfRule>
    <cfRule type="containsText" dxfId="16210" priority="16760" operator="containsText" text="No Aplica">
      <formula>NOT(ISERROR(SEARCH("No Aplica",N21)))</formula>
    </cfRule>
    <cfRule type="containsText" dxfId="16209" priority="16761" operator="containsText" text="Fallido">
      <formula>NOT(ISERROR(SEARCH("Fallido",N21)))</formula>
    </cfRule>
    <cfRule type="containsText" dxfId="16208" priority="16762" operator="containsText" text="Éxitoso">
      <formula>NOT(ISERROR(SEARCH("Éxitoso",N21)))</formula>
    </cfRule>
  </conditionalFormatting>
  <conditionalFormatting sqref="O21">
    <cfRule type="containsText" dxfId="16207" priority="16753" operator="containsText" text="No se pudo ejecutar">
      <formula>NOT(ISERROR(SEARCH("No se pudo ejecutar",O21)))</formula>
    </cfRule>
    <cfRule type="containsText" dxfId="16206" priority="16754" operator="containsText" text="Pendiente">
      <formula>NOT(ISERROR(SEARCH("Pendiente",O21)))</formula>
    </cfRule>
    <cfRule type="containsText" dxfId="16205" priority="16755" operator="containsText" text="No Aplica">
      <formula>NOT(ISERROR(SEARCH("No Aplica",O21)))</formula>
    </cfRule>
    <cfRule type="containsText" dxfId="16204" priority="16756" operator="containsText" text="Fallido">
      <formula>NOT(ISERROR(SEARCH("Fallido",O21)))</formula>
    </cfRule>
    <cfRule type="containsText" dxfId="16203" priority="16757" operator="containsText" text="Éxitoso">
      <formula>NOT(ISERROR(SEARCH("Éxitoso",O21)))</formula>
    </cfRule>
  </conditionalFormatting>
  <conditionalFormatting sqref="P21">
    <cfRule type="containsText" dxfId="16202" priority="16748" operator="containsText" text="No se pudo ejecutar">
      <formula>NOT(ISERROR(SEARCH("No se pudo ejecutar",P21)))</formula>
    </cfRule>
    <cfRule type="containsText" dxfId="16201" priority="16749" operator="containsText" text="Pendiente">
      <formula>NOT(ISERROR(SEARCH("Pendiente",P21)))</formula>
    </cfRule>
    <cfRule type="containsText" dxfId="16200" priority="16750" operator="containsText" text="No Aplica">
      <formula>NOT(ISERROR(SEARCH("No Aplica",P21)))</formula>
    </cfRule>
    <cfRule type="containsText" dxfId="16199" priority="16751" operator="containsText" text="Fallido">
      <formula>NOT(ISERROR(SEARCH("Fallido",P21)))</formula>
    </cfRule>
    <cfRule type="containsText" dxfId="16198" priority="16752" operator="containsText" text="Éxitoso">
      <formula>NOT(ISERROR(SEARCH("Éxitoso",P21)))</formula>
    </cfRule>
  </conditionalFormatting>
  <conditionalFormatting sqref="Q21">
    <cfRule type="containsText" dxfId="16197" priority="16743" operator="containsText" text="No se pudo ejecutar">
      <formula>NOT(ISERROR(SEARCH("No se pudo ejecutar",Q21)))</formula>
    </cfRule>
    <cfRule type="containsText" dxfId="16196" priority="16744" operator="containsText" text="Pendiente">
      <formula>NOT(ISERROR(SEARCH("Pendiente",Q21)))</formula>
    </cfRule>
    <cfRule type="containsText" dxfId="16195" priority="16745" operator="containsText" text="No Aplica">
      <formula>NOT(ISERROR(SEARCH("No Aplica",Q21)))</formula>
    </cfRule>
    <cfRule type="containsText" dxfId="16194" priority="16746" operator="containsText" text="Fallido">
      <formula>NOT(ISERROR(SEARCH("Fallido",Q21)))</formula>
    </cfRule>
    <cfRule type="containsText" dxfId="16193" priority="16747" operator="containsText" text="Éxitoso">
      <formula>NOT(ISERROR(SEARCH("Éxitoso",Q21)))</formula>
    </cfRule>
  </conditionalFormatting>
  <conditionalFormatting sqref="R21">
    <cfRule type="containsText" dxfId="16192" priority="16738" operator="containsText" text="No se pudo ejecutar">
      <formula>NOT(ISERROR(SEARCH("No se pudo ejecutar",R21)))</formula>
    </cfRule>
    <cfRule type="containsText" dxfId="16191" priority="16739" operator="containsText" text="Pendiente">
      <formula>NOT(ISERROR(SEARCH("Pendiente",R21)))</formula>
    </cfRule>
    <cfRule type="containsText" dxfId="16190" priority="16740" operator="containsText" text="No Aplica">
      <formula>NOT(ISERROR(SEARCH("No Aplica",R21)))</formula>
    </cfRule>
    <cfRule type="containsText" dxfId="16189" priority="16741" operator="containsText" text="Fallido">
      <formula>NOT(ISERROR(SEARCH("Fallido",R21)))</formula>
    </cfRule>
    <cfRule type="containsText" dxfId="16188" priority="16742" operator="containsText" text="Éxitoso">
      <formula>NOT(ISERROR(SEARCH("Éxitoso",R21)))</formula>
    </cfRule>
  </conditionalFormatting>
  <conditionalFormatting sqref="S21">
    <cfRule type="containsText" dxfId="16187" priority="16733" operator="containsText" text="No se pudo ejecutar">
      <formula>NOT(ISERROR(SEARCH("No se pudo ejecutar",S21)))</formula>
    </cfRule>
    <cfRule type="containsText" dxfId="16186" priority="16734" operator="containsText" text="Pendiente">
      <formula>NOT(ISERROR(SEARCH("Pendiente",S21)))</formula>
    </cfRule>
    <cfRule type="containsText" dxfId="16185" priority="16735" operator="containsText" text="No Aplica">
      <formula>NOT(ISERROR(SEARCH("No Aplica",S21)))</formula>
    </cfRule>
    <cfRule type="containsText" dxfId="16184" priority="16736" operator="containsText" text="Fallido">
      <formula>NOT(ISERROR(SEARCH("Fallido",S21)))</formula>
    </cfRule>
    <cfRule type="containsText" dxfId="16183" priority="16737" operator="containsText" text="Éxitoso">
      <formula>NOT(ISERROR(SEARCH("Éxitoso",S21)))</formula>
    </cfRule>
  </conditionalFormatting>
  <conditionalFormatting sqref="T21">
    <cfRule type="containsText" dxfId="16182" priority="16728" operator="containsText" text="No se pudo ejecutar">
      <formula>NOT(ISERROR(SEARCH("No se pudo ejecutar",T21)))</formula>
    </cfRule>
    <cfRule type="containsText" dxfId="16181" priority="16729" operator="containsText" text="Pendiente">
      <formula>NOT(ISERROR(SEARCH("Pendiente",T21)))</formula>
    </cfRule>
    <cfRule type="containsText" dxfId="16180" priority="16730" operator="containsText" text="No Aplica">
      <formula>NOT(ISERROR(SEARCH("No Aplica",T21)))</formula>
    </cfRule>
    <cfRule type="containsText" dxfId="16179" priority="16731" operator="containsText" text="Fallido">
      <formula>NOT(ISERROR(SEARCH("Fallido",T21)))</formula>
    </cfRule>
    <cfRule type="containsText" dxfId="16178" priority="16732" operator="containsText" text="Éxitoso">
      <formula>NOT(ISERROR(SEARCH("Éxitoso",T21)))</formula>
    </cfRule>
  </conditionalFormatting>
  <conditionalFormatting sqref="U21">
    <cfRule type="containsText" dxfId="16177" priority="16723" operator="containsText" text="No se pudo ejecutar">
      <formula>NOT(ISERROR(SEARCH("No se pudo ejecutar",U21)))</formula>
    </cfRule>
    <cfRule type="containsText" dxfId="16176" priority="16724" operator="containsText" text="Pendiente">
      <formula>NOT(ISERROR(SEARCH("Pendiente",U21)))</formula>
    </cfRule>
    <cfRule type="containsText" dxfId="16175" priority="16725" operator="containsText" text="No Aplica">
      <formula>NOT(ISERROR(SEARCH("No Aplica",U21)))</formula>
    </cfRule>
    <cfRule type="containsText" dxfId="16174" priority="16726" operator="containsText" text="Fallido">
      <formula>NOT(ISERROR(SEARCH("Fallido",U21)))</formula>
    </cfRule>
    <cfRule type="containsText" dxfId="16173" priority="16727" operator="containsText" text="Éxitoso">
      <formula>NOT(ISERROR(SEARCH("Éxitoso",U21)))</formula>
    </cfRule>
  </conditionalFormatting>
  <conditionalFormatting sqref="V21">
    <cfRule type="containsText" dxfId="16172" priority="16718" operator="containsText" text="No se pudo ejecutar">
      <formula>NOT(ISERROR(SEARCH("No se pudo ejecutar",V21)))</formula>
    </cfRule>
    <cfRule type="containsText" dxfId="16171" priority="16719" operator="containsText" text="Pendiente">
      <formula>NOT(ISERROR(SEARCH("Pendiente",V21)))</formula>
    </cfRule>
    <cfRule type="containsText" dxfId="16170" priority="16720" operator="containsText" text="No Aplica">
      <formula>NOT(ISERROR(SEARCH("No Aplica",V21)))</formula>
    </cfRule>
    <cfRule type="containsText" dxfId="16169" priority="16721" operator="containsText" text="Fallido">
      <formula>NOT(ISERROR(SEARCH("Fallido",V21)))</formula>
    </cfRule>
    <cfRule type="containsText" dxfId="16168" priority="16722" operator="containsText" text="Éxitoso">
      <formula>NOT(ISERROR(SEARCH("Éxitoso",V21)))</formula>
    </cfRule>
  </conditionalFormatting>
  <conditionalFormatting sqref="W21">
    <cfRule type="containsText" dxfId="16167" priority="16713" operator="containsText" text="No se pudo ejecutar">
      <formula>NOT(ISERROR(SEARCH("No se pudo ejecutar",W21)))</formula>
    </cfRule>
    <cfRule type="containsText" dxfId="16166" priority="16714" operator="containsText" text="Pendiente">
      <formula>NOT(ISERROR(SEARCH("Pendiente",W21)))</formula>
    </cfRule>
    <cfRule type="containsText" dxfId="16165" priority="16715" operator="containsText" text="No Aplica">
      <formula>NOT(ISERROR(SEARCH("No Aplica",W21)))</formula>
    </cfRule>
    <cfRule type="containsText" dxfId="16164" priority="16716" operator="containsText" text="Fallido">
      <formula>NOT(ISERROR(SEARCH("Fallido",W21)))</formula>
    </cfRule>
    <cfRule type="containsText" dxfId="16163" priority="16717" operator="containsText" text="Éxitoso">
      <formula>NOT(ISERROR(SEARCH("Éxitoso",W21)))</formula>
    </cfRule>
  </conditionalFormatting>
  <conditionalFormatting sqref="M21">
    <cfRule type="containsText" dxfId="16162" priority="16708" operator="containsText" text="No se pudo ejecutar">
      <formula>NOT(ISERROR(SEARCH("No se pudo ejecutar",M21)))</formula>
    </cfRule>
    <cfRule type="containsText" dxfId="16161" priority="16709" operator="containsText" text="Pendiente">
      <formula>NOT(ISERROR(SEARCH("Pendiente",M21)))</formula>
    </cfRule>
    <cfRule type="containsText" dxfId="16160" priority="16710" operator="containsText" text="No Aplica">
      <formula>NOT(ISERROR(SEARCH("No Aplica",M21)))</formula>
    </cfRule>
    <cfRule type="containsText" dxfId="16159" priority="16711" operator="containsText" text="Fallido">
      <formula>NOT(ISERROR(SEARCH("Fallido",M21)))</formula>
    </cfRule>
    <cfRule type="containsText" dxfId="16158" priority="16712" operator="containsText" text="Éxitoso">
      <formula>NOT(ISERROR(SEARCH("Éxitoso",M21)))</formula>
    </cfRule>
  </conditionalFormatting>
  <conditionalFormatting sqref="G21">
    <cfRule type="containsText" dxfId="16157" priority="16705" operator="containsText" text="Bajo">
      <formula>NOT(ISERROR(SEARCH("Bajo",G21)))</formula>
    </cfRule>
    <cfRule type="containsText" dxfId="16156" priority="16706" operator="containsText" text="Medio">
      <formula>NOT(ISERROR(SEARCH("Medio",G21)))</formula>
    </cfRule>
    <cfRule type="containsText" dxfId="16155" priority="16707" operator="containsText" text="Alto">
      <formula>NOT(ISERROR(SEARCH("Alto",G21)))</formula>
    </cfRule>
  </conditionalFormatting>
  <conditionalFormatting sqref="N22">
    <cfRule type="containsText" dxfId="16154" priority="16700" operator="containsText" text="No se pudo ejecutar">
      <formula>NOT(ISERROR(SEARCH("No se pudo ejecutar",N22)))</formula>
    </cfRule>
    <cfRule type="containsText" dxfId="16153" priority="16701" operator="containsText" text="Pendiente">
      <formula>NOT(ISERROR(SEARCH("Pendiente",N22)))</formula>
    </cfRule>
    <cfRule type="containsText" dxfId="16152" priority="16702" operator="containsText" text="No Aplica">
      <formula>NOT(ISERROR(SEARCH("No Aplica",N22)))</formula>
    </cfRule>
    <cfRule type="containsText" dxfId="16151" priority="16703" operator="containsText" text="Fallido">
      <formula>NOT(ISERROR(SEARCH("Fallido",N22)))</formula>
    </cfRule>
    <cfRule type="containsText" dxfId="16150" priority="16704" operator="containsText" text="Éxitoso">
      <formula>NOT(ISERROR(SEARCH("Éxitoso",N22)))</formula>
    </cfRule>
  </conditionalFormatting>
  <conditionalFormatting sqref="O22">
    <cfRule type="containsText" dxfId="16149" priority="16695" operator="containsText" text="No se pudo ejecutar">
      <formula>NOT(ISERROR(SEARCH("No se pudo ejecutar",O22)))</formula>
    </cfRule>
    <cfRule type="containsText" dxfId="16148" priority="16696" operator="containsText" text="Pendiente">
      <formula>NOT(ISERROR(SEARCH("Pendiente",O22)))</formula>
    </cfRule>
    <cfRule type="containsText" dxfId="16147" priority="16697" operator="containsText" text="No Aplica">
      <formula>NOT(ISERROR(SEARCH("No Aplica",O22)))</formula>
    </cfRule>
    <cfRule type="containsText" dxfId="16146" priority="16698" operator="containsText" text="Fallido">
      <formula>NOT(ISERROR(SEARCH("Fallido",O22)))</formula>
    </cfRule>
    <cfRule type="containsText" dxfId="16145" priority="16699" operator="containsText" text="Éxitoso">
      <formula>NOT(ISERROR(SEARCH("Éxitoso",O22)))</formula>
    </cfRule>
  </conditionalFormatting>
  <conditionalFormatting sqref="P22">
    <cfRule type="containsText" dxfId="16144" priority="16690" operator="containsText" text="No se pudo ejecutar">
      <formula>NOT(ISERROR(SEARCH("No se pudo ejecutar",P22)))</formula>
    </cfRule>
    <cfRule type="containsText" dxfId="16143" priority="16691" operator="containsText" text="Pendiente">
      <formula>NOT(ISERROR(SEARCH("Pendiente",P22)))</formula>
    </cfRule>
    <cfRule type="containsText" dxfId="16142" priority="16692" operator="containsText" text="No Aplica">
      <formula>NOT(ISERROR(SEARCH("No Aplica",P22)))</formula>
    </cfRule>
    <cfRule type="containsText" dxfId="16141" priority="16693" operator="containsText" text="Fallido">
      <formula>NOT(ISERROR(SEARCH("Fallido",P22)))</formula>
    </cfRule>
    <cfRule type="containsText" dxfId="16140" priority="16694" operator="containsText" text="Éxitoso">
      <formula>NOT(ISERROR(SEARCH("Éxitoso",P22)))</formula>
    </cfRule>
  </conditionalFormatting>
  <conditionalFormatting sqref="Q22">
    <cfRule type="containsText" dxfId="16139" priority="16685" operator="containsText" text="No se pudo ejecutar">
      <formula>NOT(ISERROR(SEARCH("No se pudo ejecutar",Q22)))</formula>
    </cfRule>
    <cfRule type="containsText" dxfId="16138" priority="16686" operator="containsText" text="Pendiente">
      <formula>NOT(ISERROR(SEARCH("Pendiente",Q22)))</formula>
    </cfRule>
    <cfRule type="containsText" dxfId="16137" priority="16687" operator="containsText" text="No Aplica">
      <formula>NOT(ISERROR(SEARCH("No Aplica",Q22)))</formula>
    </cfRule>
    <cfRule type="containsText" dxfId="16136" priority="16688" operator="containsText" text="Fallido">
      <formula>NOT(ISERROR(SEARCH("Fallido",Q22)))</formula>
    </cfRule>
    <cfRule type="containsText" dxfId="16135" priority="16689" operator="containsText" text="Éxitoso">
      <formula>NOT(ISERROR(SEARCH("Éxitoso",Q22)))</formula>
    </cfRule>
  </conditionalFormatting>
  <conditionalFormatting sqref="R22">
    <cfRule type="containsText" dxfId="16134" priority="16680" operator="containsText" text="No se pudo ejecutar">
      <formula>NOT(ISERROR(SEARCH("No se pudo ejecutar",R22)))</formula>
    </cfRule>
    <cfRule type="containsText" dxfId="16133" priority="16681" operator="containsText" text="Pendiente">
      <formula>NOT(ISERROR(SEARCH("Pendiente",R22)))</formula>
    </cfRule>
    <cfRule type="containsText" dxfId="16132" priority="16682" operator="containsText" text="No Aplica">
      <formula>NOT(ISERROR(SEARCH("No Aplica",R22)))</formula>
    </cfRule>
    <cfRule type="containsText" dxfId="16131" priority="16683" operator="containsText" text="Fallido">
      <formula>NOT(ISERROR(SEARCH("Fallido",R22)))</formula>
    </cfRule>
    <cfRule type="containsText" dxfId="16130" priority="16684" operator="containsText" text="Éxitoso">
      <formula>NOT(ISERROR(SEARCH("Éxitoso",R22)))</formula>
    </cfRule>
  </conditionalFormatting>
  <conditionalFormatting sqref="S22">
    <cfRule type="containsText" dxfId="16129" priority="16675" operator="containsText" text="No se pudo ejecutar">
      <formula>NOT(ISERROR(SEARCH("No se pudo ejecutar",S22)))</formula>
    </cfRule>
    <cfRule type="containsText" dxfId="16128" priority="16676" operator="containsText" text="Pendiente">
      <formula>NOT(ISERROR(SEARCH("Pendiente",S22)))</formula>
    </cfRule>
    <cfRule type="containsText" dxfId="16127" priority="16677" operator="containsText" text="No Aplica">
      <formula>NOT(ISERROR(SEARCH("No Aplica",S22)))</formula>
    </cfRule>
    <cfRule type="containsText" dxfId="16126" priority="16678" operator="containsText" text="Fallido">
      <formula>NOT(ISERROR(SEARCH("Fallido",S22)))</formula>
    </cfRule>
    <cfRule type="containsText" dxfId="16125" priority="16679" operator="containsText" text="Éxitoso">
      <formula>NOT(ISERROR(SEARCH("Éxitoso",S22)))</formula>
    </cfRule>
  </conditionalFormatting>
  <conditionalFormatting sqref="T22">
    <cfRule type="containsText" dxfId="16124" priority="16670" operator="containsText" text="No se pudo ejecutar">
      <formula>NOT(ISERROR(SEARCH("No se pudo ejecutar",T22)))</formula>
    </cfRule>
    <cfRule type="containsText" dxfId="16123" priority="16671" operator="containsText" text="Pendiente">
      <formula>NOT(ISERROR(SEARCH("Pendiente",T22)))</formula>
    </cfRule>
    <cfRule type="containsText" dxfId="16122" priority="16672" operator="containsText" text="No Aplica">
      <formula>NOT(ISERROR(SEARCH("No Aplica",T22)))</formula>
    </cfRule>
    <cfRule type="containsText" dxfId="16121" priority="16673" operator="containsText" text="Fallido">
      <formula>NOT(ISERROR(SEARCH("Fallido",T22)))</formula>
    </cfRule>
    <cfRule type="containsText" dxfId="16120" priority="16674" operator="containsText" text="Éxitoso">
      <formula>NOT(ISERROR(SEARCH("Éxitoso",T22)))</formula>
    </cfRule>
  </conditionalFormatting>
  <conditionalFormatting sqref="U22">
    <cfRule type="containsText" dxfId="16119" priority="16665" operator="containsText" text="No se pudo ejecutar">
      <formula>NOT(ISERROR(SEARCH("No se pudo ejecutar",U22)))</formula>
    </cfRule>
    <cfRule type="containsText" dxfId="16118" priority="16666" operator="containsText" text="Pendiente">
      <formula>NOT(ISERROR(SEARCH("Pendiente",U22)))</formula>
    </cfRule>
    <cfRule type="containsText" dxfId="16117" priority="16667" operator="containsText" text="No Aplica">
      <formula>NOT(ISERROR(SEARCH("No Aplica",U22)))</formula>
    </cfRule>
    <cfRule type="containsText" dxfId="16116" priority="16668" operator="containsText" text="Fallido">
      <formula>NOT(ISERROR(SEARCH("Fallido",U22)))</formula>
    </cfRule>
    <cfRule type="containsText" dxfId="16115" priority="16669" operator="containsText" text="Éxitoso">
      <formula>NOT(ISERROR(SEARCH("Éxitoso",U22)))</formula>
    </cfRule>
  </conditionalFormatting>
  <conditionalFormatting sqref="V22">
    <cfRule type="containsText" dxfId="16114" priority="16660" operator="containsText" text="No se pudo ejecutar">
      <formula>NOT(ISERROR(SEARCH("No se pudo ejecutar",V22)))</formula>
    </cfRule>
    <cfRule type="containsText" dxfId="16113" priority="16661" operator="containsText" text="Pendiente">
      <formula>NOT(ISERROR(SEARCH("Pendiente",V22)))</formula>
    </cfRule>
    <cfRule type="containsText" dxfId="16112" priority="16662" operator="containsText" text="No Aplica">
      <formula>NOT(ISERROR(SEARCH("No Aplica",V22)))</formula>
    </cfRule>
    <cfRule type="containsText" dxfId="16111" priority="16663" operator="containsText" text="Fallido">
      <formula>NOT(ISERROR(SEARCH("Fallido",V22)))</formula>
    </cfRule>
    <cfRule type="containsText" dxfId="16110" priority="16664" operator="containsText" text="Éxitoso">
      <formula>NOT(ISERROR(SEARCH("Éxitoso",V22)))</formula>
    </cfRule>
  </conditionalFormatting>
  <conditionalFormatting sqref="W22">
    <cfRule type="containsText" dxfId="16109" priority="16655" operator="containsText" text="No se pudo ejecutar">
      <formula>NOT(ISERROR(SEARCH("No se pudo ejecutar",W22)))</formula>
    </cfRule>
    <cfRule type="containsText" dxfId="16108" priority="16656" operator="containsText" text="Pendiente">
      <formula>NOT(ISERROR(SEARCH("Pendiente",W22)))</formula>
    </cfRule>
    <cfRule type="containsText" dxfId="16107" priority="16657" operator="containsText" text="No Aplica">
      <formula>NOT(ISERROR(SEARCH("No Aplica",W22)))</formula>
    </cfRule>
    <cfRule type="containsText" dxfId="16106" priority="16658" operator="containsText" text="Fallido">
      <formula>NOT(ISERROR(SEARCH("Fallido",W22)))</formula>
    </cfRule>
    <cfRule type="containsText" dxfId="16105" priority="16659" operator="containsText" text="Éxitoso">
      <formula>NOT(ISERROR(SEARCH("Éxitoso",W22)))</formula>
    </cfRule>
  </conditionalFormatting>
  <conditionalFormatting sqref="M22">
    <cfRule type="containsText" dxfId="16104" priority="16650" operator="containsText" text="No se pudo ejecutar">
      <formula>NOT(ISERROR(SEARCH("No se pudo ejecutar",M22)))</formula>
    </cfRule>
    <cfRule type="containsText" dxfId="16103" priority="16651" operator="containsText" text="Pendiente">
      <formula>NOT(ISERROR(SEARCH("Pendiente",M22)))</formula>
    </cfRule>
    <cfRule type="containsText" dxfId="16102" priority="16652" operator="containsText" text="No Aplica">
      <formula>NOT(ISERROR(SEARCH("No Aplica",M22)))</formula>
    </cfRule>
    <cfRule type="containsText" dxfId="16101" priority="16653" operator="containsText" text="Fallido">
      <formula>NOT(ISERROR(SEARCH("Fallido",M22)))</formula>
    </cfRule>
    <cfRule type="containsText" dxfId="16100" priority="16654" operator="containsText" text="Éxitoso">
      <formula>NOT(ISERROR(SEARCH("Éxitoso",M22)))</formula>
    </cfRule>
  </conditionalFormatting>
  <conditionalFormatting sqref="G22">
    <cfRule type="containsText" dxfId="16099" priority="16647" operator="containsText" text="Bajo">
      <formula>NOT(ISERROR(SEARCH("Bajo",G22)))</formula>
    </cfRule>
    <cfRule type="containsText" dxfId="16098" priority="16648" operator="containsText" text="Medio">
      <formula>NOT(ISERROR(SEARCH("Medio",G22)))</formula>
    </cfRule>
    <cfRule type="containsText" dxfId="16097" priority="16649" operator="containsText" text="Alto">
      <formula>NOT(ISERROR(SEARCH("Alto",G22)))</formula>
    </cfRule>
  </conditionalFormatting>
  <conditionalFormatting sqref="N293">
    <cfRule type="containsText" dxfId="16096" priority="460" operator="containsText" text="No se pudo ejecutar">
      <formula>NOT(ISERROR(SEARCH("No se pudo ejecutar",N293)))</formula>
    </cfRule>
    <cfRule type="containsText" dxfId="16095" priority="461" operator="containsText" text="Pendiente">
      <formula>NOT(ISERROR(SEARCH("Pendiente",N293)))</formula>
    </cfRule>
    <cfRule type="containsText" dxfId="16094" priority="462" operator="containsText" text="No Aplica">
      <formula>NOT(ISERROR(SEARCH("No Aplica",N293)))</formula>
    </cfRule>
    <cfRule type="containsText" dxfId="16093" priority="463" operator="containsText" text="Fallido">
      <formula>NOT(ISERROR(SEARCH("Fallido",N293)))</formula>
    </cfRule>
    <cfRule type="containsText" dxfId="16092" priority="464" operator="containsText" text="Éxitoso">
      <formula>NOT(ISERROR(SEARCH("Éxitoso",N293)))</formula>
    </cfRule>
  </conditionalFormatting>
  <conditionalFormatting sqref="O293">
    <cfRule type="containsText" dxfId="16091" priority="455" operator="containsText" text="No se pudo ejecutar">
      <formula>NOT(ISERROR(SEARCH("No se pudo ejecutar",O293)))</formula>
    </cfRule>
    <cfRule type="containsText" dxfId="16090" priority="456" operator="containsText" text="Pendiente">
      <formula>NOT(ISERROR(SEARCH("Pendiente",O293)))</formula>
    </cfRule>
    <cfRule type="containsText" dxfId="16089" priority="457" operator="containsText" text="No Aplica">
      <formula>NOT(ISERROR(SEARCH("No Aplica",O293)))</formula>
    </cfRule>
    <cfRule type="containsText" dxfId="16088" priority="458" operator="containsText" text="Fallido">
      <formula>NOT(ISERROR(SEARCH("Fallido",O293)))</formula>
    </cfRule>
    <cfRule type="containsText" dxfId="16087" priority="459" operator="containsText" text="Éxitoso">
      <formula>NOT(ISERROR(SEARCH("Éxitoso",O293)))</formula>
    </cfRule>
  </conditionalFormatting>
  <conditionalFormatting sqref="P293">
    <cfRule type="containsText" dxfId="16086" priority="450" operator="containsText" text="No se pudo ejecutar">
      <formula>NOT(ISERROR(SEARCH("No se pudo ejecutar",P293)))</formula>
    </cfRule>
    <cfRule type="containsText" dxfId="16085" priority="451" operator="containsText" text="Pendiente">
      <formula>NOT(ISERROR(SEARCH("Pendiente",P293)))</formula>
    </cfRule>
    <cfRule type="containsText" dxfId="16084" priority="452" operator="containsText" text="No Aplica">
      <formula>NOT(ISERROR(SEARCH("No Aplica",P293)))</formula>
    </cfRule>
    <cfRule type="containsText" dxfId="16083" priority="453" operator="containsText" text="Fallido">
      <formula>NOT(ISERROR(SEARCH("Fallido",P293)))</formula>
    </cfRule>
    <cfRule type="containsText" dxfId="16082" priority="454" operator="containsText" text="Éxitoso">
      <formula>NOT(ISERROR(SEARCH("Éxitoso",P293)))</formula>
    </cfRule>
  </conditionalFormatting>
  <conditionalFormatting sqref="Q293">
    <cfRule type="containsText" dxfId="16081" priority="445" operator="containsText" text="No se pudo ejecutar">
      <formula>NOT(ISERROR(SEARCH("No se pudo ejecutar",Q293)))</formula>
    </cfRule>
    <cfRule type="containsText" dxfId="16080" priority="446" operator="containsText" text="Pendiente">
      <formula>NOT(ISERROR(SEARCH("Pendiente",Q293)))</formula>
    </cfRule>
    <cfRule type="containsText" dxfId="16079" priority="447" operator="containsText" text="No Aplica">
      <formula>NOT(ISERROR(SEARCH("No Aplica",Q293)))</formula>
    </cfRule>
    <cfRule type="containsText" dxfId="16078" priority="448" operator="containsText" text="Fallido">
      <formula>NOT(ISERROR(SEARCH("Fallido",Q293)))</formula>
    </cfRule>
    <cfRule type="containsText" dxfId="16077" priority="449" operator="containsText" text="Éxitoso">
      <formula>NOT(ISERROR(SEARCH("Éxitoso",Q293)))</formula>
    </cfRule>
  </conditionalFormatting>
  <conditionalFormatting sqref="R293">
    <cfRule type="containsText" dxfId="16076" priority="440" operator="containsText" text="No se pudo ejecutar">
      <formula>NOT(ISERROR(SEARCH("No se pudo ejecutar",R293)))</formula>
    </cfRule>
    <cfRule type="containsText" dxfId="16075" priority="441" operator="containsText" text="Pendiente">
      <formula>NOT(ISERROR(SEARCH("Pendiente",R293)))</formula>
    </cfRule>
    <cfRule type="containsText" dxfId="16074" priority="442" operator="containsText" text="No Aplica">
      <formula>NOT(ISERROR(SEARCH("No Aplica",R293)))</formula>
    </cfRule>
    <cfRule type="containsText" dxfId="16073" priority="443" operator="containsText" text="Fallido">
      <formula>NOT(ISERROR(SEARCH("Fallido",R293)))</formula>
    </cfRule>
    <cfRule type="containsText" dxfId="16072" priority="444" operator="containsText" text="Éxitoso">
      <formula>NOT(ISERROR(SEARCH("Éxitoso",R293)))</formula>
    </cfRule>
  </conditionalFormatting>
  <conditionalFormatting sqref="S293">
    <cfRule type="containsText" dxfId="16071" priority="435" operator="containsText" text="No se pudo ejecutar">
      <formula>NOT(ISERROR(SEARCH("No se pudo ejecutar",S293)))</formula>
    </cfRule>
    <cfRule type="containsText" dxfId="16070" priority="436" operator="containsText" text="Pendiente">
      <formula>NOT(ISERROR(SEARCH("Pendiente",S293)))</formula>
    </cfRule>
    <cfRule type="containsText" dxfId="16069" priority="437" operator="containsText" text="No Aplica">
      <formula>NOT(ISERROR(SEARCH("No Aplica",S293)))</formula>
    </cfRule>
    <cfRule type="containsText" dxfId="16068" priority="438" operator="containsText" text="Fallido">
      <formula>NOT(ISERROR(SEARCH("Fallido",S293)))</formula>
    </cfRule>
    <cfRule type="containsText" dxfId="16067" priority="439" operator="containsText" text="Éxitoso">
      <formula>NOT(ISERROR(SEARCH("Éxitoso",S293)))</formula>
    </cfRule>
  </conditionalFormatting>
  <conditionalFormatting sqref="T293">
    <cfRule type="containsText" dxfId="16066" priority="430" operator="containsText" text="No se pudo ejecutar">
      <formula>NOT(ISERROR(SEARCH("No se pudo ejecutar",T293)))</formula>
    </cfRule>
    <cfRule type="containsText" dxfId="16065" priority="431" operator="containsText" text="Pendiente">
      <formula>NOT(ISERROR(SEARCH("Pendiente",T293)))</formula>
    </cfRule>
    <cfRule type="containsText" dxfId="16064" priority="432" operator="containsText" text="No Aplica">
      <formula>NOT(ISERROR(SEARCH("No Aplica",T293)))</formula>
    </cfRule>
    <cfRule type="containsText" dxfId="16063" priority="433" operator="containsText" text="Fallido">
      <formula>NOT(ISERROR(SEARCH("Fallido",T293)))</formula>
    </cfRule>
    <cfRule type="containsText" dxfId="16062" priority="434" operator="containsText" text="Éxitoso">
      <formula>NOT(ISERROR(SEARCH("Éxitoso",T293)))</formula>
    </cfRule>
  </conditionalFormatting>
  <conditionalFormatting sqref="U293">
    <cfRule type="containsText" dxfId="16061" priority="425" operator="containsText" text="No se pudo ejecutar">
      <formula>NOT(ISERROR(SEARCH("No se pudo ejecutar",U293)))</formula>
    </cfRule>
    <cfRule type="containsText" dxfId="16060" priority="426" operator="containsText" text="Pendiente">
      <formula>NOT(ISERROR(SEARCH("Pendiente",U293)))</formula>
    </cfRule>
    <cfRule type="containsText" dxfId="16059" priority="427" operator="containsText" text="No Aplica">
      <formula>NOT(ISERROR(SEARCH("No Aplica",U293)))</formula>
    </cfRule>
    <cfRule type="containsText" dxfId="16058" priority="428" operator="containsText" text="Fallido">
      <formula>NOT(ISERROR(SEARCH("Fallido",U293)))</formula>
    </cfRule>
    <cfRule type="containsText" dxfId="16057" priority="429" operator="containsText" text="Éxitoso">
      <formula>NOT(ISERROR(SEARCH("Éxitoso",U293)))</formula>
    </cfRule>
  </conditionalFormatting>
  <conditionalFormatting sqref="V293">
    <cfRule type="containsText" dxfId="16056" priority="420" operator="containsText" text="No se pudo ejecutar">
      <formula>NOT(ISERROR(SEARCH("No se pudo ejecutar",V293)))</formula>
    </cfRule>
    <cfRule type="containsText" dxfId="16055" priority="421" operator="containsText" text="Pendiente">
      <formula>NOT(ISERROR(SEARCH("Pendiente",V293)))</formula>
    </cfRule>
    <cfRule type="containsText" dxfId="16054" priority="422" operator="containsText" text="No Aplica">
      <formula>NOT(ISERROR(SEARCH("No Aplica",V293)))</formula>
    </cfRule>
    <cfRule type="containsText" dxfId="16053" priority="423" operator="containsText" text="Fallido">
      <formula>NOT(ISERROR(SEARCH("Fallido",V293)))</formula>
    </cfRule>
    <cfRule type="containsText" dxfId="16052" priority="424" operator="containsText" text="Éxitoso">
      <formula>NOT(ISERROR(SEARCH("Éxitoso",V293)))</formula>
    </cfRule>
  </conditionalFormatting>
  <conditionalFormatting sqref="W293">
    <cfRule type="containsText" dxfId="16051" priority="415" operator="containsText" text="No se pudo ejecutar">
      <formula>NOT(ISERROR(SEARCH("No se pudo ejecutar",W293)))</formula>
    </cfRule>
    <cfRule type="containsText" dxfId="16050" priority="416" operator="containsText" text="Pendiente">
      <formula>NOT(ISERROR(SEARCH("Pendiente",W293)))</formula>
    </cfRule>
    <cfRule type="containsText" dxfId="16049" priority="417" operator="containsText" text="No Aplica">
      <formula>NOT(ISERROR(SEARCH("No Aplica",W293)))</formula>
    </cfRule>
    <cfRule type="containsText" dxfId="16048" priority="418" operator="containsText" text="Fallido">
      <formula>NOT(ISERROR(SEARCH("Fallido",W293)))</formula>
    </cfRule>
    <cfRule type="containsText" dxfId="16047" priority="419" operator="containsText" text="Éxitoso">
      <formula>NOT(ISERROR(SEARCH("Éxitoso",W293)))</formula>
    </cfRule>
  </conditionalFormatting>
  <conditionalFormatting sqref="M293">
    <cfRule type="containsText" dxfId="16046" priority="410" operator="containsText" text="No se pudo ejecutar">
      <formula>NOT(ISERROR(SEARCH("No se pudo ejecutar",M293)))</formula>
    </cfRule>
    <cfRule type="containsText" dxfId="16045" priority="411" operator="containsText" text="Pendiente">
      <formula>NOT(ISERROR(SEARCH("Pendiente",M293)))</formula>
    </cfRule>
    <cfRule type="containsText" dxfId="16044" priority="412" operator="containsText" text="No Aplica">
      <formula>NOT(ISERROR(SEARCH("No Aplica",M293)))</formula>
    </cfRule>
    <cfRule type="containsText" dxfId="16043" priority="413" operator="containsText" text="Fallido">
      <formula>NOT(ISERROR(SEARCH("Fallido",M293)))</formula>
    </cfRule>
    <cfRule type="containsText" dxfId="16042" priority="414" operator="containsText" text="Éxitoso">
      <formula>NOT(ISERROR(SEARCH("Éxitoso",M293)))</formula>
    </cfRule>
  </conditionalFormatting>
  <conditionalFormatting sqref="G293">
    <cfRule type="containsText" dxfId="16041" priority="407" operator="containsText" text="Bajo">
      <formula>NOT(ISERROR(SEARCH("Bajo",G293)))</formula>
    </cfRule>
    <cfRule type="containsText" dxfId="16040" priority="408" operator="containsText" text="Medio">
      <formula>NOT(ISERROR(SEARCH("Medio",G293)))</formula>
    </cfRule>
    <cfRule type="containsText" dxfId="16039" priority="409" operator="containsText" text="Alto">
      <formula>NOT(ISERROR(SEARCH("Alto",G293)))</formula>
    </cfRule>
  </conditionalFormatting>
  <conditionalFormatting sqref="N292">
    <cfRule type="containsText" dxfId="16038" priority="518" operator="containsText" text="No se pudo ejecutar">
      <formula>NOT(ISERROR(SEARCH("No se pudo ejecutar",N292)))</formula>
    </cfRule>
    <cfRule type="containsText" dxfId="16037" priority="519" operator="containsText" text="Pendiente">
      <formula>NOT(ISERROR(SEARCH("Pendiente",N292)))</formula>
    </cfRule>
    <cfRule type="containsText" dxfId="16036" priority="520" operator="containsText" text="No Aplica">
      <formula>NOT(ISERROR(SEARCH("No Aplica",N292)))</formula>
    </cfRule>
    <cfRule type="containsText" dxfId="16035" priority="521" operator="containsText" text="Fallido">
      <formula>NOT(ISERROR(SEARCH("Fallido",N292)))</formula>
    </cfRule>
    <cfRule type="containsText" dxfId="16034" priority="522" operator="containsText" text="Éxitoso">
      <formula>NOT(ISERROR(SEARCH("Éxitoso",N292)))</formula>
    </cfRule>
  </conditionalFormatting>
  <conditionalFormatting sqref="O292">
    <cfRule type="containsText" dxfId="16033" priority="513" operator="containsText" text="No se pudo ejecutar">
      <formula>NOT(ISERROR(SEARCH("No se pudo ejecutar",O292)))</formula>
    </cfRule>
    <cfRule type="containsText" dxfId="16032" priority="514" operator="containsText" text="Pendiente">
      <formula>NOT(ISERROR(SEARCH("Pendiente",O292)))</formula>
    </cfRule>
    <cfRule type="containsText" dxfId="16031" priority="515" operator="containsText" text="No Aplica">
      <formula>NOT(ISERROR(SEARCH("No Aplica",O292)))</formula>
    </cfRule>
    <cfRule type="containsText" dxfId="16030" priority="516" operator="containsText" text="Fallido">
      <formula>NOT(ISERROR(SEARCH("Fallido",O292)))</formula>
    </cfRule>
    <cfRule type="containsText" dxfId="16029" priority="517" operator="containsText" text="Éxitoso">
      <formula>NOT(ISERROR(SEARCH("Éxitoso",O292)))</formula>
    </cfRule>
  </conditionalFormatting>
  <conditionalFormatting sqref="P292">
    <cfRule type="containsText" dxfId="16028" priority="508" operator="containsText" text="No se pudo ejecutar">
      <formula>NOT(ISERROR(SEARCH("No se pudo ejecutar",P292)))</formula>
    </cfRule>
    <cfRule type="containsText" dxfId="16027" priority="509" operator="containsText" text="Pendiente">
      <formula>NOT(ISERROR(SEARCH("Pendiente",P292)))</formula>
    </cfRule>
    <cfRule type="containsText" dxfId="16026" priority="510" operator="containsText" text="No Aplica">
      <formula>NOT(ISERROR(SEARCH("No Aplica",P292)))</formula>
    </cfRule>
    <cfRule type="containsText" dxfId="16025" priority="511" operator="containsText" text="Fallido">
      <formula>NOT(ISERROR(SEARCH("Fallido",P292)))</formula>
    </cfRule>
    <cfRule type="containsText" dxfId="16024" priority="512" operator="containsText" text="Éxitoso">
      <formula>NOT(ISERROR(SEARCH("Éxitoso",P292)))</formula>
    </cfRule>
  </conditionalFormatting>
  <conditionalFormatting sqref="Q292">
    <cfRule type="containsText" dxfId="16023" priority="503" operator="containsText" text="No se pudo ejecutar">
      <formula>NOT(ISERROR(SEARCH("No se pudo ejecutar",Q292)))</formula>
    </cfRule>
    <cfRule type="containsText" dxfId="16022" priority="504" operator="containsText" text="Pendiente">
      <formula>NOT(ISERROR(SEARCH("Pendiente",Q292)))</formula>
    </cfRule>
    <cfRule type="containsText" dxfId="16021" priority="505" operator="containsText" text="No Aplica">
      <formula>NOT(ISERROR(SEARCH("No Aplica",Q292)))</formula>
    </cfRule>
    <cfRule type="containsText" dxfId="16020" priority="506" operator="containsText" text="Fallido">
      <formula>NOT(ISERROR(SEARCH("Fallido",Q292)))</formula>
    </cfRule>
    <cfRule type="containsText" dxfId="16019" priority="507" operator="containsText" text="Éxitoso">
      <formula>NOT(ISERROR(SEARCH("Éxitoso",Q292)))</formula>
    </cfRule>
  </conditionalFormatting>
  <conditionalFormatting sqref="R292">
    <cfRule type="containsText" dxfId="16018" priority="498" operator="containsText" text="No se pudo ejecutar">
      <formula>NOT(ISERROR(SEARCH("No se pudo ejecutar",R292)))</formula>
    </cfRule>
    <cfRule type="containsText" dxfId="16017" priority="499" operator="containsText" text="Pendiente">
      <formula>NOT(ISERROR(SEARCH("Pendiente",R292)))</formula>
    </cfRule>
    <cfRule type="containsText" dxfId="16016" priority="500" operator="containsText" text="No Aplica">
      <formula>NOT(ISERROR(SEARCH("No Aplica",R292)))</formula>
    </cfRule>
    <cfRule type="containsText" dxfId="16015" priority="501" operator="containsText" text="Fallido">
      <formula>NOT(ISERROR(SEARCH("Fallido",R292)))</formula>
    </cfRule>
    <cfRule type="containsText" dxfId="16014" priority="502" operator="containsText" text="Éxitoso">
      <formula>NOT(ISERROR(SEARCH("Éxitoso",R292)))</formula>
    </cfRule>
  </conditionalFormatting>
  <conditionalFormatting sqref="S292">
    <cfRule type="containsText" dxfId="16013" priority="493" operator="containsText" text="No se pudo ejecutar">
      <formula>NOT(ISERROR(SEARCH("No se pudo ejecutar",S292)))</formula>
    </cfRule>
    <cfRule type="containsText" dxfId="16012" priority="494" operator="containsText" text="Pendiente">
      <formula>NOT(ISERROR(SEARCH("Pendiente",S292)))</formula>
    </cfRule>
    <cfRule type="containsText" dxfId="16011" priority="495" operator="containsText" text="No Aplica">
      <formula>NOT(ISERROR(SEARCH("No Aplica",S292)))</formula>
    </cfRule>
    <cfRule type="containsText" dxfId="16010" priority="496" operator="containsText" text="Fallido">
      <formula>NOT(ISERROR(SEARCH("Fallido",S292)))</formula>
    </cfRule>
    <cfRule type="containsText" dxfId="16009" priority="497" operator="containsText" text="Éxitoso">
      <formula>NOT(ISERROR(SEARCH("Éxitoso",S292)))</formula>
    </cfRule>
  </conditionalFormatting>
  <conditionalFormatting sqref="T292">
    <cfRule type="containsText" dxfId="16008" priority="488" operator="containsText" text="No se pudo ejecutar">
      <formula>NOT(ISERROR(SEARCH("No se pudo ejecutar",T292)))</formula>
    </cfRule>
    <cfRule type="containsText" dxfId="16007" priority="489" operator="containsText" text="Pendiente">
      <formula>NOT(ISERROR(SEARCH("Pendiente",T292)))</formula>
    </cfRule>
    <cfRule type="containsText" dxfId="16006" priority="490" operator="containsText" text="No Aplica">
      <formula>NOT(ISERROR(SEARCH("No Aplica",T292)))</formula>
    </cfRule>
    <cfRule type="containsText" dxfId="16005" priority="491" operator="containsText" text="Fallido">
      <formula>NOT(ISERROR(SEARCH("Fallido",T292)))</formula>
    </cfRule>
    <cfRule type="containsText" dxfId="16004" priority="492" operator="containsText" text="Éxitoso">
      <formula>NOT(ISERROR(SEARCH("Éxitoso",T292)))</formula>
    </cfRule>
  </conditionalFormatting>
  <conditionalFormatting sqref="U292">
    <cfRule type="containsText" dxfId="16003" priority="483" operator="containsText" text="No se pudo ejecutar">
      <formula>NOT(ISERROR(SEARCH("No se pudo ejecutar",U292)))</formula>
    </cfRule>
    <cfRule type="containsText" dxfId="16002" priority="484" operator="containsText" text="Pendiente">
      <formula>NOT(ISERROR(SEARCH("Pendiente",U292)))</formula>
    </cfRule>
    <cfRule type="containsText" dxfId="16001" priority="485" operator="containsText" text="No Aplica">
      <formula>NOT(ISERROR(SEARCH("No Aplica",U292)))</formula>
    </cfRule>
    <cfRule type="containsText" dxfId="16000" priority="486" operator="containsText" text="Fallido">
      <formula>NOT(ISERROR(SEARCH("Fallido",U292)))</formula>
    </cfRule>
    <cfRule type="containsText" dxfId="15999" priority="487" operator="containsText" text="Éxitoso">
      <formula>NOT(ISERROR(SEARCH("Éxitoso",U292)))</formula>
    </cfRule>
  </conditionalFormatting>
  <conditionalFormatting sqref="V292">
    <cfRule type="containsText" dxfId="15998" priority="478" operator="containsText" text="No se pudo ejecutar">
      <formula>NOT(ISERROR(SEARCH("No se pudo ejecutar",V292)))</formula>
    </cfRule>
    <cfRule type="containsText" dxfId="15997" priority="479" operator="containsText" text="Pendiente">
      <formula>NOT(ISERROR(SEARCH("Pendiente",V292)))</formula>
    </cfRule>
    <cfRule type="containsText" dxfId="15996" priority="480" operator="containsText" text="No Aplica">
      <formula>NOT(ISERROR(SEARCH("No Aplica",V292)))</formula>
    </cfRule>
    <cfRule type="containsText" dxfId="15995" priority="481" operator="containsText" text="Fallido">
      <formula>NOT(ISERROR(SEARCH("Fallido",V292)))</formula>
    </cfRule>
    <cfRule type="containsText" dxfId="15994" priority="482" operator="containsText" text="Éxitoso">
      <formula>NOT(ISERROR(SEARCH("Éxitoso",V292)))</formula>
    </cfRule>
  </conditionalFormatting>
  <conditionalFormatting sqref="W292">
    <cfRule type="containsText" dxfId="15993" priority="473" operator="containsText" text="No se pudo ejecutar">
      <formula>NOT(ISERROR(SEARCH("No se pudo ejecutar",W292)))</formula>
    </cfRule>
    <cfRule type="containsText" dxfId="15992" priority="474" operator="containsText" text="Pendiente">
      <formula>NOT(ISERROR(SEARCH("Pendiente",W292)))</formula>
    </cfRule>
    <cfRule type="containsText" dxfId="15991" priority="475" operator="containsText" text="No Aplica">
      <formula>NOT(ISERROR(SEARCH("No Aplica",W292)))</formula>
    </cfRule>
    <cfRule type="containsText" dxfId="15990" priority="476" operator="containsText" text="Fallido">
      <formula>NOT(ISERROR(SEARCH("Fallido",W292)))</formula>
    </cfRule>
    <cfRule type="containsText" dxfId="15989" priority="477" operator="containsText" text="Éxitoso">
      <formula>NOT(ISERROR(SEARCH("Éxitoso",W292)))</formula>
    </cfRule>
  </conditionalFormatting>
  <conditionalFormatting sqref="M292">
    <cfRule type="containsText" dxfId="15988" priority="468" operator="containsText" text="No se pudo ejecutar">
      <formula>NOT(ISERROR(SEARCH("No se pudo ejecutar",M292)))</formula>
    </cfRule>
    <cfRule type="containsText" dxfId="15987" priority="469" operator="containsText" text="Pendiente">
      <formula>NOT(ISERROR(SEARCH("Pendiente",M292)))</formula>
    </cfRule>
    <cfRule type="containsText" dxfId="15986" priority="470" operator="containsText" text="No Aplica">
      <formula>NOT(ISERROR(SEARCH("No Aplica",M292)))</formula>
    </cfRule>
    <cfRule type="containsText" dxfId="15985" priority="471" operator="containsText" text="Fallido">
      <formula>NOT(ISERROR(SEARCH("Fallido",M292)))</formula>
    </cfRule>
    <cfRule type="containsText" dxfId="15984" priority="472" operator="containsText" text="Éxitoso">
      <formula>NOT(ISERROR(SEARCH("Éxitoso",M292)))</formula>
    </cfRule>
  </conditionalFormatting>
  <conditionalFormatting sqref="G292">
    <cfRule type="containsText" dxfId="15983" priority="465" operator="containsText" text="Bajo">
      <formula>NOT(ISERROR(SEARCH("Bajo",G292)))</formula>
    </cfRule>
    <cfRule type="containsText" dxfId="15982" priority="466" operator="containsText" text="Medio">
      <formula>NOT(ISERROR(SEARCH("Medio",G292)))</formula>
    </cfRule>
    <cfRule type="containsText" dxfId="15981" priority="467" operator="containsText" text="Alto">
      <formula>NOT(ISERROR(SEARCH("Alto",G292)))</formula>
    </cfRule>
  </conditionalFormatting>
  <conditionalFormatting sqref="N294">
    <cfRule type="containsText" dxfId="15980" priority="402" operator="containsText" text="No se pudo ejecutar">
      <formula>NOT(ISERROR(SEARCH("No se pudo ejecutar",N294)))</formula>
    </cfRule>
    <cfRule type="containsText" dxfId="15979" priority="403" operator="containsText" text="Pendiente">
      <formula>NOT(ISERROR(SEARCH("Pendiente",N294)))</formula>
    </cfRule>
    <cfRule type="containsText" dxfId="15978" priority="404" operator="containsText" text="No Aplica">
      <formula>NOT(ISERROR(SEARCH("No Aplica",N294)))</formula>
    </cfRule>
    <cfRule type="containsText" dxfId="15977" priority="405" operator="containsText" text="Fallido">
      <formula>NOT(ISERROR(SEARCH("Fallido",N294)))</formula>
    </cfRule>
    <cfRule type="containsText" dxfId="15976" priority="406" operator="containsText" text="Éxitoso">
      <formula>NOT(ISERROR(SEARCH("Éxitoso",N294)))</formula>
    </cfRule>
  </conditionalFormatting>
  <conditionalFormatting sqref="O294">
    <cfRule type="containsText" dxfId="15975" priority="397" operator="containsText" text="No se pudo ejecutar">
      <formula>NOT(ISERROR(SEARCH("No se pudo ejecutar",O294)))</formula>
    </cfRule>
    <cfRule type="containsText" dxfId="15974" priority="398" operator="containsText" text="Pendiente">
      <formula>NOT(ISERROR(SEARCH("Pendiente",O294)))</formula>
    </cfRule>
    <cfRule type="containsText" dxfId="15973" priority="399" operator="containsText" text="No Aplica">
      <formula>NOT(ISERROR(SEARCH("No Aplica",O294)))</formula>
    </cfRule>
    <cfRule type="containsText" dxfId="15972" priority="400" operator="containsText" text="Fallido">
      <formula>NOT(ISERROR(SEARCH("Fallido",O294)))</formula>
    </cfRule>
    <cfRule type="containsText" dxfId="15971" priority="401" operator="containsText" text="Éxitoso">
      <formula>NOT(ISERROR(SEARCH("Éxitoso",O294)))</formula>
    </cfRule>
  </conditionalFormatting>
  <conditionalFormatting sqref="P294">
    <cfRule type="containsText" dxfId="15970" priority="392" operator="containsText" text="No se pudo ejecutar">
      <formula>NOT(ISERROR(SEARCH("No se pudo ejecutar",P294)))</formula>
    </cfRule>
    <cfRule type="containsText" dxfId="15969" priority="393" operator="containsText" text="Pendiente">
      <formula>NOT(ISERROR(SEARCH("Pendiente",P294)))</formula>
    </cfRule>
    <cfRule type="containsText" dxfId="15968" priority="394" operator="containsText" text="No Aplica">
      <formula>NOT(ISERROR(SEARCH("No Aplica",P294)))</formula>
    </cfRule>
    <cfRule type="containsText" dxfId="15967" priority="395" operator="containsText" text="Fallido">
      <formula>NOT(ISERROR(SEARCH("Fallido",P294)))</formula>
    </cfRule>
    <cfRule type="containsText" dxfId="15966" priority="396" operator="containsText" text="Éxitoso">
      <formula>NOT(ISERROR(SEARCH("Éxitoso",P294)))</formula>
    </cfRule>
  </conditionalFormatting>
  <conditionalFormatting sqref="Q294">
    <cfRule type="containsText" dxfId="15965" priority="387" operator="containsText" text="No se pudo ejecutar">
      <formula>NOT(ISERROR(SEARCH("No se pudo ejecutar",Q294)))</formula>
    </cfRule>
    <cfRule type="containsText" dxfId="15964" priority="388" operator="containsText" text="Pendiente">
      <formula>NOT(ISERROR(SEARCH("Pendiente",Q294)))</formula>
    </cfRule>
    <cfRule type="containsText" dxfId="15963" priority="389" operator="containsText" text="No Aplica">
      <formula>NOT(ISERROR(SEARCH("No Aplica",Q294)))</formula>
    </cfRule>
    <cfRule type="containsText" dxfId="15962" priority="390" operator="containsText" text="Fallido">
      <formula>NOT(ISERROR(SEARCH("Fallido",Q294)))</formula>
    </cfRule>
    <cfRule type="containsText" dxfId="15961" priority="391" operator="containsText" text="Éxitoso">
      <formula>NOT(ISERROR(SEARCH("Éxitoso",Q294)))</formula>
    </cfRule>
  </conditionalFormatting>
  <conditionalFormatting sqref="R294">
    <cfRule type="containsText" dxfId="15960" priority="382" operator="containsText" text="No se pudo ejecutar">
      <formula>NOT(ISERROR(SEARCH("No se pudo ejecutar",R294)))</formula>
    </cfRule>
    <cfRule type="containsText" dxfId="15959" priority="383" operator="containsText" text="Pendiente">
      <formula>NOT(ISERROR(SEARCH("Pendiente",R294)))</formula>
    </cfRule>
    <cfRule type="containsText" dxfId="15958" priority="384" operator="containsText" text="No Aplica">
      <formula>NOT(ISERROR(SEARCH("No Aplica",R294)))</formula>
    </cfRule>
    <cfRule type="containsText" dxfId="15957" priority="385" operator="containsText" text="Fallido">
      <formula>NOT(ISERROR(SEARCH("Fallido",R294)))</formula>
    </cfRule>
    <cfRule type="containsText" dxfId="15956" priority="386" operator="containsText" text="Éxitoso">
      <formula>NOT(ISERROR(SEARCH("Éxitoso",R294)))</formula>
    </cfRule>
  </conditionalFormatting>
  <conditionalFormatting sqref="S294">
    <cfRule type="containsText" dxfId="15955" priority="377" operator="containsText" text="No se pudo ejecutar">
      <formula>NOT(ISERROR(SEARCH("No se pudo ejecutar",S294)))</formula>
    </cfRule>
    <cfRule type="containsText" dxfId="15954" priority="378" operator="containsText" text="Pendiente">
      <formula>NOT(ISERROR(SEARCH("Pendiente",S294)))</formula>
    </cfRule>
    <cfRule type="containsText" dxfId="15953" priority="379" operator="containsText" text="No Aplica">
      <formula>NOT(ISERROR(SEARCH("No Aplica",S294)))</formula>
    </cfRule>
    <cfRule type="containsText" dxfId="15952" priority="380" operator="containsText" text="Fallido">
      <formula>NOT(ISERROR(SEARCH("Fallido",S294)))</formula>
    </cfRule>
    <cfRule type="containsText" dxfId="15951" priority="381" operator="containsText" text="Éxitoso">
      <formula>NOT(ISERROR(SEARCH("Éxitoso",S294)))</formula>
    </cfRule>
  </conditionalFormatting>
  <conditionalFormatting sqref="T294">
    <cfRule type="containsText" dxfId="15950" priority="372" operator="containsText" text="No se pudo ejecutar">
      <formula>NOT(ISERROR(SEARCH("No se pudo ejecutar",T294)))</formula>
    </cfRule>
    <cfRule type="containsText" dxfId="15949" priority="373" operator="containsText" text="Pendiente">
      <formula>NOT(ISERROR(SEARCH("Pendiente",T294)))</formula>
    </cfRule>
    <cfRule type="containsText" dxfId="15948" priority="374" operator="containsText" text="No Aplica">
      <formula>NOT(ISERROR(SEARCH("No Aplica",T294)))</formula>
    </cfRule>
    <cfRule type="containsText" dxfId="15947" priority="375" operator="containsText" text="Fallido">
      <formula>NOT(ISERROR(SEARCH("Fallido",T294)))</formula>
    </cfRule>
    <cfRule type="containsText" dxfId="15946" priority="376" operator="containsText" text="Éxitoso">
      <formula>NOT(ISERROR(SEARCH("Éxitoso",T294)))</formula>
    </cfRule>
  </conditionalFormatting>
  <conditionalFormatting sqref="U294">
    <cfRule type="containsText" dxfId="15945" priority="367" operator="containsText" text="No se pudo ejecutar">
      <formula>NOT(ISERROR(SEARCH("No se pudo ejecutar",U294)))</formula>
    </cfRule>
    <cfRule type="containsText" dxfId="15944" priority="368" operator="containsText" text="Pendiente">
      <formula>NOT(ISERROR(SEARCH("Pendiente",U294)))</formula>
    </cfRule>
    <cfRule type="containsText" dxfId="15943" priority="369" operator="containsText" text="No Aplica">
      <formula>NOT(ISERROR(SEARCH("No Aplica",U294)))</formula>
    </cfRule>
    <cfRule type="containsText" dxfId="15942" priority="370" operator="containsText" text="Fallido">
      <formula>NOT(ISERROR(SEARCH("Fallido",U294)))</formula>
    </cfRule>
    <cfRule type="containsText" dxfId="15941" priority="371" operator="containsText" text="Éxitoso">
      <formula>NOT(ISERROR(SEARCH("Éxitoso",U294)))</formula>
    </cfRule>
  </conditionalFormatting>
  <conditionalFormatting sqref="V294">
    <cfRule type="containsText" dxfId="15940" priority="362" operator="containsText" text="No se pudo ejecutar">
      <formula>NOT(ISERROR(SEARCH("No se pudo ejecutar",V294)))</formula>
    </cfRule>
    <cfRule type="containsText" dxfId="15939" priority="363" operator="containsText" text="Pendiente">
      <formula>NOT(ISERROR(SEARCH("Pendiente",V294)))</formula>
    </cfRule>
    <cfRule type="containsText" dxfId="15938" priority="364" operator="containsText" text="No Aplica">
      <formula>NOT(ISERROR(SEARCH("No Aplica",V294)))</formula>
    </cfRule>
    <cfRule type="containsText" dxfId="15937" priority="365" operator="containsText" text="Fallido">
      <formula>NOT(ISERROR(SEARCH("Fallido",V294)))</formula>
    </cfRule>
    <cfRule type="containsText" dxfId="15936" priority="366" operator="containsText" text="Éxitoso">
      <formula>NOT(ISERROR(SEARCH("Éxitoso",V294)))</formula>
    </cfRule>
  </conditionalFormatting>
  <conditionalFormatting sqref="W294">
    <cfRule type="containsText" dxfId="15935" priority="357" operator="containsText" text="No se pudo ejecutar">
      <formula>NOT(ISERROR(SEARCH("No se pudo ejecutar",W294)))</formula>
    </cfRule>
    <cfRule type="containsText" dxfId="15934" priority="358" operator="containsText" text="Pendiente">
      <formula>NOT(ISERROR(SEARCH("Pendiente",W294)))</formula>
    </cfRule>
    <cfRule type="containsText" dxfId="15933" priority="359" operator="containsText" text="No Aplica">
      <formula>NOT(ISERROR(SEARCH("No Aplica",W294)))</formula>
    </cfRule>
    <cfRule type="containsText" dxfId="15932" priority="360" operator="containsText" text="Fallido">
      <formula>NOT(ISERROR(SEARCH("Fallido",W294)))</formula>
    </cfRule>
    <cfRule type="containsText" dxfId="15931" priority="361" operator="containsText" text="Éxitoso">
      <formula>NOT(ISERROR(SEARCH("Éxitoso",W294)))</formula>
    </cfRule>
  </conditionalFormatting>
  <conditionalFormatting sqref="M294">
    <cfRule type="containsText" dxfId="15930" priority="352" operator="containsText" text="No se pudo ejecutar">
      <formula>NOT(ISERROR(SEARCH("No se pudo ejecutar",M294)))</formula>
    </cfRule>
    <cfRule type="containsText" dxfId="15929" priority="353" operator="containsText" text="Pendiente">
      <formula>NOT(ISERROR(SEARCH("Pendiente",M294)))</formula>
    </cfRule>
    <cfRule type="containsText" dxfId="15928" priority="354" operator="containsText" text="No Aplica">
      <formula>NOT(ISERROR(SEARCH("No Aplica",M294)))</formula>
    </cfRule>
    <cfRule type="containsText" dxfId="15927" priority="355" operator="containsText" text="Fallido">
      <formula>NOT(ISERROR(SEARCH("Fallido",M294)))</formula>
    </cfRule>
    <cfRule type="containsText" dxfId="15926" priority="356" operator="containsText" text="Éxitoso">
      <formula>NOT(ISERROR(SEARCH("Éxitoso",M294)))</formula>
    </cfRule>
  </conditionalFormatting>
  <conditionalFormatting sqref="G294">
    <cfRule type="containsText" dxfId="15925" priority="349" operator="containsText" text="Bajo">
      <formula>NOT(ISERROR(SEARCH("Bajo",G294)))</formula>
    </cfRule>
    <cfRule type="containsText" dxfId="15924" priority="350" operator="containsText" text="Medio">
      <formula>NOT(ISERROR(SEARCH("Medio",G294)))</formula>
    </cfRule>
    <cfRule type="containsText" dxfId="15923" priority="351" operator="containsText" text="Alto">
      <formula>NOT(ISERROR(SEARCH("Alto",G294)))</formula>
    </cfRule>
  </conditionalFormatting>
  <conditionalFormatting sqref="N295">
    <cfRule type="containsText" dxfId="15922" priority="344" operator="containsText" text="No se pudo ejecutar">
      <formula>NOT(ISERROR(SEARCH("No se pudo ejecutar",N295)))</formula>
    </cfRule>
    <cfRule type="containsText" dxfId="15921" priority="345" operator="containsText" text="Pendiente">
      <formula>NOT(ISERROR(SEARCH("Pendiente",N295)))</formula>
    </cfRule>
    <cfRule type="containsText" dxfId="15920" priority="346" operator="containsText" text="No Aplica">
      <formula>NOT(ISERROR(SEARCH("No Aplica",N295)))</formula>
    </cfRule>
    <cfRule type="containsText" dxfId="15919" priority="347" operator="containsText" text="Fallido">
      <formula>NOT(ISERROR(SEARCH("Fallido",N295)))</formula>
    </cfRule>
    <cfRule type="containsText" dxfId="15918" priority="348" operator="containsText" text="Éxitoso">
      <formula>NOT(ISERROR(SEARCH("Éxitoso",N295)))</formula>
    </cfRule>
  </conditionalFormatting>
  <conditionalFormatting sqref="O295">
    <cfRule type="containsText" dxfId="15917" priority="339" operator="containsText" text="No se pudo ejecutar">
      <formula>NOT(ISERROR(SEARCH("No se pudo ejecutar",O295)))</formula>
    </cfRule>
    <cfRule type="containsText" dxfId="15916" priority="340" operator="containsText" text="Pendiente">
      <formula>NOT(ISERROR(SEARCH("Pendiente",O295)))</formula>
    </cfRule>
    <cfRule type="containsText" dxfId="15915" priority="341" operator="containsText" text="No Aplica">
      <formula>NOT(ISERROR(SEARCH("No Aplica",O295)))</formula>
    </cfRule>
    <cfRule type="containsText" dxfId="15914" priority="342" operator="containsText" text="Fallido">
      <formula>NOT(ISERROR(SEARCH("Fallido",O295)))</formula>
    </cfRule>
    <cfRule type="containsText" dxfId="15913" priority="343" operator="containsText" text="Éxitoso">
      <formula>NOT(ISERROR(SEARCH("Éxitoso",O295)))</formula>
    </cfRule>
  </conditionalFormatting>
  <conditionalFormatting sqref="P295">
    <cfRule type="containsText" dxfId="15912" priority="334" operator="containsText" text="No se pudo ejecutar">
      <formula>NOT(ISERROR(SEARCH("No se pudo ejecutar",P295)))</formula>
    </cfRule>
    <cfRule type="containsText" dxfId="15911" priority="335" operator="containsText" text="Pendiente">
      <formula>NOT(ISERROR(SEARCH("Pendiente",P295)))</formula>
    </cfRule>
    <cfRule type="containsText" dxfId="15910" priority="336" operator="containsText" text="No Aplica">
      <formula>NOT(ISERROR(SEARCH("No Aplica",P295)))</formula>
    </cfRule>
    <cfRule type="containsText" dxfId="15909" priority="337" operator="containsText" text="Fallido">
      <formula>NOT(ISERROR(SEARCH("Fallido",P295)))</formula>
    </cfRule>
    <cfRule type="containsText" dxfId="15908" priority="338" operator="containsText" text="Éxitoso">
      <formula>NOT(ISERROR(SEARCH("Éxitoso",P295)))</formula>
    </cfRule>
  </conditionalFormatting>
  <conditionalFormatting sqref="Q295">
    <cfRule type="containsText" dxfId="15907" priority="329" operator="containsText" text="No se pudo ejecutar">
      <formula>NOT(ISERROR(SEARCH("No se pudo ejecutar",Q295)))</formula>
    </cfRule>
    <cfRule type="containsText" dxfId="15906" priority="330" operator="containsText" text="Pendiente">
      <formula>NOT(ISERROR(SEARCH("Pendiente",Q295)))</formula>
    </cfRule>
    <cfRule type="containsText" dxfId="15905" priority="331" operator="containsText" text="No Aplica">
      <formula>NOT(ISERROR(SEARCH("No Aplica",Q295)))</formula>
    </cfRule>
    <cfRule type="containsText" dxfId="15904" priority="332" operator="containsText" text="Fallido">
      <formula>NOT(ISERROR(SEARCH("Fallido",Q295)))</formula>
    </cfRule>
    <cfRule type="containsText" dxfId="15903" priority="333" operator="containsText" text="Éxitoso">
      <formula>NOT(ISERROR(SEARCH("Éxitoso",Q295)))</formula>
    </cfRule>
  </conditionalFormatting>
  <conditionalFormatting sqref="R295">
    <cfRule type="containsText" dxfId="15902" priority="324" operator="containsText" text="No se pudo ejecutar">
      <formula>NOT(ISERROR(SEARCH("No se pudo ejecutar",R295)))</formula>
    </cfRule>
    <cfRule type="containsText" dxfId="15901" priority="325" operator="containsText" text="Pendiente">
      <formula>NOT(ISERROR(SEARCH("Pendiente",R295)))</formula>
    </cfRule>
    <cfRule type="containsText" dxfId="15900" priority="326" operator="containsText" text="No Aplica">
      <formula>NOT(ISERROR(SEARCH("No Aplica",R295)))</formula>
    </cfRule>
    <cfRule type="containsText" dxfId="15899" priority="327" operator="containsText" text="Fallido">
      <formula>NOT(ISERROR(SEARCH("Fallido",R295)))</formula>
    </cfRule>
    <cfRule type="containsText" dxfId="15898" priority="328" operator="containsText" text="Éxitoso">
      <formula>NOT(ISERROR(SEARCH("Éxitoso",R295)))</formula>
    </cfRule>
  </conditionalFormatting>
  <conditionalFormatting sqref="S295">
    <cfRule type="containsText" dxfId="15897" priority="319" operator="containsText" text="No se pudo ejecutar">
      <formula>NOT(ISERROR(SEARCH("No se pudo ejecutar",S295)))</formula>
    </cfRule>
    <cfRule type="containsText" dxfId="15896" priority="320" operator="containsText" text="Pendiente">
      <formula>NOT(ISERROR(SEARCH("Pendiente",S295)))</formula>
    </cfRule>
    <cfRule type="containsText" dxfId="15895" priority="321" operator="containsText" text="No Aplica">
      <formula>NOT(ISERROR(SEARCH("No Aplica",S295)))</formula>
    </cfRule>
    <cfRule type="containsText" dxfId="15894" priority="322" operator="containsText" text="Fallido">
      <formula>NOT(ISERROR(SEARCH("Fallido",S295)))</formula>
    </cfRule>
    <cfRule type="containsText" dxfId="15893" priority="323" operator="containsText" text="Éxitoso">
      <formula>NOT(ISERROR(SEARCH("Éxitoso",S295)))</formula>
    </cfRule>
  </conditionalFormatting>
  <conditionalFormatting sqref="T295">
    <cfRule type="containsText" dxfId="15892" priority="314" operator="containsText" text="No se pudo ejecutar">
      <formula>NOT(ISERROR(SEARCH("No se pudo ejecutar",T295)))</formula>
    </cfRule>
    <cfRule type="containsText" dxfId="15891" priority="315" operator="containsText" text="Pendiente">
      <formula>NOT(ISERROR(SEARCH("Pendiente",T295)))</formula>
    </cfRule>
    <cfRule type="containsText" dxfId="15890" priority="316" operator="containsText" text="No Aplica">
      <formula>NOT(ISERROR(SEARCH("No Aplica",T295)))</formula>
    </cfRule>
    <cfRule type="containsText" dxfId="15889" priority="317" operator="containsText" text="Fallido">
      <formula>NOT(ISERROR(SEARCH("Fallido",T295)))</formula>
    </cfRule>
    <cfRule type="containsText" dxfId="15888" priority="318" operator="containsText" text="Éxitoso">
      <formula>NOT(ISERROR(SEARCH("Éxitoso",T295)))</formula>
    </cfRule>
  </conditionalFormatting>
  <conditionalFormatting sqref="U295">
    <cfRule type="containsText" dxfId="15887" priority="309" operator="containsText" text="No se pudo ejecutar">
      <formula>NOT(ISERROR(SEARCH("No se pudo ejecutar",U295)))</formula>
    </cfRule>
    <cfRule type="containsText" dxfId="15886" priority="310" operator="containsText" text="Pendiente">
      <formula>NOT(ISERROR(SEARCH("Pendiente",U295)))</formula>
    </cfRule>
    <cfRule type="containsText" dxfId="15885" priority="311" operator="containsText" text="No Aplica">
      <formula>NOT(ISERROR(SEARCH("No Aplica",U295)))</formula>
    </cfRule>
    <cfRule type="containsText" dxfId="15884" priority="312" operator="containsText" text="Fallido">
      <formula>NOT(ISERROR(SEARCH("Fallido",U295)))</formula>
    </cfRule>
    <cfRule type="containsText" dxfId="15883" priority="313" operator="containsText" text="Éxitoso">
      <formula>NOT(ISERROR(SEARCH("Éxitoso",U295)))</formula>
    </cfRule>
  </conditionalFormatting>
  <conditionalFormatting sqref="V295">
    <cfRule type="containsText" dxfId="15882" priority="304" operator="containsText" text="No se pudo ejecutar">
      <formula>NOT(ISERROR(SEARCH("No se pudo ejecutar",V295)))</formula>
    </cfRule>
    <cfRule type="containsText" dxfId="15881" priority="305" operator="containsText" text="Pendiente">
      <formula>NOT(ISERROR(SEARCH("Pendiente",V295)))</formula>
    </cfRule>
    <cfRule type="containsText" dxfId="15880" priority="306" operator="containsText" text="No Aplica">
      <formula>NOT(ISERROR(SEARCH("No Aplica",V295)))</formula>
    </cfRule>
    <cfRule type="containsText" dxfId="15879" priority="307" operator="containsText" text="Fallido">
      <formula>NOT(ISERROR(SEARCH("Fallido",V295)))</formula>
    </cfRule>
    <cfRule type="containsText" dxfId="15878" priority="308" operator="containsText" text="Éxitoso">
      <formula>NOT(ISERROR(SEARCH("Éxitoso",V295)))</formula>
    </cfRule>
  </conditionalFormatting>
  <conditionalFormatting sqref="W295">
    <cfRule type="containsText" dxfId="15877" priority="299" operator="containsText" text="No se pudo ejecutar">
      <formula>NOT(ISERROR(SEARCH("No se pudo ejecutar",W295)))</formula>
    </cfRule>
    <cfRule type="containsText" dxfId="15876" priority="300" operator="containsText" text="Pendiente">
      <formula>NOT(ISERROR(SEARCH("Pendiente",W295)))</formula>
    </cfRule>
    <cfRule type="containsText" dxfId="15875" priority="301" operator="containsText" text="No Aplica">
      <formula>NOT(ISERROR(SEARCH("No Aplica",W295)))</formula>
    </cfRule>
    <cfRule type="containsText" dxfId="15874" priority="302" operator="containsText" text="Fallido">
      <formula>NOT(ISERROR(SEARCH("Fallido",W295)))</formula>
    </cfRule>
    <cfRule type="containsText" dxfId="15873" priority="303" operator="containsText" text="Éxitoso">
      <formula>NOT(ISERROR(SEARCH("Éxitoso",W295)))</formula>
    </cfRule>
  </conditionalFormatting>
  <conditionalFormatting sqref="M295">
    <cfRule type="containsText" dxfId="15872" priority="294" operator="containsText" text="No se pudo ejecutar">
      <formula>NOT(ISERROR(SEARCH("No se pudo ejecutar",M295)))</formula>
    </cfRule>
    <cfRule type="containsText" dxfId="15871" priority="295" operator="containsText" text="Pendiente">
      <formula>NOT(ISERROR(SEARCH("Pendiente",M295)))</formula>
    </cfRule>
    <cfRule type="containsText" dxfId="15870" priority="296" operator="containsText" text="No Aplica">
      <formula>NOT(ISERROR(SEARCH("No Aplica",M295)))</formula>
    </cfRule>
    <cfRule type="containsText" dxfId="15869" priority="297" operator="containsText" text="Fallido">
      <formula>NOT(ISERROR(SEARCH("Fallido",M295)))</formula>
    </cfRule>
    <cfRule type="containsText" dxfId="15868" priority="298" operator="containsText" text="Éxitoso">
      <formula>NOT(ISERROR(SEARCH("Éxitoso",M295)))</formula>
    </cfRule>
  </conditionalFormatting>
  <conditionalFormatting sqref="G295">
    <cfRule type="containsText" dxfId="15867" priority="291" operator="containsText" text="Bajo">
      <formula>NOT(ISERROR(SEARCH("Bajo",G295)))</formula>
    </cfRule>
    <cfRule type="containsText" dxfId="15866" priority="292" operator="containsText" text="Medio">
      <formula>NOT(ISERROR(SEARCH("Medio",G295)))</formula>
    </cfRule>
    <cfRule type="containsText" dxfId="15865" priority="293" operator="containsText" text="Alto">
      <formula>NOT(ISERROR(SEARCH("Alto",G295)))</formula>
    </cfRule>
  </conditionalFormatting>
  <conditionalFormatting sqref="N300">
    <cfRule type="containsText" dxfId="15864" priority="54" operator="containsText" text="No se pudo ejecutar">
      <formula>NOT(ISERROR(SEARCH("No se pudo ejecutar",N300)))</formula>
    </cfRule>
    <cfRule type="containsText" dxfId="15863" priority="55" operator="containsText" text="Pendiente">
      <formula>NOT(ISERROR(SEARCH("Pendiente",N300)))</formula>
    </cfRule>
    <cfRule type="containsText" dxfId="15862" priority="56" operator="containsText" text="No Aplica">
      <formula>NOT(ISERROR(SEARCH("No Aplica",N300)))</formula>
    </cfRule>
    <cfRule type="containsText" dxfId="15861" priority="57" operator="containsText" text="Fallido">
      <formula>NOT(ISERROR(SEARCH("Fallido",N300)))</formula>
    </cfRule>
    <cfRule type="containsText" dxfId="15860" priority="58" operator="containsText" text="Éxitoso">
      <formula>NOT(ISERROR(SEARCH("Éxitoso",N300)))</formula>
    </cfRule>
  </conditionalFormatting>
  <conditionalFormatting sqref="O300">
    <cfRule type="containsText" dxfId="15859" priority="49" operator="containsText" text="No se pudo ejecutar">
      <formula>NOT(ISERROR(SEARCH("No se pudo ejecutar",O300)))</formula>
    </cfRule>
    <cfRule type="containsText" dxfId="15858" priority="50" operator="containsText" text="Pendiente">
      <formula>NOT(ISERROR(SEARCH("Pendiente",O300)))</formula>
    </cfRule>
    <cfRule type="containsText" dxfId="15857" priority="51" operator="containsText" text="No Aplica">
      <formula>NOT(ISERROR(SEARCH("No Aplica",O300)))</formula>
    </cfRule>
    <cfRule type="containsText" dxfId="15856" priority="52" operator="containsText" text="Fallido">
      <formula>NOT(ISERROR(SEARCH("Fallido",O300)))</formula>
    </cfRule>
    <cfRule type="containsText" dxfId="15855" priority="53" operator="containsText" text="Éxitoso">
      <formula>NOT(ISERROR(SEARCH("Éxitoso",O300)))</formula>
    </cfRule>
  </conditionalFormatting>
  <conditionalFormatting sqref="P300">
    <cfRule type="containsText" dxfId="15854" priority="44" operator="containsText" text="No se pudo ejecutar">
      <formula>NOT(ISERROR(SEARCH("No se pudo ejecutar",P300)))</formula>
    </cfRule>
    <cfRule type="containsText" dxfId="15853" priority="45" operator="containsText" text="Pendiente">
      <formula>NOT(ISERROR(SEARCH("Pendiente",P300)))</formula>
    </cfRule>
    <cfRule type="containsText" dxfId="15852" priority="46" operator="containsText" text="No Aplica">
      <formula>NOT(ISERROR(SEARCH("No Aplica",P300)))</formula>
    </cfRule>
    <cfRule type="containsText" dxfId="15851" priority="47" operator="containsText" text="Fallido">
      <formula>NOT(ISERROR(SEARCH("Fallido",P300)))</formula>
    </cfRule>
    <cfRule type="containsText" dxfId="15850" priority="48" operator="containsText" text="Éxitoso">
      <formula>NOT(ISERROR(SEARCH("Éxitoso",P300)))</formula>
    </cfRule>
  </conditionalFormatting>
  <conditionalFormatting sqref="Q300">
    <cfRule type="containsText" dxfId="15849" priority="39" operator="containsText" text="No se pudo ejecutar">
      <formula>NOT(ISERROR(SEARCH("No se pudo ejecutar",Q300)))</formula>
    </cfRule>
    <cfRule type="containsText" dxfId="15848" priority="40" operator="containsText" text="Pendiente">
      <formula>NOT(ISERROR(SEARCH("Pendiente",Q300)))</formula>
    </cfRule>
    <cfRule type="containsText" dxfId="15847" priority="41" operator="containsText" text="No Aplica">
      <formula>NOT(ISERROR(SEARCH("No Aplica",Q300)))</formula>
    </cfRule>
    <cfRule type="containsText" dxfId="15846" priority="42" operator="containsText" text="Fallido">
      <formula>NOT(ISERROR(SEARCH("Fallido",Q300)))</formula>
    </cfRule>
    <cfRule type="containsText" dxfId="15845" priority="43" operator="containsText" text="Éxitoso">
      <formula>NOT(ISERROR(SEARCH("Éxitoso",Q300)))</formula>
    </cfRule>
  </conditionalFormatting>
  <conditionalFormatting sqref="R300">
    <cfRule type="containsText" dxfId="15844" priority="34" operator="containsText" text="No se pudo ejecutar">
      <formula>NOT(ISERROR(SEARCH("No se pudo ejecutar",R300)))</formula>
    </cfRule>
    <cfRule type="containsText" dxfId="15843" priority="35" operator="containsText" text="Pendiente">
      <formula>NOT(ISERROR(SEARCH("Pendiente",R300)))</formula>
    </cfRule>
    <cfRule type="containsText" dxfId="15842" priority="36" operator="containsText" text="No Aplica">
      <formula>NOT(ISERROR(SEARCH("No Aplica",R300)))</formula>
    </cfRule>
    <cfRule type="containsText" dxfId="15841" priority="37" operator="containsText" text="Fallido">
      <formula>NOT(ISERROR(SEARCH("Fallido",R300)))</formula>
    </cfRule>
    <cfRule type="containsText" dxfId="15840" priority="38" operator="containsText" text="Éxitoso">
      <formula>NOT(ISERROR(SEARCH("Éxitoso",R300)))</formula>
    </cfRule>
  </conditionalFormatting>
  <conditionalFormatting sqref="S300">
    <cfRule type="containsText" dxfId="15839" priority="29" operator="containsText" text="No se pudo ejecutar">
      <formula>NOT(ISERROR(SEARCH("No se pudo ejecutar",S300)))</formula>
    </cfRule>
    <cfRule type="containsText" dxfId="15838" priority="30" operator="containsText" text="Pendiente">
      <formula>NOT(ISERROR(SEARCH("Pendiente",S300)))</formula>
    </cfRule>
    <cfRule type="containsText" dxfId="15837" priority="31" operator="containsText" text="No Aplica">
      <formula>NOT(ISERROR(SEARCH("No Aplica",S300)))</formula>
    </cfRule>
    <cfRule type="containsText" dxfId="15836" priority="32" operator="containsText" text="Fallido">
      <formula>NOT(ISERROR(SEARCH("Fallido",S300)))</formula>
    </cfRule>
    <cfRule type="containsText" dxfId="15835" priority="33" operator="containsText" text="Éxitoso">
      <formula>NOT(ISERROR(SEARCH("Éxitoso",S300)))</formula>
    </cfRule>
  </conditionalFormatting>
  <conditionalFormatting sqref="T300">
    <cfRule type="containsText" dxfId="15834" priority="24" operator="containsText" text="No se pudo ejecutar">
      <formula>NOT(ISERROR(SEARCH("No se pudo ejecutar",T300)))</formula>
    </cfRule>
    <cfRule type="containsText" dxfId="15833" priority="25" operator="containsText" text="Pendiente">
      <formula>NOT(ISERROR(SEARCH("Pendiente",T300)))</formula>
    </cfRule>
    <cfRule type="containsText" dxfId="15832" priority="26" operator="containsText" text="No Aplica">
      <formula>NOT(ISERROR(SEARCH("No Aplica",T300)))</formula>
    </cfRule>
    <cfRule type="containsText" dxfId="15831" priority="27" operator="containsText" text="Fallido">
      <formula>NOT(ISERROR(SEARCH("Fallido",T300)))</formula>
    </cfRule>
    <cfRule type="containsText" dxfId="15830" priority="28" operator="containsText" text="Éxitoso">
      <formula>NOT(ISERROR(SEARCH("Éxitoso",T300)))</formula>
    </cfRule>
  </conditionalFormatting>
  <conditionalFormatting sqref="U300">
    <cfRule type="containsText" dxfId="15829" priority="19" operator="containsText" text="No se pudo ejecutar">
      <formula>NOT(ISERROR(SEARCH("No se pudo ejecutar",U300)))</formula>
    </cfRule>
    <cfRule type="containsText" dxfId="15828" priority="20" operator="containsText" text="Pendiente">
      <formula>NOT(ISERROR(SEARCH("Pendiente",U300)))</formula>
    </cfRule>
    <cfRule type="containsText" dxfId="15827" priority="21" operator="containsText" text="No Aplica">
      <formula>NOT(ISERROR(SEARCH("No Aplica",U300)))</formula>
    </cfRule>
    <cfRule type="containsText" dxfId="15826" priority="22" operator="containsText" text="Fallido">
      <formula>NOT(ISERROR(SEARCH("Fallido",U300)))</formula>
    </cfRule>
    <cfRule type="containsText" dxfId="15825" priority="23" operator="containsText" text="Éxitoso">
      <formula>NOT(ISERROR(SEARCH("Éxitoso",U300)))</formula>
    </cfRule>
  </conditionalFormatting>
  <conditionalFormatting sqref="V300">
    <cfRule type="containsText" dxfId="15824" priority="14" operator="containsText" text="No se pudo ejecutar">
      <formula>NOT(ISERROR(SEARCH("No se pudo ejecutar",V300)))</formula>
    </cfRule>
    <cfRule type="containsText" dxfId="15823" priority="15" operator="containsText" text="Pendiente">
      <formula>NOT(ISERROR(SEARCH("Pendiente",V300)))</formula>
    </cfRule>
    <cfRule type="containsText" dxfId="15822" priority="16" operator="containsText" text="No Aplica">
      <formula>NOT(ISERROR(SEARCH("No Aplica",V300)))</formula>
    </cfRule>
    <cfRule type="containsText" dxfId="15821" priority="17" operator="containsText" text="Fallido">
      <formula>NOT(ISERROR(SEARCH("Fallido",V300)))</formula>
    </cfRule>
    <cfRule type="containsText" dxfId="15820" priority="18" operator="containsText" text="Éxitoso">
      <formula>NOT(ISERROR(SEARCH("Éxitoso",V300)))</formula>
    </cfRule>
  </conditionalFormatting>
  <conditionalFormatting sqref="W300">
    <cfRule type="containsText" dxfId="15819" priority="9" operator="containsText" text="No se pudo ejecutar">
      <formula>NOT(ISERROR(SEARCH("No se pudo ejecutar",W300)))</formula>
    </cfRule>
    <cfRule type="containsText" dxfId="15818" priority="10" operator="containsText" text="Pendiente">
      <formula>NOT(ISERROR(SEARCH("Pendiente",W300)))</formula>
    </cfRule>
    <cfRule type="containsText" dxfId="15817" priority="11" operator="containsText" text="No Aplica">
      <formula>NOT(ISERROR(SEARCH("No Aplica",W300)))</formula>
    </cfRule>
    <cfRule type="containsText" dxfId="15816" priority="12" operator="containsText" text="Fallido">
      <formula>NOT(ISERROR(SEARCH("Fallido",W300)))</formula>
    </cfRule>
    <cfRule type="containsText" dxfId="15815" priority="13" operator="containsText" text="Éxitoso">
      <formula>NOT(ISERROR(SEARCH("Éxitoso",W300)))</formula>
    </cfRule>
  </conditionalFormatting>
  <conditionalFormatting sqref="M300">
    <cfRule type="containsText" dxfId="15814" priority="4" operator="containsText" text="No se pudo ejecutar">
      <formula>NOT(ISERROR(SEARCH("No se pudo ejecutar",M300)))</formula>
    </cfRule>
    <cfRule type="containsText" dxfId="15813" priority="5" operator="containsText" text="Pendiente">
      <formula>NOT(ISERROR(SEARCH("Pendiente",M300)))</formula>
    </cfRule>
    <cfRule type="containsText" dxfId="15812" priority="6" operator="containsText" text="No Aplica">
      <formula>NOT(ISERROR(SEARCH("No Aplica",M300)))</formula>
    </cfRule>
    <cfRule type="containsText" dxfId="15811" priority="7" operator="containsText" text="Fallido">
      <formula>NOT(ISERROR(SEARCH("Fallido",M300)))</formula>
    </cfRule>
    <cfRule type="containsText" dxfId="15810" priority="8" operator="containsText" text="Éxitoso">
      <formula>NOT(ISERROR(SEARCH("Éxitoso",M300)))</formula>
    </cfRule>
  </conditionalFormatting>
  <conditionalFormatting sqref="G300">
    <cfRule type="containsText" dxfId="15809" priority="1" operator="containsText" text="Bajo">
      <formula>NOT(ISERROR(SEARCH("Bajo",G300)))</formula>
    </cfRule>
    <cfRule type="containsText" dxfId="15808" priority="2" operator="containsText" text="Medio">
      <formula>NOT(ISERROR(SEARCH("Medio",G300)))</formula>
    </cfRule>
    <cfRule type="containsText" dxfId="15807" priority="3" operator="containsText" text="Alto">
      <formula>NOT(ISERROR(SEARCH("Alto",G300)))</formula>
    </cfRule>
  </conditionalFormatting>
  <conditionalFormatting sqref="N23">
    <cfRule type="containsText" dxfId="15806" priority="16120" operator="containsText" text="No se pudo ejecutar">
      <formula>NOT(ISERROR(SEARCH("No se pudo ejecutar",N23)))</formula>
    </cfRule>
    <cfRule type="containsText" dxfId="15805" priority="16121" operator="containsText" text="Pendiente">
      <formula>NOT(ISERROR(SEARCH("Pendiente",N23)))</formula>
    </cfRule>
    <cfRule type="containsText" dxfId="15804" priority="16122" operator="containsText" text="No Aplica">
      <formula>NOT(ISERROR(SEARCH("No Aplica",N23)))</formula>
    </cfRule>
    <cfRule type="containsText" dxfId="15803" priority="16123" operator="containsText" text="Fallido">
      <formula>NOT(ISERROR(SEARCH("Fallido",N23)))</formula>
    </cfRule>
    <cfRule type="containsText" dxfId="15802" priority="16124" operator="containsText" text="Éxitoso">
      <formula>NOT(ISERROR(SEARCH("Éxitoso",N23)))</formula>
    </cfRule>
  </conditionalFormatting>
  <conditionalFormatting sqref="O23">
    <cfRule type="containsText" dxfId="15801" priority="16115" operator="containsText" text="No se pudo ejecutar">
      <formula>NOT(ISERROR(SEARCH("No se pudo ejecutar",O23)))</formula>
    </cfRule>
    <cfRule type="containsText" dxfId="15800" priority="16116" operator="containsText" text="Pendiente">
      <formula>NOT(ISERROR(SEARCH("Pendiente",O23)))</formula>
    </cfRule>
    <cfRule type="containsText" dxfId="15799" priority="16117" operator="containsText" text="No Aplica">
      <formula>NOT(ISERROR(SEARCH("No Aplica",O23)))</formula>
    </cfRule>
    <cfRule type="containsText" dxfId="15798" priority="16118" operator="containsText" text="Fallido">
      <formula>NOT(ISERROR(SEARCH("Fallido",O23)))</formula>
    </cfRule>
    <cfRule type="containsText" dxfId="15797" priority="16119" operator="containsText" text="Éxitoso">
      <formula>NOT(ISERROR(SEARCH("Éxitoso",O23)))</formula>
    </cfRule>
  </conditionalFormatting>
  <conditionalFormatting sqref="P23">
    <cfRule type="containsText" dxfId="15796" priority="16110" operator="containsText" text="No se pudo ejecutar">
      <formula>NOT(ISERROR(SEARCH("No se pudo ejecutar",P23)))</formula>
    </cfRule>
    <cfRule type="containsText" dxfId="15795" priority="16111" operator="containsText" text="Pendiente">
      <formula>NOT(ISERROR(SEARCH("Pendiente",P23)))</formula>
    </cfRule>
    <cfRule type="containsText" dxfId="15794" priority="16112" operator="containsText" text="No Aplica">
      <formula>NOT(ISERROR(SEARCH("No Aplica",P23)))</formula>
    </cfRule>
    <cfRule type="containsText" dxfId="15793" priority="16113" operator="containsText" text="Fallido">
      <formula>NOT(ISERROR(SEARCH("Fallido",P23)))</formula>
    </cfRule>
    <cfRule type="containsText" dxfId="15792" priority="16114" operator="containsText" text="Éxitoso">
      <formula>NOT(ISERROR(SEARCH("Éxitoso",P23)))</formula>
    </cfRule>
  </conditionalFormatting>
  <conditionalFormatting sqref="Q23">
    <cfRule type="containsText" dxfId="15791" priority="16105" operator="containsText" text="No se pudo ejecutar">
      <formula>NOT(ISERROR(SEARCH("No se pudo ejecutar",Q23)))</formula>
    </cfRule>
    <cfRule type="containsText" dxfId="15790" priority="16106" operator="containsText" text="Pendiente">
      <formula>NOT(ISERROR(SEARCH("Pendiente",Q23)))</formula>
    </cfRule>
    <cfRule type="containsText" dxfId="15789" priority="16107" operator="containsText" text="No Aplica">
      <formula>NOT(ISERROR(SEARCH("No Aplica",Q23)))</formula>
    </cfRule>
    <cfRule type="containsText" dxfId="15788" priority="16108" operator="containsText" text="Fallido">
      <formula>NOT(ISERROR(SEARCH("Fallido",Q23)))</formula>
    </cfRule>
    <cfRule type="containsText" dxfId="15787" priority="16109" operator="containsText" text="Éxitoso">
      <formula>NOT(ISERROR(SEARCH("Éxitoso",Q23)))</formula>
    </cfRule>
  </conditionalFormatting>
  <conditionalFormatting sqref="R23">
    <cfRule type="containsText" dxfId="15786" priority="16100" operator="containsText" text="No se pudo ejecutar">
      <formula>NOT(ISERROR(SEARCH("No se pudo ejecutar",R23)))</formula>
    </cfRule>
    <cfRule type="containsText" dxfId="15785" priority="16101" operator="containsText" text="Pendiente">
      <formula>NOT(ISERROR(SEARCH("Pendiente",R23)))</formula>
    </cfRule>
    <cfRule type="containsText" dxfId="15784" priority="16102" operator="containsText" text="No Aplica">
      <formula>NOT(ISERROR(SEARCH("No Aplica",R23)))</formula>
    </cfRule>
    <cfRule type="containsText" dxfId="15783" priority="16103" operator="containsText" text="Fallido">
      <formula>NOT(ISERROR(SEARCH("Fallido",R23)))</formula>
    </cfRule>
    <cfRule type="containsText" dxfId="15782" priority="16104" operator="containsText" text="Éxitoso">
      <formula>NOT(ISERROR(SEARCH("Éxitoso",R23)))</formula>
    </cfRule>
  </conditionalFormatting>
  <conditionalFormatting sqref="S23">
    <cfRule type="containsText" dxfId="15781" priority="16095" operator="containsText" text="No se pudo ejecutar">
      <formula>NOT(ISERROR(SEARCH("No se pudo ejecutar",S23)))</formula>
    </cfRule>
    <cfRule type="containsText" dxfId="15780" priority="16096" operator="containsText" text="Pendiente">
      <formula>NOT(ISERROR(SEARCH("Pendiente",S23)))</formula>
    </cfRule>
    <cfRule type="containsText" dxfId="15779" priority="16097" operator="containsText" text="No Aplica">
      <formula>NOT(ISERROR(SEARCH("No Aplica",S23)))</formula>
    </cfRule>
    <cfRule type="containsText" dxfId="15778" priority="16098" operator="containsText" text="Fallido">
      <formula>NOT(ISERROR(SEARCH("Fallido",S23)))</formula>
    </cfRule>
    <cfRule type="containsText" dxfId="15777" priority="16099" operator="containsText" text="Éxitoso">
      <formula>NOT(ISERROR(SEARCH("Éxitoso",S23)))</formula>
    </cfRule>
  </conditionalFormatting>
  <conditionalFormatting sqref="T23">
    <cfRule type="containsText" dxfId="15776" priority="16090" operator="containsText" text="No se pudo ejecutar">
      <formula>NOT(ISERROR(SEARCH("No se pudo ejecutar",T23)))</formula>
    </cfRule>
    <cfRule type="containsText" dxfId="15775" priority="16091" operator="containsText" text="Pendiente">
      <formula>NOT(ISERROR(SEARCH("Pendiente",T23)))</formula>
    </cfRule>
    <cfRule type="containsText" dxfId="15774" priority="16092" operator="containsText" text="No Aplica">
      <formula>NOT(ISERROR(SEARCH("No Aplica",T23)))</formula>
    </cfRule>
    <cfRule type="containsText" dxfId="15773" priority="16093" operator="containsText" text="Fallido">
      <formula>NOT(ISERROR(SEARCH("Fallido",T23)))</formula>
    </cfRule>
    <cfRule type="containsText" dxfId="15772" priority="16094" operator="containsText" text="Éxitoso">
      <formula>NOT(ISERROR(SEARCH("Éxitoso",T23)))</formula>
    </cfRule>
  </conditionalFormatting>
  <conditionalFormatting sqref="U23">
    <cfRule type="containsText" dxfId="15771" priority="16085" operator="containsText" text="No se pudo ejecutar">
      <formula>NOT(ISERROR(SEARCH("No se pudo ejecutar",U23)))</formula>
    </cfRule>
    <cfRule type="containsText" dxfId="15770" priority="16086" operator="containsText" text="Pendiente">
      <formula>NOT(ISERROR(SEARCH("Pendiente",U23)))</formula>
    </cfRule>
    <cfRule type="containsText" dxfId="15769" priority="16087" operator="containsText" text="No Aplica">
      <formula>NOT(ISERROR(SEARCH("No Aplica",U23)))</formula>
    </cfRule>
    <cfRule type="containsText" dxfId="15768" priority="16088" operator="containsText" text="Fallido">
      <formula>NOT(ISERROR(SEARCH("Fallido",U23)))</formula>
    </cfRule>
    <cfRule type="containsText" dxfId="15767" priority="16089" operator="containsText" text="Éxitoso">
      <formula>NOT(ISERROR(SEARCH("Éxitoso",U23)))</formula>
    </cfRule>
  </conditionalFormatting>
  <conditionalFormatting sqref="V23">
    <cfRule type="containsText" dxfId="15766" priority="16080" operator="containsText" text="No se pudo ejecutar">
      <formula>NOT(ISERROR(SEARCH("No se pudo ejecutar",V23)))</formula>
    </cfRule>
    <cfRule type="containsText" dxfId="15765" priority="16081" operator="containsText" text="Pendiente">
      <formula>NOT(ISERROR(SEARCH("Pendiente",V23)))</formula>
    </cfRule>
    <cfRule type="containsText" dxfId="15764" priority="16082" operator="containsText" text="No Aplica">
      <formula>NOT(ISERROR(SEARCH("No Aplica",V23)))</formula>
    </cfRule>
    <cfRule type="containsText" dxfId="15763" priority="16083" operator="containsText" text="Fallido">
      <formula>NOT(ISERROR(SEARCH("Fallido",V23)))</formula>
    </cfRule>
    <cfRule type="containsText" dxfId="15762" priority="16084" operator="containsText" text="Éxitoso">
      <formula>NOT(ISERROR(SEARCH("Éxitoso",V23)))</formula>
    </cfRule>
  </conditionalFormatting>
  <conditionalFormatting sqref="W23">
    <cfRule type="containsText" dxfId="15761" priority="16075" operator="containsText" text="No se pudo ejecutar">
      <formula>NOT(ISERROR(SEARCH("No se pudo ejecutar",W23)))</formula>
    </cfRule>
    <cfRule type="containsText" dxfId="15760" priority="16076" operator="containsText" text="Pendiente">
      <formula>NOT(ISERROR(SEARCH("Pendiente",W23)))</formula>
    </cfRule>
    <cfRule type="containsText" dxfId="15759" priority="16077" operator="containsText" text="No Aplica">
      <formula>NOT(ISERROR(SEARCH("No Aplica",W23)))</formula>
    </cfRule>
    <cfRule type="containsText" dxfId="15758" priority="16078" operator="containsText" text="Fallido">
      <formula>NOT(ISERROR(SEARCH("Fallido",W23)))</formula>
    </cfRule>
    <cfRule type="containsText" dxfId="15757" priority="16079" operator="containsText" text="Éxitoso">
      <formula>NOT(ISERROR(SEARCH("Éxitoso",W23)))</formula>
    </cfRule>
  </conditionalFormatting>
  <conditionalFormatting sqref="M23">
    <cfRule type="containsText" dxfId="15756" priority="16070" operator="containsText" text="No se pudo ejecutar">
      <formula>NOT(ISERROR(SEARCH("No se pudo ejecutar",M23)))</formula>
    </cfRule>
    <cfRule type="containsText" dxfId="15755" priority="16071" operator="containsText" text="Pendiente">
      <formula>NOT(ISERROR(SEARCH("Pendiente",M23)))</formula>
    </cfRule>
    <cfRule type="containsText" dxfId="15754" priority="16072" operator="containsText" text="No Aplica">
      <formula>NOT(ISERROR(SEARCH("No Aplica",M23)))</formula>
    </cfRule>
    <cfRule type="containsText" dxfId="15753" priority="16073" operator="containsText" text="Fallido">
      <formula>NOT(ISERROR(SEARCH("Fallido",M23)))</formula>
    </cfRule>
    <cfRule type="containsText" dxfId="15752" priority="16074" operator="containsText" text="Éxitoso">
      <formula>NOT(ISERROR(SEARCH("Éxitoso",M23)))</formula>
    </cfRule>
  </conditionalFormatting>
  <conditionalFormatting sqref="G23">
    <cfRule type="containsText" dxfId="15751" priority="16067" operator="containsText" text="Bajo">
      <formula>NOT(ISERROR(SEARCH("Bajo",G23)))</formula>
    </cfRule>
    <cfRule type="containsText" dxfId="15750" priority="16068" operator="containsText" text="Medio">
      <formula>NOT(ISERROR(SEARCH("Medio",G23)))</formula>
    </cfRule>
    <cfRule type="containsText" dxfId="15749" priority="16069" operator="containsText" text="Alto">
      <formula>NOT(ISERROR(SEARCH("Alto",G23)))</formula>
    </cfRule>
  </conditionalFormatting>
  <conditionalFormatting sqref="N24">
    <cfRule type="containsText" dxfId="15748" priority="16062" operator="containsText" text="No se pudo ejecutar">
      <formula>NOT(ISERROR(SEARCH("No se pudo ejecutar",N24)))</formula>
    </cfRule>
    <cfRule type="containsText" dxfId="15747" priority="16063" operator="containsText" text="Pendiente">
      <formula>NOT(ISERROR(SEARCH("Pendiente",N24)))</formula>
    </cfRule>
    <cfRule type="containsText" dxfId="15746" priority="16064" operator="containsText" text="No Aplica">
      <formula>NOT(ISERROR(SEARCH("No Aplica",N24)))</formula>
    </cfRule>
    <cfRule type="containsText" dxfId="15745" priority="16065" operator="containsText" text="Fallido">
      <formula>NOT(ISERROR(SEARCH("Fallido",N24)))</formula>
    </cfRule>
    <cfRule type="containsText" dxfId="15744" priority="16066" operator="containsText" text="Éxitoso">
      <formula>NOT(ISERROR(SEARCH("Éxitoso",N24)))</formula>
    </cfRule>
  </conditionalFormatting>
  <conditionalFormatting sqref="O24">
    <cfRule type="containsText" dxfId="15743" priority="16057" operator="containsText" text="No se pudo ejecutar">
      <formula>NOT(ISERROR(SEARCH("No se pudo ejecutar",O24)))</formula>
    </cfRule>
    <cfRule type="containsText" dxfId="15742" priority="16058" operator="containsText" text="Pendiente">
      <formula>NOT(ISERROR(SEARCH("Pendiente",O24)))</formula>
    </cfRule>
    <cfRule type="containsText" dxfId="15741" priority="16059" operator="containsText" text="No Aplica">
      <formula>NOT(ISERROR(SEARCH("No Aplica",O24)))</formula>
    </cfRule>
    <cfRule type="containsText" dxfId="15740" priority="16060" operator="containsText" text="Fallido">
      <formula>NOT(ISERROR(SEARCH("Fallido",O24)))</formula>
    </cfRule>
    <cfRule type="containsText" dxfId="15739" priority="16061" operator="containsText" text="Éxitoso">
      <formula>NOT(ISERROR(SEARCH("Éxitoso",O24)))</formula>
    </cfRule>
  </conditionalFormatting>
  <conditionalFormatting sqref="P24">
    <cfRule type="containsText" dxfId="15738" priority="16052" operator="containsText" text="No se pudo ejecutar">
      <formula>NOT(ISERROR(SEARCH("No se pudo ejecutar",P24)))</formula>
    </cfRule>
    <cfRule type="containsText" dxfId="15737" priority="16053" operator="containsText" text="Pendiente">
      <formula>NOT(ISERROR(SEARCH("Pendiente",P24)))</formula>
    </cfRule>
    <cfRule type="containsText" dxfId="15736" priority="16054" operator="containsText" text="No Aplica">
      <formula>NOT(ISERROR(SEARCH("No Aplica",P24)))</formula>
    </cfRule>
    <cfRule type="containsText" dxfId="15735" priority="16055" operator="containsText" text="Fallido">
      <formula>NOT(ISERROR(SEARCH("Fallido",P24)))</formula>
    </cfRule>
    <cfRule type="containsText" dxfId="15734" priority="16056" operator="containsText" text="Éxitoso">
      <formula>NOT(ISERROR(SEARCH("Éxitoso",P24)))</formula>
    </cfRule>
  </conditionalFormatting>
  <conditionalFormatting sqref="Q24">
    <cfRule type="containsText" dxfId="15733" priority="16047" operator="containsText" text="No se pudo ejecutar">
      <formula>NOT(ISERROR(SEARCH("No se pudo ejecutar",Q24)))</formula>
    </cfRule>
    <cfRule type="containsText" dxfId="15732" priority="16048" operator="containsText" text="Pendiente">
      <formula>NOT(ISERROR(SEARCH("Pendiente",Q24)))</formula>
    </cfRule>
    <cfRule type="containsText" dxfId="15731" priority="16049" operator="containsText" text="No Aplica">
      <formula>NOT(ISERROR(SEARCH("No Aplica",Q24)))</formula>
    </cfRule>
    <cfRule type="containsText" dxfId="15730" priority="16050" operator="containsText" text="Fallido">
      <formula>NOT(ISERROR(SEARCH("Fallido",Q24)))</formula>
    </cfRule>
    <cfRule type="containsText" dxfId="15729" priority="16051" operator="containsText" text="Éxitoso">
      <formula>NOT(ISERROR(SEARCH("Éxitoso",Q24)))</formula>
    </cfRule>
  </conditionalFormatting>
  <conditionalFormatting sqref="R24">
    <cfRule type="containsText" dxfId="15728" priority="16042" operator="containsText" text="No se pudo ejecutar">
      <formula>NOT(ISERROR(SEARCH("No se pudo ejecutar",R24)))</formula>
    </cfRule>
    <cfRule type="containsText" dxfId="15727" priority="16043" operator="containsText" text="Pendiente">
      <formula>NOT(ISERROR(SEARCH("Pendiente",R24)))</formula>
    </cfRule>
    <cfRule type="containsText" dxfId="15726" priority="16044" operator="containsText" text="No Aplica">
      <formula>NOT(ISERROR(SEARCH("No Aplica",R24)))</formula>
    </cfRule>
    <cfRule type="containsText" dxfId="15725" priority="16045" operator="containsText" text="Fallido">
      <formula>NOT(ISERROR(SEARCH("Fallido",R24)))</formula>
    </cfRule>
    <cfRule type="containsText" dxfId="15724" priority="16046" operator="containsText" text="Éxitoso">
      <formula>NOT(ISERROR(SEARCH("Éxitoso",R24)))</formula>
    </cfRule>
  </conditionalFormatting>
  <conditionalFormatting sqref="S24">
    <cfRule type="containsText" dxfId="15723" priority="16037" operator="containsText" text="No se pudo ejecutar">
      <formula>NOT(ISERROR(SEARCH("No se pudo ejecutar",S24)))</formula>
    </cfRule>
    <cfRule type="containsText" dxfId="15722" priority="16038" operator="containsText" text="Pendiente">
      <formula>NOT(ISERROR(SEARCH("Pendiente",S24)))</formula>
    </cfRule>
    <cfRule type="containsText" dxfId="15721" priority="16039" operator="containsText" text="No Aplica">
      <formula>NOT(ISERROR(SEARCH("No Aplica",S24)))</formula>
    </cfRule>
    <cfRule type="containsText" dxfId="15720" priority="16040" operator="containsText" text="Fallido">
      <formula>NOT(ISERROR(SEARCH("Fallido",S24)))</formula>
    </cfRule>
    <cfRule type="containsText" dxfId="15719" priority="16041" operator="containsText" text="Éxitoso">
      <formula>NOT(ISERROR(SEARCH("Éxitoso",S24)))</formula>
    </cfRule>
  </conditionalFormatting>
  <conditionalFormatting sqref="T24">
    <cfRule type="containsText" dxfId="15718" priority="16032" operator="containsText" text="No se pudo ejecutar">
      <formula>NOT(ISERROR(SEARCH("No se pudo ejecutar",T24)))</formula>
    </cfRule>
    <cfRule type="containsText" dxfId="15717" priority="16033" operator="containsText" text="Pendiente">
      <formula>NOT(ISERROR(SEARCH("Pendiente",T24)))</formula>
    </cfRule>
    <cfRule type="containsText" dxfId="15716" priority="16034" operator="containsText" text="No Aplica">
      <formula>NOT(ISERROR(SEARCH("No Aplica",T24)))</formula>
    </cfRule>
    <cfRule type="containsText" dxfId="15715" priority="16035" operator="containsText" text="Fallido">
      <formula>NOT(ISERROR(SEARCH("Fallido",T24)))</formula>
    </cfRule>
    <cfRule type="containsText" dxfId="15714" priority="16036" operator="containsText" text="Éxitoso">
      <formula>NOT(ISERROR(SEARCH("Éxitoso",T24)))</formula>
    </cfRule>
  </conditionalFormatting>
  <conditionalFormatting sqref="U24">
    <cfRule type="containsText" dxfId="15713" priority="16027" operator="containsText" text="No se pudo ejecutar">
      <formula>NOT(ISERROR(SEARCH("No se pudo ejecutar",U24)))</formula>
    </cfRule>
    <cfRule type="containsText" dxfId="15712" priority="16028" operator="containsText" text="Pendiente">
      <formula>NOT(ISERROR(SEARCH("Pendiente",U24)))</formula>
    </cfRule>
    <cfRule type="containsText" dxfId="15711" priority="16029" operator="containsText" text="No Aplica">
      <formula>NOT(ISERROR(SEARCH("No Aplica",U24)))</formula>
    </cfRule>
    <cfRule type="containsText" dxfId="15710" priority="16030" operator="containsText" text="Fallido">
      <formula>NOT(ISERROR(SEARCH("Fallido",U24)))</formula>
    </cfRule>
    <cfRule type="containsText" dxfId="15709" priority="16031" operator="containsText" text="Éxitoso">
      <formula>NOT(ISERROR(SEARCH("Éxitoso",U24)))</formula>
    </cfRule>
  </conditionalFormatting>
  <conditionalFormatting sqref="V24">
    <cfRule type="containsText" dxfId="15708" priority="16022" operator="containsText" text="No se pudo ejecutar">
      <formula>NOT(ISERROR(SEARCH("No se pudo ejecutar",V24)))</formula>
    </cfRule>
    <cfRule type="containsText" dxfId="15707" priority="16023" operator="containsText" text="Pendiente">
      <formula>NOT(ISERROR(SEARCH("Pendiente",V24)))</formula>
    </cfRule>
    <cfRule type="containsText" dxfId="15706" priority="16024" operator="containsText" text="No Aplica">
      <formula>NOT(ISERROR(SEARCH("No Aplica",V24)))</formula>
    </cfRule>
    <cfRule type="containsText" dxfId="15705" priority="16025" operator="containsText" text="Fallido">
      <formula>NOT(ISERROR(SEARCH("Fallido",V24)))</formula>
    </cfRule>
    <cfRule type="containsText" dxfId="15704" priority="16026" operator="containsText" text="Éxitoso">
      <formula>NOT(ISERROR(SEARCH("Éxitoso",V24)))</formula>
    </cfRule>
  </conditionalFormatting>
  <conditionalFormatting sqref="W24">
    <cfRule type="containsText" dxfId="15703" priority="16017" operator="containsText" text="No se pudo ejecutar">
      <formula>NOT(ISERROR(SEARCH("No se pudo ejecutar",W24)))</formula>
    </cfRule>
    <cfRule type="containsText" dxfId="15702" priority="16018" operator="containsText" text="Pendiente">
      <formula>NOT(ISERROR(SEARCH("Pendiente",W24)))</formula>
    </cfRule>
    <cfRule type="containsText" dxfId="15701" priority="16019" operator="containsText" text="No Aplica">
      <formula>NOT(ISERROR(SEARCH("No Aplica",W24)))</formula>
    </cfRule>
    <cfRule type="containsText" dxfId="15700" priority="16020" operator="containsText" text="Fallido">
      <formula>NOT(ISERROR(SEARCH("Fallido",W24)))</formula>
    </cfRule>
    <cfRule type="containsText" dxfId="15699" priority="16021" operator="containsText" text="Éxitoso">
      <formula>NOT(ISERROR(SEARCH("Éxitoso",W24)))</formula>
    </cfRule>
  </conditionalFormatting>
  <conditionalFormatting sqref="M24">
    <cfRule type="containsText" dxfId="15698" priority="16012" operator="containsText" text="No se pudo ejecutar">
      <formula>NOT(ISERROR(SEARCH("No se pudo ejecutar",M24)))</formula>
    </cfRule>
    <cfRule type="containsText" dxfId="15697" priority="16013" operator="containsText" text="Pendiente">
      <formula>NOT(ISERROR(SEARCH("Pendiente",M24)))</formula>
    </cfRule>
    <cfRule type="containsText" dxfId="15696" priority="16014" operator="containsText" text="No Aplica">
      <formula>NOT(ISERROR(SEARCH("No Aplica",M24)))</formula>
    </cfRule>
    <cfRule type="containsText" dxfId="15695" priority="16015" operator="containsText" text="Fallido">
      <formula>NOT(ISERROR(SEARCH("Fallido",M24)))</formula>
    </cfRule>
    <cfRule type="containsText" dxfId="15694" priority="16016" operator="containsText" text="Éxitoso">
      <formula>NOT(ISERROR(SEARCH("Éxitoso",M24)))</formula>
    </cfRule>
  </conditionalFormatting>
  <conditionalFormatting sqref="G24">
    <cfRule type="containsText" dxfId="15693" priority="16009" operator="containsText" text="Bajo">
      <formula>NOT(ISERROR(SEARCH("Bajo",G24)))</formula>
    </cfRule>
    <cfRule type="containsText" dxfId="15692" priority="16010" operator="containsText" text="Medio">
      <formula>NOT(ISERROR(SEARCH("Medio",G24)))</formula>
    </cfRule>
    <cfRule type="containsText" dxfId="15691" priority="16011" operator="containsText" text="Alto">
      <formula>NOT(ISERROR(SEARCH("Alto",G24)))</formula>
    </cfRule>
  </conditionalFormatting>
  <conditionalFormatting sqref="N25">
    <cfRule type="containsText" dxfId="15690" priority="16004" operator="containsText" text="No se pudo ejecutar">
      <formula>NOT(ISERROR(SEARCH("No se pudo ejecutar",N25)))</formula>
    </cfRule>
    <cfRule type="containsText" dxfId="15689" priority="16005" operator="containsText" text="Pendiente">
      <formula>NOT(ISERROR(SEARCH("Pendiente",N25)))</formula>
    </cfRule>
    <cfRule type="containsText" dxfId="15688" priority="16006" operator="containsText" text="No Aplica">
      <formula>NOT(ISERROR(SEARCH("No Aplica",N25)))</formula>
    </cfRule>
    <cfRule type="containsText" dxfId="15687" priority="16007" operator="containsText" text="Fallido">
      <formula>NOT(ISERROR(SEARCH("Fallido",N25)))</formula>
    </cfRule>
    <cfRule type="containsText" dxfId="15686" priority="16008" operator="containsText" text="Éxitoso">
      <formula>NOT(ISERROR(SEARCH("Éxitoso",N25)))</formula>
    </cfRule>
  </conditionalFormatting>
  <conditionalFormatting sqref="O25">
    <cfRule type="containsText" dxfId="15685" priority="15999" operator="containsText" text="No se pudo ejecutar">
      <formula>NOT(ISERROR(SEARCH("No se pudo ejecutar",O25)))</formula>
    </cfRule>
    <cfRule type="containsText" dxfId="15684" priority="16000" operator="containsText" text="Pendiente">
      <formula>NOT(ISERROR(SEARCH("Pendiente",O25)))</formula>
    </cfRule>
    <cfRule type="containsText" dxfId="15683" priority="16001" operator="containsText" text="No Aplica">
      <formula>NOT(ISERROR(SEARCH("No Aplica",O25)))</formula>
    </cfRule>
    <cfRule type="containsText" dxfId="15682" priority="16002" operator="containsText" text="Fallido">
      <formula>NOT(ISERROR(SEARCH("Fallido",O25)))</formula>
    </cfRule>
    <cfRule type="containsText" dxfId="15681" priority="16003" operator="containsText" text="Éxitoso">
      <formula>NOT(ISERROR(SEARCH("Éxitoso",O25)))</formula>
    </cfRule>
  </conditionalFormatting>
  <conditionalFormatting sqref="P25">
    <cfRule type="containsText" dxfId="15680" priority="15994" operator="containsText" text="No se pudo ejecutar">
      <formula>NOT(ISERROR(SEARCH("No se pudo ejecutar",P25)))</formula>
    </cfRule>
    <cfRule type="containsText" dxfId="15679" priority="15995" operator="containsText" text="Pendiente">
      <formula>NOT(ISERROR(SEARCH("Pendiente",P25)))</formula>
    </cfRule>
    <cfRule type="containsText" dxfId="15678" priority="15996" operator="containsText" text="No Aplica">
      <formula>NOT(ISERROR(SEARCH("No Aplica",P25)))</formula>
    </cfRule>
    <cfRule type="containsText" dxfId="15677" priority="15997" operator="containsText" text="Fallido">
      <formula>NOT(ISERROR(SEARCH("Fallido",P25)))</formula>
    </cfRule>
    <cfRule type="containsText" dxfId="15676" priority="15998" operator="containsText" text="Éxitoso">
      <formula>NOT(ISERROR(SEARCH("Éxitoso",P25)))</formula>
    </cfRule>
  </conditionalFormatting>
  <conditionalFormatting sqref="Q25">
    <cfRule type="containsText" dxfId="15675" priority="15989" operator="containsText" text="No se pudo ejecutar">
      <formula>NOT(ISERROR(SEARCH("No se pudo ejecutar",Q25)))</formula>
    </cfRule>
    <cfRule type="containsText" dxfId="15674" priority="15990" operator="containsText" text="Pendiente">
      <formula>NOT(ISERROR(SEARCH("Pendiente",Q25)))</formula>
    </cfRule>
    <cfRule type="containsText" dxfId="15673" priority="15991" operator="containsText" text="No Aplica">
      <formula>NOT(ISERROR(SEARCH("No Aplica",Q25)))</formula>
    </cfRule>
    <cfRule type="containsText" dxfId="15672" priority="15992" operator="containsText" text="Fallido">
      <formula>NOT(ISERROR(SEARCH("Fallido",Q25)))</formula>
    </cfRule>
    <cfRule type="containsText" dxfId="15671" priority="15993" operator="containsText" text="Éxitoso">
      <formula>NOT(ISERROR(SEARCH("Éxitoso",Q25)))</formula>
    </cfRule>
  </conditionalFormatting>
  <conditionalFormatting sqref="R25">
    <cfRule type="containsText" dxfId="15670" priority="15984" operator="containsText" text="No se pudo ejecutar">
      <formula>NOT(ISERROR(SEARCH("No se pudo ejecutar",R25)))</formula>
    </cfRule>
    <cfRule type="containsText" dxfId="15669" priority="15985" operator="containsText" text="Pendiente">
      <formula>NOT(ISERROR(SEARCH("Pendiente",R25)))</formula>
    </cfRule>
    <cfRule type="containsText" dxfId="15668" priority="15986" operator="containsText" text="No Aplica">
      <formula>NOT(ISERROR(SEARCH("No Aplica",R25)))</formula>
    </cfRule>
    <cfRule type="containsText" dxfId="15667" priority="15987" operator="containsText" text="Fallido">
      <formula>NOT(ISERROR(SEARCH("Fallido",R25)))</formula>
    </cfRule>
    <cfRule type="containsText" dxfId="15666" priority="15988" operator="containsText" text="Éxitoso">
      <formula>NOT(ISERROR(SEARCH("Éxitoso",R25)))</formula>
    </cfRule>
  </conditionalFormatting>
  <conditionalFormatting sqref="S25">
    <cfRule type="containsText" dxfId="15665" priority="15979" operator="containsText" text="No se pudo ejecutar">
      <formula>NOT(ISERROR(SEARCH("No se pudo ejecutar",S25)))</formula>
    </cfRule>
    <cfRule type="containsText" dxfId="15664" priority="15980" operator="containsText" text="Pendiente">
      <formula>NOT(ISERROR(SEARCH("Pendiente",S25)))</formula>
    </cfRule>
    <cfRule type="containsText" dxfId="15663" priority="15981" operator="containsText" text="No Aplica">
      <formula>NOT(ISERROR(SEARCH("No Aplica",S25)))</formula>
    </cfRule>
    <cfRule type="containsText" dxfId="15662" priority="15982" operator="containsText" text="Fallido">
      <formula>NOT(ISERROR(SEARCH("Fallido",S25)))</formula>
    </cfRule>
    <cfRule type="containsText" dxfId="15661" priority="15983" operator="containsText" text="Éxitoso">
      <formula>NOT(ISERROR(SEARCH("Éxitoso",S25)))</formula>
    </cfRule>
  </conditionalFormatting>
  <conditionalFormatting sqref="T25">
    <cfRule type="containsText" dxfId="15660" priority="15974" operator="containsText" text="No se pudo ejecutar">
      <formula>NOT(ISERROR(SEARCH("No se pudo ejecutar",T25)))</formula>
    </cfRule>
    <cfRule type="containsText" dxfId="15659" priority="15975" operator="containsText" text="Pendiente">
      <formula>NOT(ISERROR(SEARCH("Pendiente",T25)))</formula>
    </cfRule>
    <cfRule type="containsText" dxfId="15658" priority="15976" operator="containsText" text="No Aplica">
      <formula>NOT(ISERROR(SEARCH("No Aplica",T25)))</formula>
    </cfRule>
    <cfRule type="containsText" dxfId="15657" priority="15977" operator="containsText" text="Fallido">
      <formula>NOT(ISERROR(SEARCH("Fallido",T25)))</formula>
    </cfRule>
    <cfRule type="containsText" dxfId="15656" priority="15978" operator="containsText" text="Éxitoso">
      <formula>NOT(ISERROR(SEARCH("Éxitoso",T25)))</formula>
    </cfRule>
  </conditionalFormatting>
  <conditionalFormatting sqref="U25">
    <cfRule type="containsText" dxfId="15655" priority="15969" operator="containsText" text="No se pudo ejecutar">
      <formula>NOT(ISERROR(SEARCH("No se pudo ejecutar",U25)))</formula>
    </cfRule>
    <cfRule type="containsText" dxfId="15654" priority="15970" operator="containsText" text="Pendiente">
      <formula>NOT(ISERROR(SEARCH("Pendiente",U25)))</formula>
    </cfRule>
    <cfRule type="containsText" dxfId="15653" priority="15971" operator="containsText" text="No Aplica">
      <formula>NOT(ISERROR(SEARCH("No Aplica",U25)))</formula>
    </cfRule>
    <cfRule type="containsText" dxfId="15652" priority="15972" operator="containsText" text="Fallido">
      <formula>NOT(ISERROR(SEARCH("Fallido",U25)))</formula>
    </cfRule>
    <cfRule type="containsText" dxfId="15651" priority="15973" operator="containsText" text="Éxitoso">
      <formula>NOT(ISERROR(SEARCH("Éxitoso",U25)))</formula>
    </cfRule>
  </conditionalFormatting>
  <conditionalFormatting sqref="V25">
    <cfRule type="containsText" dxfId="15650" priority="15964" operator="containsText" text="No se pudo ejecutar">
      <formula>NOT(ISERROR(SEARCH("No se pudo ejecutar",V25)))</formula>
    </cfRule>
    <cfRule type="containsText" dxfId="15649" priority="15965" operator="containsText" text="Pendiente">
      <formula>NOT(ISERROR(SEARCH("Pendiente",V25)))</formula>
    </cfRule>
    <cfRule type="containsText" dxfId="15648" priority="15966" operator="containsText" text="No Aplica">
      <formula>NOT(ISERROR(SEARCH("No Aplica",V25)))</formula>
    </cfRule>
    <cfRule type="containsText" dxfId="15647" priority="15967" operator="containsText" text="Fallido">
      <formula>NOT(ISERROR(SEARCH("Fallido",V25)))</formula>
    </cfRule>
    <cfRule type="containsText" dxfId="15646" priority="15968" operator="containsText" text="Éxitoso">
      <formula>NOT(ISERROR(SEARCH("Éxitoso",V25)))</formula>
    </cfRule>
  </conditionalFormatting>
  <conditionalFormatting sqref="W25">
    <cfRule type="containsText" dxfId="15645" priority="15959" operator="containsText" text="No se pudo ejecutar">
      <formula>NOT(ISERROR(SEARCH("No se pudo ejecutar",W25)))</formula>
    </cfRule>
    <cfRule type="containsText" dxfId="15644" priority="15960" operator="containsText" text="Pendiente">
      <formula>NOT(ISERROR(SEARCH("Pendiente",W25)))</formula>
    </cfRule>
    <cfRule type="containsText" dxfId="15643" priority="15961" operator="containsText" text="No Aplica">
      <formula>NOT(ISERROR(SEARCH("No Aplica",W25)))</formula>
    </cfRule>
    <cfRule type="containsText" dxfId="15642" priority="15962" operator="containsText" text="Fallido">
      <formula>NOT(ISERROR(SEARCH("Fallido",W25)))</formula>
    </cfRule>
    <cfRule type="containsText" dxfId="15641" priority="15963" operator="containsText" text="Éxitoso">
      <formula>NOT(ISERROR(SEARCH("Éxitoso",W25)))</formula>
    </cfRule>
  </conditionalFormatting>
  <conditionalFormatting sqref="M25">
    <cfRule type="containsText" dxfId="15640" priority="15954" operator="containsText" text="No se pudo ejecutar">
      <formula>NOT(ISERROR(SEARCH("No se pudo ejecutar",M25)))</formula>
    </cfRule>
    <cfRule type="containsText" dxfId="15639" priority="15955" operator="containsText" text="Pendiente">
      <formula>NOT(ISERROR(SEARCH("Pendiente",M25)))</formula>
    </cfRule>
    <cfRule type="containsText" dxfId="15638" priority="15956" operator="containsText" text="No Aplica">
      <formula>NOT(ISERROR(SEARCH("No Aplica",M25)))</formula>
    </cfRule>
    <cfRule type="containsText" dxfId="15637" priority="15957" operator="containsText" text="Fallido">
      <formula>NOT(ISERROR(SEARCH("Fallido",M25)))</formula>
    </cfRule>
    <cfRule type="containsText" dxfId="15636" priority="15958" operator="containsText" text="Éxitoso">
      <formula>NOT(ISERROR(SEARCH("Éxitoso",M25)))</formula>
    </cfRule>
  </conditionalFormatting>
  <conditionalFormatting sqref="G25">
    <cfRule type="containsText" dxfId="15635" priority="15951" operator="containsText" text="Bajo">
      <formula>NOT(ISERROR(SEARCH("Bajo",G25)))</formula>
    </cfRule>
    <cfRule type="containsText" dxfId="15634" priority="15952" operator="containsText" text="Medio">
      <formula>NOT(ISERROR(SEARCH("Medio",G25)))</formula>
    </cfRule>
    <cfRule type="containsText" dxfId="15633" priority="15953" operator="containsText" text="Alto">
      <formula>NOT(ISERROR(SEARCH("Alto",G25)))</formula>
    </cfRule>
  </conditionalFormatting>
  <conditionalFormatting sqref="N26">
    <cfRule type="containsText" dxfId="15632" priority="15946" operator="containsText" text="No se pudo ejecutar">
      <formula>NOT(ISERROR(SEARCH("No se pudo ejecutar",N26)))</formula>
    </cfRule>
    <cfRule type="containsText" dxfId="15631" priority="15947" operator="containsText" text="Pendiente">
      <formula>NOT(ISERROR(SEARCH("Pendiente",N26)))</formula>
    </cfRule>
    <cfRule type="containsText" dxfId="15630" priority="15948" operator="containsText" text="No Aplica">
      <formula>NOT(ISERROR(SEARCH("No Aplica",N26)))</formula>
    </cfRule>
    <cfRule type="containsText" dxfId="15629" priority="15949" operator="containsText" text="Fallido">
      <formula>NOT(ISERROR(SEARCH("Fallido",N26)))</formula>
    </cfRule>
    <cfRule type="containsText" dxfId="15628" priority="15950" operator="containsText" text="Éxitoso">
      <formula>NOT(ISERROR(SEARCH("Éxitoso",N26)))</formula>
    </cfRule>
  </conditionalFormatting>
  <conditionalFormatting sqref="O26">
    <cfRule type="containsText" dxfId="15627" priority="15941" operator="containsText" text="No se pudo ejecutar">
      <formula>NOT(ISERROR(SEARCH("No se pudo ejecutar",O26)))</formula>
    </cfRule>
    <cfRule type="containsText" dxfId="15626" priority="15942" operator="containsText" text="Pendiente">
      <formula>NOT(ISERROR(SEARCH("Pendiente",O26)))</formula>
    </cfRule>
    <cfRule type="containsText" dxfId="15625" priority="15943" operator="containsText" text="No Aplica">
      <formula>NOT(ISERROR(SEARCH("No Aplica",O26)))</formula>
    </cfRule>
    <cfRule type="containsText" dxfId="15624" priority="15944" operator="containsText" text="Fallido">
      <formula>NOT(ISERROR(SEARCH("Fallido",O26)))</formula>
    </cfRule>
    <cfRule type="containsText" dxfId="15623" priority="15945" operator="containsText" text="Éxitoso">
      <formula>NOT(ISERROR(SEARCH("Éxitoso",O26)))</formula>
    </cfRule>
  </conditionalFormatting>
  <conditionalFormatting sqref="P26">
    <cfRule type="containsText" dxfId="15622" priority="15936" operator="containsText" text="No se pudo ejecutar">
      <formula>NOT(ISERROR(SEARCH("No se pudo ejecutar",P26)))</formula>
    </cfRule>
    <cfRule type="containsText" dxfId="15621" priority="15937" operator="containsText" text="Pendiente">
      <formula>NOT(ISERROR(SEARCH("Pendiente",P26)))</formula>
    </cfRule>
    <cfRule type="containsText" dxfId="15620" priority="15938" operator="containsText" text="No Aplica">
      <formula>NOT(ISERROR(SEARCH("No Aplica",P26)))</formula>
    </cfRule>
    <cfRule type="containsText" dxfId="15619" priority="15939" operator="containsText" text="Fallido">
      <formula>NOT(ISERROR(SEARCH("Fallido",P26)))</formula>
    </cfRule>
    <cfRule type="containsText" dxfId="15618" priority="15940" operator="containsText" text="Éxitoso">
      <formula>NOT(ISERROR(SEARCH("Éxitoso",P26)))</formula>
    </cfRule>
  </conditionalFormatting>
  <conditionalFormatting sqref="Q26">
    <cfRule type="containsText" dxfId="15617" priority="15931" operator="containsText" text="No se pudo ejecutar">
      <formula>NOT(ISERROR(SEARCH("No se pudo ejecutar",Q26)))</formula>
    </cfRule>
    <cfRule type="containsText" dxfId="15616" priority="15932" operator="containsText" text="Pendiente">
      <formula>NOT(ISERROR(SEARCH("Pendiente",Q26)))</formula>
    </cfRule>
    <cfRule type="containsText" dxfId="15615" priority="15933" operator="containsText" text="No Aplica">
      <formula>NOT(ISERROR(SEARCH("No Aplica",Q26)))</formula>
    </cfRule>
    <cfRule type="containsText" dxfId="15614" priority="15934" operator="containsText" text="Fallido">
      <formula>NOT(ISERROR(SEARCH("Fallido",Q26)))</formula>
    </cfRule>
    <cfRule type="containsText" dxfId="15613" priority="15935" operator="containsText" text="Éxitoso">
      <formula>NOT(ISERROR(SEARCH("Éxitoso",Q26)))</formula>
    </cfRule>
  </conditionalFormatting>
  <conditionalFormatting sqref="R26">
    <cfRule type="containsText" dxfId="15612" priority="15926" operator="containsText" text="No se pudo ejecutar">
      <formula>NOT(ISERROR(SEARCH("No se pudo ejecutar",R26)))</formula>
    </cfRule>
    <cfRule type="containsText" dxfId="15611" priority="15927" operator="containsText" text="Pendiente">
      <formula>NOT(ISERROR(SEARCH("Pendiente",R26)))</formula>
    </cfRule>
    <cfRule type="containsText" dxfId="15610" priority="15928" operator="containsText" text="No Aplica">
      <formula>NOT(ISERROR(SEARCH("No Aplica",R26)))</formula>
    </cfRule>
    <cfRule type="containsText" dxfId="15609" priority="15929" operator="containsText" text="Fallido">
      <formula>NOT(ISERROR(SEARCH("Fallido",R26)))</formula>
    </cfRule>
    <cfRule type="containsText" dxfId="15608" priority="15930" operator="containsText" text="Éxitoso">
      <formula>NOT(ISERROR(SEARCH("Éxitoso",R26)))</formula>
    </cfRule>
  </conditionalFormatting>
  <conditionalFormatting sqref="S26">
    <cfRule type="containsText" dxfId="15607" priority="15921" operator="containsText" text="No se pudo ejecutar">
      <formula>NOT(ISERROR(SEARCH("No se pudo ejecutar",S26)))</formula>
    </cfRule>
    <cfRule type="containsText" dxfId="15606" priority="15922" operator="containsText" text="Pendiente">
      <formula>NOT(ISERROR(SEARCH("Pendiente",S26)))</formula>
    </cfRule>
    <cfRule type="containsText" dxfId="15605" priority="15923" operator="containsText" text="No Aplica">
      <formula>NOT(ISERROR(SEARCH("No Aplica",S26)))</formula>
    </cfRule>
    <cfRule type="containsText" dxfId="15604" priority="15924" operator="containsText" text="Fallido">
      <formula>NOT(ISERROR(SEARCH("Fallido",S26)))</formula>
    </cfRule>
    <cfRule type="containsText" dxfId="15603" priority="15925" operator="containsText" text="Éxitoso">
      <formula>NOT(ISERROR(SEARCH("Éxitoso",S26)))</formula>
    </cfRule>
  </conditionalFormatting>
  <conditionalFormatting sqref="T26">
    <cfRule type="containsText" dxfId="15602" priority="15916" operator="containsText" text="No se pudo ejecutar">
      <formula>NOT(ISERROR(SEARCH("No se pudo ejecutar",T26)))</formula>
    </cfRule>
    <cfRule type="containsText" dxfId="15601" priority="15917" operator="containsText" text="Pendiente">
      <formula>NOT(ISERROR(SEARCH("Pendiente",T26)))</formula>
    </cfRule>
    <cfRule type="containsText" dxfId="15600" priority="15918" operator="containsText" text="No Aplica">
      <formula>NOT(ISERROR(SEARCH("No Aplica",T26)))</formula>
    </cfRule>
    <cfRule type="containsText" dxfId="15599" priority="15919" operator="containsText" text="Fallido">
      <formula>NOT(ISERROR(SEARCH("Fallido",T26)))</formula>
    </cfRule>
    <cfRule type="containsText" dxfId="15598" priority="15920" operator="containsText" text="Éxitoso">
      <formula>NOT(ISERROR(SEARCH("Éxitoso",T26)))</formula>
    </cfRule>
  </conditionalFormatting>
  <conditionalFormatting sqref="U26">
    <cfRule type="containsText" dxfId="15597" priority="15911" operator="containsText" text="No se pudo ejecutar">
      <formula>NOT(ISERROR(SEARCH("No se pudo ejecutar",U26)))</formula>
    </cfRule>
    <cfRule type="containsText" dxfId="15596" priority="15912" operator="containsText" text="Pendiente">
      <formula>NOT(ISERROR(SEARCH("Pendiente",U26)))</formula>
    </cfRule>
    <cfRule type="containsText" dxfId="15595" priority="15913" operator="containsText" text="No Aplica">
      <formula>NOT(ISERROR(SEARCH("No Aplica",U26)))</formula>
    </cfRule>
    <cfRule type="containsText" dxfId="15594" priority="15914" operator="containsText" text="Fallido">
      <formula>NOT(ISERROR(SEARCH("Fallido",U26)))</formula>
    </cfRule>
    <cfRule type="containsText" dxfId="15593" priority="15915" operator="containsText" text="Éxitoso">
      <formula>NOT(ISERROR(SEARCH("Éxitoso",U26)))</formula>
    </cfRule>
  </conditionalFormatting>
  <conditionalFormatting sqref="V26">
    <cfRule type="containsText" dxfId="15592" priority="15906" operator="containsText" text="No se pudo ejecutar">
      <formula>NOT(ISERROR(SEARCH("No se pudo ejecutar",V26)))</formula>
    </cfRule>
    <cfRule type="containsText" dxfId="15591" priority="15907" operator="containsText" text="Pendiente">
      <formula>NOT(ISERROR(SEARCH("Pendiente",V26)))</formula>
    </cfRule>
    <cfRule type="containsText" dxfId="15590" priority="15908" operator="containsText" text="No Aplica">
      <formula>NOT(ISERROR(SEARCH("No Aplica",V26)))</formula>
    </cfRule>
    <cfRule type="containsText" dxfId="15589" priority="15909" operator="containsText" text="Fallido">
      <formula>NOT(ISERROR(SEARCH("Fallido",V26)))</formula>
    </cfRule>
    <cfRule type="containsText" dxfId="15588" priority="15910" operator="containsText" text="Éxitoso">
      <formula>NOT(ISERROR(SEARCH("Éxitoso",V26)))</formula>
    </cfRule>
  </conditionalFormatting>
  <conditionalFormatting sqref="W26">
    <cfRule type="containsText" dxfId="15587" priority="15901" operator="containsText" text="No se pudo ejecutar">
      <formula>NOT(ISERROR(SEARCH("No se pudo ejecutar",W26)))</formula>
    </cfRule>
    <cfRule type="containsText" dxfId="15586" priority="15902" operator="containsText" text="Pendiente">
      <formula>NOT(ISERROR(SEARCH("Pendiente",W26)))</formula>
    </cfRule>
    <cfRule type="containsText" dxfId="15585" priority="15903" operator="containsText" text="No Aplica">
      <formula>NOT(ISERROR(SEARCH("No Aplica",W26)))</formula>
    </cfRule>
    <cfRule type="containsText" dxfId="15584" priority="15904" operator="containsText" text="Fallido">
      <formula>NOT(ISERROR(SEARCH("Fallido",W26)))</formula>
    </cfRule>
    <cfRule type="containsText" dxfId="15583" priority="15905" operator="containsText" text="Éxitoso">
      <formula>NOT(ISERROR(SEARCH("Éxitoso",W26)))</formula>
    </cfRule>
  </conditionalFormatting>
  <conditionalFormatting sqref="M26">
    <cfRule type="containsText" dxfId="15582" priority="15896" operator="containsText" text="No se pudo ejecutar">
      <formula>NOT(ISERROR(SEARCH("No se pudo ejecutar",M26)))</formula>
    </cfRule>
    <cfRule type="containsText" dxfId="15581" priority="15897" operator="containsText" text="Pendiente">
      <formula>NOT(ISERROR(SEARCH("Pendiente",M26)))</formula>
    </cfRule>
    <cfRule type="containsText" dxfId="15580" priority="15898" operator="containsText" text="No Aplica">
      <formula>NOT(ISERROR(SEARCH("No Aplica",M26)))</formula>
    </cfRule>
    <cfRule type="containsText" dxfId="15579" priority="15899" operator="containsText" text="Fallido">
      <formula>NOT(ISERROR(SEARCH("Fallido",M26)))</formula>
    </cfRule>
    <cfRule type="containsText" dxfId="15578" priority="15900" operator="containsText" text="Éxitoso">
      <formula>NOT(ISERROR(SEARCH("Éxitoso",M26)))</formula>
    </cfRule>
  </conditionalFormatting>
  <conditionalFormatting sqref="G26">
    <cfRule type="containsText" dxfId="15577" priority="15893" operator="containsText" text="Bajo">
      <formula>NOT(ISERROR(SEARCH("Bajo",G26)))</formula>
    </cfRule>
    <cfRule type="containsText" dxfId="15576" priority="15894" operator="containsText" text="Medio">
      <formula>NOT(ISERROR(SEARCH("Medio",G26)))</formula>
    </cfRule>
    <cfRule type="containsText" dxfId="15575" priority="15895" operator="containsText" text="Alto">
      <formula>NOT(ISERROR(SEARCH("Alto",G26)))</formula>
    </cfRule>
  </conditionalFormatting>
  <conditionalFormatting sqref="N27">
    <cfRule type="containsText" dxfId="15574" priority="15888" operator="containsText" text="No se pudo ejecutar">
      <formula>NOT(ISERROR(SEARCH("No se pudo ejecutar",N27)))</formula>
    </cfRule>
    <cfRule type="containsText" dxfId="15573" priority="15889" operator="containsText" text="Pendiente">
      <formula>NOT(ISERROR(SEARCH("Pendiente",N27)))</formula>
    </cfRule>
    <cfRule type="containsText" dxfId="15572" priority="15890" operator="containsText" text="No Aplica">
      <formula>NOT(ISERROR(SEARCH("No Aplica",N27)))</formula>
    </cfRule>
    <cfRule type="containsText" dxfId="15571" priority="15891" operator="containsText" text="Fallido">
      <formula>NOT(ISERROR(SEARCH("Fallido",N27)))</formula>
    </cfRule>
    <cfRule type="containsText" dxfId="15570" priority="15892" operator="containsText" text="Éxitoso">
      <formula>NOT(ISERROR(SEARCH("Éxitoso",N27)))</formula>
    </cfRule>
  </conditionalFormatting>
  <conditionalFormatting sqref="O27">
    <cfRule type="containsText" dxfId="15569" priority="15883" operator="containsText" text="No se pudo ejecutar">
      <formula>NOT(ISERROR(SEARCH("No se pudo ejecutar",O27)))</formula>
    </cfRule>
    <cfRule type="containsText" dxfId="15568" priority="15884" operator="containsText" text="Pendiente">
      <formula>NOT(ISERROR(SEARCH("Pendiente",O27)))</formula>
    </cfRule>
    <cfRule type="containsText" dxfId="15567" priority="15885" operator="containsText" text="No Aplica">
      <formula>NOT(ISERROR(SEARCH("No Aplica",O27)))</formula>
    </cfRule>
    <cfRule type="containsText" dxfId="15566" priority="15886" operator="containsText" text="Fallido">
      <formula>NOT(ISERROR(SEARCH("Fallido",O27)))</formula>
    </cfRule>
    <cfRule type="containsText" dxfId="15565" priority="15887" operator="containsText" text="Éxitoso">
      <formula>NOT(ISERROR(SEARCH("Éxitoso",O27)))</formula>
    </cfRule>
  </conditionalFormatting>
  <conditionalFormatting sqref="P27">
    <cfRule type="containsText" dxfId="15564" priority="15878" operator="containsText" text="No se pudo ejecutar">
      <formula>NOT(ISERROR(SEARCH("No se pudo ejecutar",P27)))</formula>
    </cfRule>
    <cfRule type="containsText" dxfId="15563" priority="15879" operator="containsText" text="Pendiente">
      <formula>NOT(ISERROR(SEARCH("Pendiente",P27)))</formula>
    </cfRule>
    <cfRule type="containsText" dxfId="15562" priority="15880" operator="containsText" text="No Aplica">
      <formula>NOT(ISERROR(SEARCH("No Aplica",P27)))</formula>
    </cfRule>
    <cfRule type="containsText" dxfId="15561" priority="15881" operator="containsText" text="Fallido">
      <formula>NOT(ISERROR(SEARCH("Fallido",P27)))</formula>
    </cfRule>
    <cfRule type="containsText" dxfId="15560" priority="15882" operator="containsText" text="Éxitoso">
      <formula>NOT(ISERROR(SEARCH("Éxitoso",P27)))</formula>
    </cfRule>
  </conditionalFormatting>
  <conditionalFormatting sqref="Q27">
    <cfRule type="containsText" dxfId="15559" priority="15873" operator="containsText" text="No se pudo ejecutar">
      <formula>NOT(ISERROR(SEARCH("No se pudo ejecutar",Q27)))</formula>
    </cfRule>
    <cfRule type="containsText" dxfId="15558" priority="15874" operator="containsText" text="Pendiente">
      <formula>NOT(ISERROR(SEARCH("Pendiente",Q27)))</formula>
    </cfRule>
    <cfRule type="containsText" dxfId="15557" priority="15875" operator="containsText" text="No Aplica">
      <formula>NOT(ISERROR(SEARCH("No Aplica",Q27)))</formula>
    </cfRule>
    <cfRule type="containsText" dxfId="15556" priority="15876" operator="containsText" text="Fallido">
      <formula>NOT(ISERROR(SEARCH("Fallido",Q27)))</formula>
    </cfRule>
    <cfRule type="containsText" dxfId="15555" priority="15877" operator="containsText" text="Éxitoso">
      <formula>NOT(ISERROR(SEARCH("Éxitoso",Q27)))</formula>
    </cfRule>
  </conditionalFormatting>
  <conditionalFormatting sqref="R27">
    <cfRule type="containsText" dxfId="15554" priority="15868" operator="containsText" text="No se pudo ejecutar">
      <formula>NOT(ISERROR(SEARCH("No se pudo ejecutar",R27)))</formula>
    </cfRule>
    <cfRule type="containsText" dxfId="15553" priority="15869" operator="containsText" text="Pendiente">
      <formula>NOT(ISERROR(SEARCH("Pendiente",R27)))</formula>
    </cfRule>
    <cfRule type="containsText" dxfId="15552" priority="15870" operator="containsText" text="No Aplica">
      <formula>NOT(ISERROR(SEARCH("No Aplica",R27)))</formula>
    </cfRule>
    <cfRule type="containsText" dxfId="15551" priority="15871" operator="containsText" text="Fallido">
      <formula>NOT(ISERROR(SEARCH("Fallido",R27)))</formula>
    </cfRule>
    <cfRule type="containsText" dxfId="15550" priority="15872" operator="containsText" text="Éxitoso">
      <formula>NOT(ISERROR(SEARCH("Éxitoso",R27)))</formula>
    </cfRule>
  </conditionalFormatting>
  <conditionalFormatting sqref="S27">
    <cfRule type="containsText" dxfId="15549" priority="15863" operator="containsText" text="No se pudo ejecutar">
      <formula>NOT(ISERROR(SEARCH("No se pudo ejecutar",S27)))</formula>
    </cfRule>
    <cfRule type="containsText" dxfId="15548" priority="15864" operator="containsText" text="Pendiente">
      <formula>NOT(ISERROR(SEARCH("Pendiente",S27)))</formula>
    </cfRule>
    <cfRule type="containsText" dxfId="15547" priority="15865" operator="containsText" text="No Aplica">
      <formula>NOT(ISERROR(SEARCH("No Aplica",S27)))</formula>
    </cfRule>
    <cfRule type="containsText" dxfId="15546" priority="15866" operator="containsText" text="Fallido">
      <formula>NOT(ISERROR(SEARCH("Fallido",S27)))</formula>
    </cfRule>
    <cfRule type="containsText" dxfId="15545" priority="15867" operator="containsText" text="Éxitoso">
      <formula>NOT(ISERROR(SEARCH("Éxitoso",S27)))</formula>
    </cfRule>
  </conditionalFormatting>
  <conditionalFormatting sqref="T27">
    <cfRule type="containsText" dxfId="15544" priority="15858" operator="containsText" text="No se pudo ejecutar">
      <formula>NOT(ISERROR(SEARCH("No se pudo ejecutar",T27)))</formula>
    </cfRule>
    <cfRule type="containsText" dxfId="15543" priority="15859" operator="containsText" text="Pendiente">
      <formula>NOT(ISERROR(SEARCH("Pendiente",T27)))</formula>
    </cfRule>
    <cfRule type="containsText" dxfId="15542" priority="15860" operator="containsText" text="No Aplica">
      <formula>NOT(ISERROR(SEARCH("No Aplica",T27)))</formula>
    </cfRule>
    <cfRule type="containsText" dxfId="15541" priority="15861" operator="containsText" text="Fallido">
      <formula>NOT(ISERROR(SEARCH("Fallido",T27)))</formula>
    </cfRule>
    <cfRule type="containsText" dxfId="15540" priority="15862" operator="containsText" text="Éxitoso">
      <formula>NOT(ISERROR(SEARCH("Éxitoso",T27)))</formula>
    </cfRule>
  </conditionalFormatting>
  <conditionalFormatting sqref="U27">
    <cfRule type="containsText" dxfId="15539" priority="15853" operator="containsText" text="No se pudo ejecutar">
      <formula>NOT(ISERROR(SEARCH("No se pudo ejecutar",U27)))</formula>
    </cfRule>
    <cfRule type="containsText" dxfId="15538" priority="15854" operator="containsText" text="Pendiente">
      <formula>NOT(ISERROR(SEARCH("Pendiente",U27)))</formula>
    </cfRule>
    <cfRule type="containsText" dxfId="15537" priority="15855" operator="containsText" text="No Aplica">
      <formula>NOT(ISERROR(SEARCH("No Aplica",U27)))</formula>
    </cfRule>
    <cfRule type="containsText" dxfId="15536" priority="15856" operator="containsText" text="Fallido">
      <formula>NOT(ISERROR(SEARCH("Fallido",U27)))</formula>
    </cfRule>
    <cfRule type="containsText" dxfId="15535" priority="15857" operator="containsText" text="Éxitoso">
      <formula>NOT(ISERROR(SEARCH("Éxitoso",U27)))</formula>
    </cfRule>
  </conditionalFormatting>
  <conditionalFormatting sqref="V27">
    <cfRule type="containsText" dxfId="15534" priority="15848" operator="containsText" text="No se pudo ejecutar">
      <formula>NOT(ISERROR(SEARCH("No se pudo ejecutar",V27)))</formula>
    </cfRule>
    <cfRule type="containsText" dxfId="15533" priority="15849" operator="containsText" text="Pendiente">
      <formula>NOT(ISERROR(SEARCH("Pendiente",V27)))</formula>
    </cfRule>
    <cfRule type="containsText" dxfId="15532" priority="15850" operator="containsText" text="No Aplica">
      <formula>NOT(ISERROR(SEARCH("No Aplica",V27)))</formula>
    </cfRule>
    <cfRule type="containsText" dxfId="15531" priority="15851" operator="containsText" text="Fallido">
      <formula>NOT(ISERROR(SEARCH("Fallido",V27)))</formula>
    </cfRule>
    <cfRule type="containsText" dxfId="15530" priority="15852" operator="containsText" text="Éxitoso">
      <formula>NOT(ISERROR(SEARCH("Éxitoso",V27)))</formula>
    </cfRule>
  </conditionalFormatting>
  <conditionalFormatting sqref="W27">
    <cfRule type="containsText" dxfId="15529" priority="15843" operator="containsText" text="No se pudo ejecutar">
      <formula>NOT(ISERROR(SEARCH("No se pudo ejecutar",W27)))</formula>
    </cfRule>
    <cfRule type="containsText" dxfId="15528" priority="15844" operator="containsText" text="Pendiente">
      <formula>NOT(ISERROR(SEARCH("Pendiente",W27)))</formula>
    </cfRule>
    <cfRule type="containsText" dxfId="15527" priority="15845" operator="containsText" text="No Aplica">
      <formula>NOT(ISERROR(SEARCH("No Aplica",W27)))</formula>
    </cfRule>
    <cfRule type="containsText" dxfId="15526" priority="15846" operator="containsText" text="Fallido">
      <formula>NOT(ISERROR(SEARCH("Fallido",W27)))</formula>
    </cfRule>
    <cfRule type="containsText" dxfId="15525" priority="15847" operator="containsText" text="Éxitoso">
      <formula>NOT(ISERROR(SEARCH("Éxitoso",W27)))</formula>
    </cfRule>
  </conditionalFormatting>
  <conditionalFormatting sqref="M27">
    <cfRule type="containsText" dxfId="15524" priority="15838" operator="containsText" text="No se pudo ejecutar">
      <formula>NOT(ISERROR(SEARCH("No se pudo ejecutar",M27)))</formula>
    </cfRule>
    <cfRule type="containsText" dxfId="15523" priority="15839" operator="containsText" text="Pendiente">
      <formula>NOT(ISERROR(SEARCH("Pendiente",M27)))</formula>
    </cfRule>
    <cfRule type="containsText" dxfId="15522" priority="15840" operator="containsText" text="No Aplica">
      <formula>NOT(ISERROR(SEARCH("No Aplica",M27)))</formula>
    </cfRule>
    <cfRule type="containsText" dxfId="15521" priority="15841" operator="containsText" text="Fallido">
      <formula>NOT(ISERROR(SEARCH("Fallido",M27)))</formula>
    </cfRule>
    <cfRule type="containsText" dxfId="15520" priority="15842" operator="containsText" text="Éxitoso">
      <formula>NOT(ISERROR(SEARCH("Éxitoso",M27)))</formula>
    </cfRule>
  </conditionalFormatting>
  <conditionalFormatting sqref="G27">
    <cfRule type="containsText" dxfId="15519" priority="15835" operator="containsText" text="Bajo">
      <formula>NOT(ISERROR(SEARCH("Bajo",G27)))</formula>
    </cfRule>
    <cfRule type="containsText" dxfId="15518" priority="15836" operator="containsText" text="Medio">
      <formula>NOT(ISERROR(SEARCH("Medio",G27)))</formula>
    </cfRule>
    <cfRule type="containsText" dxfId="15517" priority="15837" operator="containsText" text="Alto">
      <formula>NOT(ISERROR(SEARCH("Alto",G27)))</formula>
    </cfRule>
  </conditionalFormatting>
  <conditionalFormatting sqref="N28">
    <cfRule type="containsText" dxfId="15516" priority="15830" operator="containsText" text="No se pudo ejecutar">
      <formula>NOT(ISERROR(SEARCH("No se pudo ejecutar",N28)))</formula>
    </cfRule>
    <cfRule type="containsText" dxfId="15515" priority="15831" operator="containsText" text="Pendiente">
      <formula>NOT(ISERROR(SEARCH("Pendiente",N28)))</formula>
    </cfRule>
    <cfRule type="containsText" dxfId="15514" priority="15832" operator="containsText" text="No Aplica">
      <formula>NOT(ISERROR(SEARCH("No Aplica",N28)))</formula>
    </cfRule>
    <cfRule type="containsText" dxfId="15513" priority="15833" operator="containsText" text="Fallido">
      <formula>NOT(ISERROR(SEARCH("Fallido",N28)))</formula>
    </cfRule>
    <cfRule type="containsText" dxfId="15512" priority="15834" operator="containsText" text="Éxitoso">
      <formula>NOT(ISERROR(SEARCH("Éxitoso",N28)))</formula>
    </cfRule>
  </conditionalFormatting>
  <conditionalFormatting sqref="O28">
    <cfRule type="containsText" dxfId="15511" priority="15825" operator="containsText" text="No se pudo ejecutar">
      <formula>NOT(ISERROR(SEARCH("No se pudo ejecutar",O28)))</formula>
    </cfRule>
    <cfRule type="containsText" dxfId="15510" priority="15826" operator="containsText" text="Pendiente">
      <formula>NOT(ISERROR(SEARCH("Pendiente",O28)))</formula>
    </cfRule>
    <cfRule type="containsText" dxfId="15509" priority="15827" operator="containsText" text="No Aplica">
      <formula>NOT(ISERROR(SEARCH("No Aplica",O28)))</formula>
    </cfRule>
    <cfRule type="containsText" dxfId="15508" priority="15828" operator="containsText" text="Fallido">
      <formula>NOT(ISERROR(SEARCH("Fallido",O28)))</formula>
    </cfRule>
    <cfRule type="containsText" dxfId="15507" priority="15829" operator="containsText" text="Éxitoso">
      <formula>NOT(ISERROR(SEARCH("Éxitoso",O28)))</formula>
    </cfRule>
  </conditionalFormatting>
  <conditionalFormatting sqref="P28">
    <cfRule type="containsText" dxfId="15506" priority="15820" operator="containsText" text="No se pudo ejecutar">
      <formula>NOT(ISERROR(SEARCH("No se pudo ejecutar",P28)))</formula>
    </cfRule>
    <cfRule type="containsText" dxfId="15505" priority="15821" operator="containsText" text="Pendiente">
      <formula>NOT(ISERROR(SEARCH("Pendiente",P28)))</formula>
    </cfRule>
    <cfRule type="containsText" dxfId="15504" priority="15822" operator="containsText" text="No Aplica">
      <formula>NOT(ISERROR(SEARCH("No Aplica",P28)))</formula>
    </cfRule>
    <cfRule type="containsText" dxfId="15503" priority="15823" operator="containsText" text="Fallido">
      <formula>NOT(ISERROR(SEARCH("Fallido",P28)))</formula>
    </cfRule>
    <cfRule type="containsText" dxfId="15502" priority="15824" operator="containsText" text="Éxitoso">
      <formula>NOT(ISERROR(SEARCH("Éxitoso",P28)))</formula>
    </cfRule>
  </conditionalFormatting>
  <conditionalFormatting sqref="Q28">
    <cfRule type="containsText" dxfId="15501" priority="15815" operator="containsText" text="No se pudo ejecutar">
      <formula>NOT(ISERROR(SEARCH("No se pudo ejecutar",Q28)))</formula>
    </cfRule>
    <cfRule type="containsText" dxfId="15500" priority="15816" operator="containsText" text="Pendiente">
      <formula>NOT(ISERROR(SEARCH("Pendiente",Q28)))</formula>
    </cfRule>
    <cfRule type="containsText" dxfId="15499" priority="15817" operator="containsText" text="No Aplica">
      <formula>NOT(ISERROR(SEARCH("No Aplica",Q28)))</formula>
    </cfRule>
    <cfRule type="containsText" dxfId="15498" priority="15818" operator="containsText" text="Fallido">
      <formula>NOT(ISERROR(SEARCH("Fallido",Q28)))</formula>
    </cfRule>
    <cfRule type="containsText" dxfId="15497" priority="15819" operator="containsText" text="Éxitoso">
      <formula>NOT(ISERROR(SEARCH("Éxitoso",Q28)))</formula>
    </cfRule>
  </conditionalFormatting>
  <conditionalFormatting sqref="R28">
    <cfRule type="containsText" dxfId="15496" priority="15810" operator="containsText" text="No se pudo ejecutar">
      <formula>NOT(ISERROR(SEARCH("No se pudo ejecutar",R28)))</formula>
    </cfRule>
    <cfRule type="containsText" dxfId="15495" priority="15811" operator="containsText" text="Pendiente">
      <formula>NOT(ISERROR(SEARCH("Pendiente",R28)))</formula>
    </cfRule>
    <cfRule type="containsText" dxfId="15494" priority="15812" operator="containsText" text="No Aplica">
      <formula>NOT(ISERROR(SEARCH("No Aplica",R28)))</formula>
    </cfRule>
    <cfRule type="containsText" dxfId="15493" priority="15813" operator="containsText" text="Fallido">
      <formula>NOT(ISERROR(SEARCH("Fallido",R28)))</formula>
    </cfRule>
    <cfRule type="containsText" dxfId="15492" priority="15814" operator="containsText" text="Éxitoso">
      <formula>NOT(ISERROR(SEARCH("Éxitoso",R28)))</formula>
    </cfRule>
  </conditionalFormatting>
  <conditionalFormatting sqref="S28">
    <cfRule type="containsText" dxfId="15491" priority="15805" operator="containsText" text="No se pudo ejecutar">
      <formula>NOT(ISERROR(SEARCH("No se pudo ejecutar",S28)))</formula>
    </cfRule>
    <cfRule type="containsText" dxfId="15490" priority="15806" operator="containsText" text="Pendiente">
      <formula>NOT(ISERROR(SEARCH("Pendiente",S28)))</formula>
    </cfRule>
    <cfRule type="containsText" dxfId="15489" priority="15807" operator="containsText" text="No Aplica">
      <formula>NOT(ISERROR(SEARCH("No Aplica",S28)))</formula>
    </cfRule>
    <cfRule type="containsText" dxfId="15488" priority="15808" operator="containsText" text="Fallido">
      <formula>NOT(ISERROR(SEARCH("Fallido",S28)))</formula>
    </cfRule>
    <cfRule type="containsText" dxfId="15487" priority="15809" operator="containsText" text="Éxitoso">
      <formula>NOT(ISERROR(SEARCH("Éxitoso",S28)))</formula>
    </cfRule>
  </conditionalFormatting>
  <conditionalFormatting sqref="T28">
    <cfRule type="containsText" dxfId="15486" priority="15800" operator="containsText" text="No se pudo ejecutar">
      <formula>NOT(ISERROR(SEARCH("No se pudo ejecutar",T28)))</formula>
    </cfRule>
    <cfRule type="containsText" dxfId="15485" priority="15801" operator="containsText" text="Pendiente">
      <formula>NOT(ISERROR(SEARCH("Pendiente",T28)))</formula>
    </cfRule>
    <cfRule type="containsText" dxfId="15484" priority="15802" operator="containsText" text="No Aplica">
      <formula>NOT(ISERROR(SEARCH("No Aplica",T28)))</formula>
    </cfRule>
    <cfRule type="containsText" dxfId="15483" priority="15803" operator="containsText" text="Fallido">
      <formula>NOT(ISERROR(SEARCH("Fallido",T28)))</formula>
    </cfRule>
    <cfRule type="containsText" dxfId="15482" priority="15804" operator="containsText" text="Éxitoso">
      <formula>NOT(ISERROR(SEARCH("Éxitoso",T28)))</formula>
    </cfRule>
  </conditionalFormatting>
  <conditionalFormatting sqref="U28">
    <cfRule type="containsText" dxfId="15481" priority="15795" operator="containsText" text="No se pudo ejecutar">
      <formula>NOT(ISERROR(SEARCH("No se pudo ejecutar",U28)))</formula>
    </cfRule>
    <cfRule type="containsText" dxfId="15480" priority="15796" operator="containsText" text="Pendiente">
      <formula>NOT(ISERROR(SEARCH("Pendiente",U28)))</formula>
    </cfRule>
    <cfRule type="containsText" dxfId="15479" priority="15797" operator="containsText" text="No Aplica">
      <formula>NOT(ISERROR(SEARCH("No Aplica",U28)))</formula>
    </cfRule>
    <cfRule type="containsText" dxfId="15478" priority="15798" operator="containsText" text="Fallido">
      <formula>NOT(ISERROR(SEARCH("Fallido",U28)))</formula>
    </cfRule>
    <cfRule type="containsText" dxfId="15477" priority="15799" operator="containsText" text="Éxitoso">
      <formula>NOT(ISERROR(SEARCH("Éxitoso",U28)))</formula>
    </cfRule>
  </conditionalFormatting>
  <conditionalFormatting sqref="V28">
    <cfRule type="containsText" dxfId="15476" priority="15790" operator="containsText" text="No se pudo ejecutar">
      <formula>NOT(ISERROR(SEARCH("No se pudo ejecutar",V28)))</formula>
    </cfRule>
    <cfRule type="containsText" dxfId="15475" priority="15791" operator="containsText" text="Pendiente">
      <formula>NOT(ISERROR(SEARCH("Pendiente",V28)))</formula>
    </cfRule>
    <cfRule type="containsText" dxfId="15474" priority="15792" operator="containsText" text="No Aplica">
      <formula>NOT(ISERROR(SEARCH("No Aplica",V28)))</formula>
    </cfRule>
    <cfRule type="containsText" dxfId="15473" priority="15793" operator="containsText" text="Fallido">
      <formula>NOT(ISERROR(SEARCH("Fallido",V28)))</formula>
    </cfRule>
    <cfRule type="containsText" dxfId="15472" priority="15794" operator="containsText" text="Éxitoso">
      <formula>NOT(ISERROR(SEARCH("Éxitoso",V28)))</formula>
    </cfRule>
  </conditionalFormatting>
  <conditionalFormatting sqref="W28">
    <cfRule type="containsText" dxfId="15471" priority="15785" operator="containsText" text="No se pudo ejecutar">
      <formula>NOT(ISERROR(SEARCH("No se pudo ejecutar",W28)))</formula>
    </cfRule>
    <cfRule type="containsText" dxfId="15470" priority="15786" operator="containsText" text="Pendiente">
      <formula>NOT(ISERROR(SEARCH("Pendiente",W28)))</formula>
    </cfRule>
    <cfRule type="containsText" dxfId="15469" priority="15787" operator="containsText" text="No Aplica">
      <formula>NOT(ISERROR(SEARCH("No Aplica",W28)))</formula>
    </cfRule>
    <cfRule type="containsText" dxfId="15468" priority="15788" operator="containsText" text="Fallido">
      <formula>NOT(ISERROR(SEARCH("Fallido",W28)))</formula>
    </cfRule>
    <cfRule type="containsText" dxfId="15467" priority="15789" operator="containsText" text="Éxitoso">
      <formula>NOT(ISERROR(SEARCH("Éxitoso",W28)))</formula>
    </cfRule>
  </conditionalFormatting>
  <conditionalFormatting sqref="M28">
    <cfRule type="containsText" dxfId="15466" priority="15780" operator="containsText" text="No se pudo ejecutar">
      <formula>NOT(ISERROR(SEARCH("No se pudo ejecutar",M28)))</formula>
    </cfRule>
    <cfRule type="containsText" dxfId="15465" priority="15781" operator="containsText" text="Pendiente">
      <formula>NOT(ISERROR(SEARCH("Pendiente",M28)))</formula>
    </cfRule>
    <cfRule type="containsText" dxfId="15464" priority="15782" operator="containsText" text="No Aplica">
      <formula>NOT(ISERROR(SEARCH("No Aplica",M28)))</formula>
    </cfRule>
    <cfRule type="containsText" dxfId="15463" priority="15783" operator="containsText" text="Fallido">
      <formula>NOT(ISERROR(SEARCH("Fallido",M28)))</formula>
    </cfRule>
    <cfRule type="containsText" dxfId="15462" priority="15784" operator="containsText" text="Éxitoso">
      <formula>NOT(ISERROR(SEARCH("Éxitoso",M28)))</formula>
    </cfRule>
  </conditionalFormatting>
  <conditionalFormatting sqref="G28">
    <cfRule type="containsText" dxfId="15461" priority="15777" operator="containsText" text="Bajo">
      <formula>NOT(ISERROR(SEARCH("Bajo",G28)))</formula>
    </cfRule>
    <cfRule type="containsText" dxfId="15460" priority="15778" operator="containsText" text="Medio">
      <formula>NOT(ISERROR(SEARCH("Medio",G28)))</formula>
    </cfRule>
    <cfRule type="containsText" dxfId="15459" priority="15779" operator="containsText" text="Alto">
      <formula>NOT(ISERROR(SEARCH("Alto",G28)))</formula>
    </cfRule>
  </conditionalFormatting>
  <conditionalFormatting sqref="N29">
    <cfRule type="containsText" dxfId="15458" priority="15772" operator="containsText" text="No se pudo ejecutar">
      <formula>NOT(ISERROR(SEARCH("No se pudo ejecutar",N29)))</formula>
    </cfRule>
    <cfRule type="containsText" dxfId="15457" priority="15773" operator="containsText" text="Pendiente">
      <formula>NOT(ISERROR(SEARCH("Pendiente",N29)))</formula>
    </cfRule>
    <cfRule type="containsText" dxfId="15456" priority="15774" operator="containsText" text="No Aplica">
      <formula>NOT(ISERROR(SEARCH("No Aplica",N29)))</formula>
    </cfRule>
    <cfRule type="containsText" dxfId="15455" priority="15775" operator="containsText" text="Fallido">
      <formula>NOT(ISERROR(SEARCH("Fallido",N29)))</formula>
    </cfRule>
    <cfRule type="containsText" dxfId="15454" priority="15776" operator="containsText" text="Éxitoso">
      <formula>NOT(ISERROR(SEARCH("Éxitoso",N29)))</formula>
    </cfRule>
  </conditionalFormatting>
  <conditionalFormatting sqref="O29">
    <cfRule type="containsText" dxfId="15453" priority="15767" operator="containsText" text="No se pudo ejecutar">
      <formula>NOT(ISERROR(SEARCH("No se pudo ejecutar",O29)))</formula>
    </cfRule>
    <cfRule type="containsText" dxfId="15452" priority="15768" operator="containsText" text="Pendiente">
      <formula>NOT(ISERROR(SEARCH("Pendiente",O29)))</formula>
    </cfRule>
    <cfRule type="containsText" dxfId="15451" priority="15769" operator="containsText" text="No Aplica">
      <formula>NOT(ISERROR(SEARCH("No Aplica",O29)))</formula>
    </cfRule>
    <cfRule type="containsText" dxfId="15450" priority="15770" operator="containsText" text="Fallido">
      <formula>NOT(ISERROR(SEARCH("Fallido",O29)))</formula>
    </cfRule>
    <cfRule type="containsText" dxfId="15449" priority="15771" operator="containsText" text="Éxitoso">
      <formula>NOT(ISERROR(SEARCH("Éxitoso",O29)))</formula>
    </cfRule>
  </conditionalFormatting>
  <conditionalFormatting sqref="P29">
    <cfRule type="containsText" dxfId="15448" priority="15762" operator="containsText" text="No se pudo ejecutar">
      <formula>NOT(ISERROR(SEARCH("No se pudo ejecutar",P29)))</formula>
    </cfRule>
    <cfRule type="containsText" dxfId="15447" priority="15763" operator="containsText" text="Pendiente">
      <formula>NOT(ISERROR(SEARCH("Pendiente",P29)))</formula>
    </cfRule>
    <cfRule type="containsText" dxfId="15446" priority="15764" operator="containsText" text="No Aplica">
      <formula>NOT(ISERROR(SEARCH("No Aplica",P29)))</formula>
    </cfRule>
    <cfRule type="containsText" dxfId="15445" priority="15765" operator="containsText" text="Fallido">
      <formula>NOT(ISERROR(SEARCH("Fallido",P29)))</formula>
    </cfRule>
    <cfRule type="containsText" dxfId="15444" priority="15766" operator="containsText" text="Éxitoso">
      <formula>NOT(ISERROR(SEARCH("Éxitoso",P29)))</formula>
    </cfRule>
  </conditionalFormatting>
  <conditionalFormatting sqref="Q29">
    <cfRule type="containsText" dxfId="15443" priority="15757" operator="containsText" text="No se pudo ejecutar">
      <formula>NOT(ISERROR(SEARCH("No se pudo ejecutar",Q29)))</formula>
    </cfRule>
    <cfRule type="containsText" dxfId="15442" priority="15758" operator="containsText" text="Pendiente">
      <formula>NOT(ISERROR(SEARCH("Pendiente",Q29)))</formula>
    </cfRule>
    <cfRule type="containsText" dxfId="15441" priority="15759" operator="containsText" text="No Aplica">
      <formula>NOT(ISERROR(SEARCH("No Aplica",Q29)))</formula>
    </cfRule>
    <cfRule type="containsText" dxfId="15440" priority="15760" operator="containsText" text="Fallido">
      <formula>NOT(ISERROR(SEARCH("Fallido",Q29)))</formula>
    </cfRule>
    <cfRule type="containsText" dxfId="15439" priority="15761" operator="containsText" text="Éxitoso">
      <formula>NOT(ISERROR(SEARCH("Éxitoso",Q29)))</formula>
    </cfRule>
  </conditionalFormatting>
  <conditionalFormatting sqref="R29">
    <cfRule type="containsText" dxfId="15438" priority="15752" operator="containsText" text="No se pudo ejecutar">
      <formula>NOT(ISERROR(SEARCH("No se pudo ejecutar",R29)))</formula>
    </cfRule>
    <cfRule type="containsText" dxfId="15437" priority="15753" operator="containsText" text="Pendiente">
      <formula>NOT(ISERROR(SEARCH("Pendiente",R29)))</formula>
    </cfRule>
    <cfRule type="containsText" dxfId="15436" priority="15754" operator="containsText" text="No Aplica">
      <formula>NOT(ISERROR(SEARCH("No Aplica",R29)))</formula>
    </cfRule>
    <cfRule type="containsText" dxfId="15435" priority="15755" operator="containsText" text="Fallido">
      <formula>NOT(ISERROR(SEARCH("Fallido",R29)))</formula>
    </cfRule>
    <cfRule type="containsText" dxfId="15434" priority="15756" operator="containsText" text="Éxitoso">
      <formula>NOT(ISERROR(SEARCH("Éxitoso",R29)))</formula>
    </cfRule>
  </conditionalFormatting>
  <conditionalFormatting sqref="S29">
    <cfRule type="containsText" dxfId="15433" priority="15747" operator="containsText" text="No se pudo ejecutar">
      <formula>NOT(ISERROR(SEARCH("No se pudo ejecutar",S29)))</formula>
    </cfRule>
    <cfRule type="containsText" dxfId="15432" priority="15748" operator="containsText" text="Pendiente">
      <formula>NOT(ISERROR(SEARCH("Pendiente",S29)))</formula>
    </cfRule>
    <cfRule type="containsText" dxfId="15431" priority="15749" operator="containsText" text="No Aplica">
      <formula>NOT(ISERROR(SEARCH("No Aplica",S29)))</formula>
    </cfRule>
    <cfRule type="containsText" dxfId="15430" priority="15750" operator="containsText" text="Fallido">
      <formula>NOT(ISERROR(SEARCH("Fallido",S29)))</formula>
    </cfRule>
    <cfRule type="containsText" dxfId="15429" priority="15751" operator="containsText" text="Éxitoso">
      <formula>NOT(ISERROR(SEARCH("Éxitoso",S29)))</formula>
    </cfRule>
  </conditionalFormatting>
  <conditionalFormatting sqref="T29">
    <cfRule type="containsText" dxfId="15428" priority="15742" operator="containsText" text="No se pudo ejecutar">
      <formula>NOT(ISERROR(SEARCH("No se pudo ejecutar",T29)))</formula>
    </cfRule>
    <cfRule type="containsText" dxfId="15427" priority="15743" operator="containsText" text="Pendiente">
      <formula>NOT(ISERROR(SEARCH("Pendiente",T29)))</formula>
    </cfRule>
    <cfRule type="containsText" dxfId="15426" priority="15744" operator="containsText" text="No Aplica">
      <formula>NOT(ISERROR(SEARCH("No Aplica",T29)))</formula>
    </cfRule>
    <cfRule type="containsText" dxfId="15425" priority="15745" operator="containsText" text="Fallido">
      <formula>NOT(ISERROR(SEARCH("Fallido",T29)))</formula>
    </cfRule>
    <cfRule type="containsText" dxfId="15424" priority="15746" operator="containsText" text="Éxitoso">
      <formula>NOT(ISERROR(SEARCH("Éxitoso",T29)))</formula>
    </cfRule>
  </conditionalFormatting>
  <conditionalFormatting sqref="U29">
    <cfRule type="containsText" dxfId="15423" priority="15737" operator="containsText" text="No se pudo ejecutar">
      <formula>NOT(ISERROR(SEARCH("No se pudo ejecutar",U29)))</formula>
    </cfRule>
    <cfRule type="containsText" dxfId="15422" priority="15738" operator="containsText" text="Pendiente">
      <formula>NOT(ISERROR(SEARCH("Pendiente",U29)))</formula>
    </cfRule>
    <cfRule type="containsText" dxfId="15421" priority="15739" operator="containsText" text="No Aplica">
      <formula>NOT(ISERROR(SEARCH("No Aplica",U29)))</formula>
    </cfRule>
    <cfRule type="containsText" dxfId="15420" priority="15740" operator="containsText" text="Fallido">
      <formula>NOT(ISERROR(SEARCH("Fallido",U29)))</formula>
    </cfRule>
    <cfRule type="containsText" dxfId="15419" priority="15741" operator="containsText" text="Éxitoso">
      <formula>NOT(ISERROR(SEARCH("Éxitoso",U29)))</formula>
    </cfRule>
  </conditionalFormatting>
  <conditionalFormatting sqref="V29">
    <cfRule type="containsText" dxfId="15418" priority="15732" operator="containsText" text="No se pudo ejecutar">
      <formula>NOT(ISERROR(SEARCH("No se pudo ejecutar",V29)))</formula>
    </cfRule>
    <cfRule type="containsText" dxfId="15417" priority="15733" operator="containsText" text="Pendiente">
      <formula>NOT(ISERROR(SEARCH("Pendiente",V29)))</formula>
    </cfRule>
    <cfRule type="containsText" dxfId="15416" priority="15734" operator="containsText" text="No Aplica">
      <formula>NOT(ISERROR(SEARCH("No Aplica",V29)))</formula>
    </cfRule>
    <cfRule type="containsText" dxfId="15415" priority="15735" operator="containsText" text="Fallido">
      <formula>NOT(ISERROR(SEARCH("Fallido",V29)))</formula>
    </cfRule>
    <cfRule type="containsText" dxfId="15414" priority="15736" operator="containsText" text="Éxitoso">
      <formula>NOT(ISERROR(SEARCH("Éxitoso",V29)))</formula>
    </cfRule>
  </conditionalFormatting>
  <conditionalFormatting sqref="W29">
    <cfRule type="containsText" dxfId="15413" priority="15727" operator="containsText" text="No se pudo ejecutar">
      <formula>NOT(ISERROR(SEARCH("No se pudo ejecutar",W29)))</formula>
    </cfRule>
    <cfRule type="containsText" dxfId="15412" priority="15728" operator="containsText" text="Pendiente">
      <formula>NOT(ISERROR(SEARCH("Pendiente",W29)))</formula>
    </cfRule>
    <cfRule type="containsText" dxfId="15411" priority="15729" operator="containsText" text="No Aplica">
      <formula>NOT(ISERROR(SEARCH("No Aplica",W29)))</formula>
    </cfRule>
    <cfRule type="containsText" dxfId="15410" priority="15730" operator="containsText" text="Fallido">
      <formula>NOT(ISERROR(SEARCH("Fallido",W29)))</formula>
    </cfRule>
    <cfRule type="containsText" dxfId="15409" priority="15731" operator="containsText" text="Éxitoso">
      <formula>NOT(ISERROR(SEARCH("Éxitoso",W29)))</formula>
    </cfRule>
  </conditionalFormatting>
  <conditionalFormatting sqref="M29">
    <cfRule type="containsText" dxfId="15408" priority="15722" operator="containsText" text="No se pudo ejecutar">
      <formula>NOT(ISERROR(SEARCH("No se pudo ejecutar",M29)))</formula>
    </cfRule>
    <cfRule type="containsText" dxfId="15407" priority="15723" operator="containsText" text="Pendiente">
      <formula>NOT(ISERROR(SEARCH("Pendiente",M29)))</formula>
    </cfRule>
    <cfRule type="containsText" dxfId="15406" priority="15724" operator="containsText" text="No Aplica">
      <formula>NOT(ISERROR(SEARCH("No Aplica",M29)))</formula>
    </cfRule>
    <cfRule type="containsText" dxfId="15405" priority="15725" operator="containsText" text="Fallido">
      <formula>NOT(ISERROR(SEARCH("Fallido",M29)))</formula>
    </cfRule>
    <cfRule type="containsText" dxfId="15404" priority="15726" operator="containsText" text="Éxitoso">
      <formula>NOT(ISERROR(SEARCH("Éxitoso",M29)))</formula>
    </cfRule>
  </conditionalFormatting>
  <conditionalFormatting sqref="G29">
    <cfRule type="containsText" dxfId="15403" priority="15719" operator="containsText" text="Bajo">
      <formula>NOT(ISERROR(SEARCH("Bajo",G29)))</formula>
    </cfRule>
    <cfRule type="containsText" dxfId="15402" priority="15720" operator="containsText" text="Medio">
      <formula>NOT(ISERROR(SEARCH("Medio",G29)))</formula>
    </cfRule>
    <cfRule type="containsText" dxfId="15401" priority="15721" operator="containsText" text="Alto">
      <formula>NOT(ISERROR(SEARCH("Alto",G29)))</formula>
    </cfRule>
  </conditionalFormatting>
  <conditionalFormatting sqref="N30">
    <cfRule type="containsText" dxfId="15400" priority="15714" operator="containsText" text="No se pudo ejecutar">
      <formula>NOT(ISERROR(SEARCH("No se pudo ejecutar",N30)))</formula>
    </cfRule>
    <cfRule type="containsText" dxfId="15399" priority="15715" operator="containsText" text="Pendiente">
      <formula>NOT(ISERROR(SEARCH("Pendiente",N30)))</formula>
    </cfRule>
    <cfRule type="containsText" dxfId="15398" priority="15716" operator="containsText" text="No Aplica">
      <formula>NOT(ISERROR(SEARCH("No Aplica",N30)))</formula>
    </cfRule>
    <cfRule type="containsText" dxfId="15397" priority="15717" operator="containsText" text="Fallido">
      <formula>NOT(ISERROR(SEARCH("Fallido",N30)))</formula>
    </cfRule>
    <cfRule type="containsText" dxfId="15396" priority="15718" operator="containsText" text="Éxitoso">
      <formula>NOT(ISERROR(SEARCH("Éxitoso",N30)))</formula>
    </cfRule>
  </conditionalFormatting>
  <conditionalFormatting sqref="O30">
    <cfRule type="containsText" dxfId="15395" priority="15709" operator="containsText" text="No se pudo ejecutar">
      <formula>NOT(ISERROR(SEARCH("No se pudo ejecutar",O30)))</formula>
    </cfRule>
    <cfRule type="containsText" dxfId="15394" priority="15710" operator="containsText" text="Pendiente">
      <formula>NOT(ISERROR(SEARCH("Pendiente",O30)))</formula>
    </cfRule>
    <cfRule type="containsText" dxfId="15393" priority="15711" operator="containsText" text="No Aplica">
      <formula>NOT(ISERROR(SEARCH("No Aplica",O30)))</formula>
    </cfRule>
    <cfRule type="containsText" dxfId="15392" priority="15712" operator="containsText" text="Fallido">
      <formula>NOT(ISERROR(SEARCH("Fallido",O30)))</formula>
    </cfRule>
    <cfRule type="containsText" dxfId="15391" priority="15713" operator="containsText" text="Éxitoso">
      <formula>NOT(ISERROR(SEARCH("Éxitoso",O30)))</formula>
    </cfRule>
  </conditionalFormatting>
  <conditionalFormatting sqref="P30">
    <cfRule type="containsText" dxfId="15390" priority="15704" operator="containsText" text="No se pudo ejecutar">
      <formula>NOT(ISERROR(SEARCH("No se pudo ejecutar",P30)))</formula>
    </cfRule>
    <cfRule type="containsText" dxfId="15389" priority="15705" operator="containsText" text="Pendiente">
      <formula>NOT(ISERROR(SEARCH("Pendiente",P30)))</formula>
    </cfRule>
    <cfRule type="containsText" dxfId="15388" priority="15706" operator="containsText" text="No Aplica">
      <formula>NOT(ISERROR(SEARCH("No Aplica",P30)))</formula>
    </cfRule>
    <cfRule type="containsText" dxfId="15387" priority="15707" operator="containsText" text="Fallido">
      <formula>NOT(ISERROR(SEARCH("Fallido",P30)))</formula>
    </cfRule>
    <cfRule type="containsText" dxfId="15386" priority="15708" operator="containsText" text="Éxitoso">
      <formula>NOT(ISERROR(SEARCH("Éxitoso",P30)))</formula>
    </cfRule>
  </conditionalFormatting>
  <conditionalFormatting sqref="Q30">
    <cfRule type="containsText" dxfId="15385" priority="15699" operator="containsText" text="No se pudo ejecutar">
      <formula>NOT(ISERROR(SEARCH("No se pudo ejecutar",Q30)))</formula>
    </cfRule>
    <cfRule type="containsText" dxfId="15384" priority="15700" operator="containsText" text="Pendiente">
      <formula>NOT(ISERROR(SEARCH("Pendiente",Q30)))</formula>
    </cfRule>
    <cfRule type="containsText" dxfId="15383" priority="15701" operator="containsText" text="No Aplica">
      <formula>NOT(ISERROR(SEARCH("No Aplica",Q30)))</formula>
    </cfRule>
    <cfRule type="containsText" dxfId="15382" priority="15702" operator="containsText" text="Fallido">
      <formula>NOT(ISERROR(SEARCH("Fallido",Q30)))</formula>
    </cfRule>
    <cfRule type="containsText" dxfId="15381" priority="15703" operator="containsText" text="Éxitoso">
      <formula>NOT(ISERROR(SEARCH("Éxitoso",Q30)))</formula>
    </cfRule>
  </conditionalFormatting>
  <conditionalFormatting sqref="R30">
    <cfRule type="containsText" dxfId="15380" priority="15694" operator="containsText" text="No se pudo ejecutar">
      <formula>NOT(ISERROR(SEARCH("No se pudo ejecutar",R30)))</formula>
    </cfRule>
    <cfRule type="containsText" dxfId="15379" priority="15695" operator="containsText" text="Pendiente">
      <formula>NOT(ISERROR(SEARCH("Pendiente",R30)))</formula>
    </cfRule>
    <cfRule type="containsText" dxfId="15378" priority="15696" operator="containsText" text="No Aplica">
      <formula>NOT(ISERROR(SEARCH("No Aplica",R30)))</formula>
    </cfRule>
    <cfRule type="containsText" dxfId="15377" priority="15697" operator="containsText" text="Fallido">
      <formula>NOT(ISERROR(SEARCH("Fallido",R30)))</formula>
    </cfRule>
    <cfRule type="containsText" dxfId="15376" priority="15698" operator="containsText" text="Éxitoso">
      <formula>NOT(ISERROR(SEARCH("Éxitoso",R30)))</formula>
    </cfRule>
  </conditionalFormatting>
  <conditionalFormatting sqref="S30">
    <cfRule type="containsText" dxfId="15375" priority="15689" operator="containsText" text="No se pudo ejecutar">
      <formula>NOT(ISERROR(SEARCH("No se pudo ejecutar",S30)))</formula>
    </cfRule>
    <cfRule type="containsText" dxfId="15374" priority="15690" operator="containsText" text="Pendiente">
      <formula>NOT(ISERROR(SEARCH("Pendiente",S30)))</formula>
    </cfRule>
    <cfRule type="containsText" dxfId="15373" priority="15691" operator="containsText" text="No Aplica">
      <formula>NOT(ISERROR(SEARCH("No Aplica",S30)))</formula>
    </cfRule>
    <cfRule type="containsText" dxfId="15372" priority="15692" operator="containsText" text="Fallido">
      <formula>NOT(ISERROR(SEARCH("Fallido",S30)))</formula>
    </cfRule>
    <cfRule type="containsText" dxfId="15371" priority="15693" operator="containsText" text="Éxitoso">
      <formula>NOT(ISERROR(SEARCH("Éxitoso",S30)))</formula>
    </cfRule>
  </conditionalFormatting>
  <conditionalFormatting sqref="T30">
    <cfRule type="containsText" dxfId="15370" priority="15684" operator="containsText" text="No se pudo ejecutar">
      <formula>NOT(ISERROR(SEARCH("No se pudo ejecutar",T30)))</formula>
    </cfRule>
    <cfRule type="containsText" dxfId="15369" priority="15685" operator="containsText" text="Pendiente">
      <formula>NOT(ISERROR(SEARCH("Pendiente",T30)))</formula>
    </cfRule>
    <cfRule type="containsText" dxfId="15368" priority="15686" operator="containsText" text="No Aplica">
      <formula>NOT(ISERROR(SEARCH("No Aplica",T30)))</formula>
    </cfRule>
    <cfRule type="containsText" dxfId="15367" priority="15687" operator="containsText" text="Fallido">
      <formula>NOT(ISERROR(SEARCH("Fallido",T30)))</formula>
    </cfRule>
    <cfRule type="containsText" dxfId="15366" priority="15688" operator="containsText" text="Éxitoso">
      <formula>NOT(ISERROR(SEARCH("Éxitoso",T30)))</formula>
    </cfRule>
  </conditionalFormatting>
  <conditionalFormatting sqref="U30">
    <cfRule type="containsText" dxfId="15365" priority="15679" operator="containsText" text="No se pudo ejecutar">
      <formula>NOT(ISERROR(SEARCH("No se pudo ejecutar",U30)))</formula>
    </cfRule>
    <cfRule type="containsText" dxfId="15364" priority="15680" operator="containsText" text="Pendiente">
      <formula>NOT(ISERROR(SEARCH("Pendiente",U30)))</formula>
    </cfRule>
    <cfRule type="containsText" dxfId="15363" priority="15681" operator="containsText" text="No Aplica">
      <formula>NOT(ISERROR(SEARCH("No Aplica",U30)))</formula>
    </cfRule>
    <cfRule type="containsText" dxfId="15362" priority="15682" operator="containsText" text="Fallido">
      <formula>NOT(ISERROR(SEARCH("Fallido",U30)))</formula>
    </cfRule>
    <cfRule type="containsText" dxfId="15361" priority="15683" operator="containsText" text="Éxitoso">
      <formula>NOT(ISERROR(SEARCH("Éxitoso",U30)))</formula>
    </cfRule>
  </conditionalFormatting>
  <conditionalFormatting sqref="V30">
    <cfRule type="containsText" dxfId="15360" priority="15674" operator="containsText" text="No se pudo ejecutar">
      <formula>NOT(ISERROR(SEARCH("No se pudo ejecutar",V30)))</formula>
    </cfRule>
    <cfRule type="containsText" dxfId="15359" priority="15675" operator="containsText" text="Pendiente">
      <formula>NOT(ISERROR(SEARCH("Pendiente",V30)))</formula>
    </cfRule>
    <cfRule type="containsText" dxfId="15358" priority="15676" operator="containsText" text="No Aplica">
      <formula>NOT(ISERROR(SEARCH("No Aplica",V30)))</formula>
    </cfRule>
    <cfRule type="containsText" dxfId="15357" priority="15677" operator="containsText" text="Fallido">
      <formula>NOT(ISERROR(SEARCH("Fallido",V30)))</formula>
    </cfRule>
    <cfRule type="containsText" dxfId="15356" priority="15678" operator="containsText" text="Éxitoso">
      <formula>NOT(ISERROR(SEARCH("Éxitoso",V30)))</formula>
    </cfRule>
  </conditionalFormatting>
  <conditionalFormatting sqref="W30">
    <cfRule type="containsText" dxfId="15355" priority="15669" operator="containsText" text="No se pudo ejecutar">
      <formula>NOT(ISERROR(SEARCH("No se pudo ejecutar",W30)))</formula>
    </cfRule>
    <cfRule type="containsText" dxfId="15354" priority="15670" operator="containsText" text="Pendiente">
      <formula>NOT(ISERROR(SEARCH("Pendiente",W30)))</formula>
    </cfRule>
    <cfRule type="containsText" dxfId="15353" priority="15671" operator="containsText" text="No Aplica">
      <formula>NOT(ISERROR(SEARCH("No Aplica",W30)))</formula>
    </cfRule>
    <cfRule type="containsText" dxfId="15352" priority="15672" operator="containsText" text="Fallido">
      <formula>NOT(ISERROR(SEARCH("Fallido",W30)))</formula>
    </cfRule>
    <cfRule type="containsText" dxfId="15351" priority="15673" operator="containsText" text="Éxitoso">
      <formula>NOT(ISERROR(SEARCH("Éxitoso",W30)))</formula>
    </cfRule>
  </conditionalFormatting>
  <conditionalFormatting sqref="M30">
    <cfRule type="containsText" dxfId="15350" priority="15664" operator="containsText" text="No se pudo ejecutar">
      <formula>NOT(ISERROR(SEARCH("No se pudo ejecutar",M30)))</formula>
    </cfRule>
    <cfRule type="containsText" dxfId="15349" priority="15665" operator="containsText" text="Pendiente">
      <formula>NOT(ISERROR(SEARCH("Pendiente",M30)))</formula>
    </cfRule>
    <cfRule type="containsText" dxfId="15348" priority="15666" operator="containsText" text="No Aplica">
      <formula>NOT(ISERROR(SEARCH("No Aplica",M30)))</formula>
    </cfRule>
    <cfRule type="containsText" dxfId="15347" priority="15667" operator="containsText" text="Fallido">
      <formula>NOT(ISERROR(SEARCH("Fallido",M30)))</formula>
    </cfRule>
    <cfRule type="containsText" dxfId="15346" priority="15668" operator="containsText" text="Éxitoso">
      <formula>NOT(ISERROR(SEARCH("Éxitoso",M30)))</formula>
    </cfRule>
  </conditionalFormatting>
  <conditionalFormatting sqref="G30">
    <cfRule type="containsText" dxfId="15345" priority="15661" operator="containsText" text="Bajo">
      <formula>NOT(ISERROR(SEARCH("Bajo",G30)))</formula>
    </cfRule>
    <cfRule type="containsText" dxfId="15344" priority="15662" operator="containsText" text="Medio">
      <formula>NOT(ISERROR(SEARCH("Medio",G30)))</formula>
    </cfRule>
    <cfRule type="containsText" dxfId="15343" priority="15663" operator="containsText" text="Alto">
      <formula>NOT(ISERROR(SEARCH("Alto",G30)))</formula>
    </cfRule>
  </conditionalFormatting>
  <conditionalFormatting sqref="N31">
    <cfRule type="containsText" dxfId="15342" priority="15656" operator="containsText" text="No se pudo ejecutar">
      <formula>NOT(ISERROR(SEARCH("No se pudo ejecutar",N31)))</formula>
    </cfRule>
    <cfRule type="containsText" dxfId="15341" priority="15657" operator="containsText" text="Pendiente">
      <formula>NOT(ISERROR(SEARCH("Pendiente",N31)))</formula>
    </cfRule>
    <cfRule type="containsText" dxfId="15340" priority="15658" operator="containsText" text="No Aplica">
      <formula>NOT(ISERROR(SEARCH("No Aplica",N31)))</formula>
    </cfRule>
    <cfRule type="containsText" dxfId="15339" priority="15659" operator="containsText" text="Fallido">
      <formula>NOT(ISERROR(SEARCH("Fallido",N31)))</formula>
    </cfRule>
    <cfRule type="containsText" dxfId="15338" priority="15660" operator="containsText" text="Éxitoso">
      <formula>NOT(ISERROR(SEARCH("Éxitoso",N31)))</formula>
    </cfRule>
  </conditionalFormatting>
  <conditionalFormatting sqref="O31">
    <cfRule type="containsText" dxfId="15337" priority="15651" operator="containsText" text="No se pudo ejecutar">
      <formula>NOT(ISERROR(SEARCH("No se pudo ejecutar",O31)))</formula>
    </cfRule>
    <cfRule type="containsText" dxfId="15336" priority="15652" operator="containsText" text="Pendiente">
      <formula>NOT(ISERROR(SEARCH("Pendiente",O31)))</formula>
    </cfRule>
    <cfRule type="containsText" dxfId="15335" priority="15653" operator="containsText" text="No Aplica">
      <formula>NOT(ISERROR(SEARCH("No Aplica",O31)))</formula>
    </cfRule>
    <cfRule type="containsText" dxfId="15334" priority="15654" operator="containsText" text="Fallido">
      <formula>NOT(ISERROR(SEARCH("Fallido",O31)))</formula>
    </cfRule>
    <cfRule type="containsText" dxfId="15333" priority="15655" operator="containsText" text="Éxitoso">
      <formula>NOT(ISERROR(SEARCH("Éxitoso",O31)))</formula>
    </cfRule>
  </conditionalFormatting>
  <conditionalFormatting sqref="P31">
    <cfRule type="containsText" dxfId="15332" priority="15646" operator="containsText" text="No se pudo ejecutar">
      <formula>NOT(ISERROR(SEARCH("No se pudo ejecutar",P31)))</formula>
    </cfRule>
    <cfRule type="containsText" dxfId="15331" priority="15647" operator="containsText" text="Pendiente">
      <formula>NOT(ISERROR(SEARCH("Pendiente",P31)))</formula>
    </cfRule>
    <cfRule type="containsText" dxfId="15330" priority="15648" operator="containsText" text="No Aplica">
      <formula>NOT(ISERROR(SEARCH("No Aplica",P31)))</formula>
    </cfRule>
    <cfRule type="containsText" dxfId="15329" priority="15649" operator="containsText" text="Fallido">
      <formula>NOT(ISERROR(SEARCH("Fallido",P31)))</formula>
    </cfRule>
    <cfRule type="containsText" dxfId="15328" priority="15650" operator="containsText" text="Éxitoso">
      <formula>NOT(ISERROR(SEARCH("Éxitoso",P31)))</formula>
    </cfRule>
  </conditionalFormatting>
  <conditionalFormatting sqref="Q31">
    <cfRule type="containsText" dxfId="15327" priority="15641" operator="containsText" text="No se pudo ejecutar">
      <formula>NOT(ISERROR(SEARCH("No se pudo ejecutar",Q31)))</formula>
    </cfRule>
    <cfRule type="containsText" dxfId="15326" priority="15642" operator="containsText" text="Pendiente">
      <formula>NOT(ISERROR(SEARCH("Pendiente",Q31)))</formula>
    </cfRule>
    <cfRule type="containsText" dxfId="15325" priority="15643" operator="containsText" text="No Aplica">
      <formula>NOT(ISERROR(SEARCH("No Aplica",Q31)))</formula>
    </cfRule>
    <cfRule type="containsText" dxfId="15324" priority="15644" operator="containsText" text="Fallido">
      <formula>NOT(ISERROR(SEARCH("Fallido",Q31)))</formula>
    </cfRule>
    <cfRule type="containsText" dxfId="15323" priority="15645" operator="containsText" text="Éxitoso">
      <formula>NOT(ISERROR(SEARCH("Éxitoso",Q31)))</formula>
    </cfRule>
  </conditionalFormatting>
  <conditionalFormatting sqref="R31">
    <cfRule type="containsText" dxfId="15322" priority="15636" operator="containsText" text="No se pudo ejecutar">
      <formula>NOT(ISERROR(SEARCH("No se pudo ejecutar",R31)))</formula>
    </cfRule>
    <cfRule type="containsText" dxfId="15321" priority="15637" operator="containsText" text="Pendiente">
      <formula>NOT(ISERROR(SEARCH("Pendiente",R31)))</formula>
    </cfRule>
    <cfRule type="containsText" dxfId="15320" priority="15638" operator="containsText" text="No Aplica">
      <formula>NOT(ISERROR(SEARCH("No Aplica",R31)))</formula>
    </cfRule>
    <cfRule type="containsText" dxfId="15319" priority="15639" operator="containsText" text="Fallido">
      <formula>NOT(ISERROR(SEARCH("Fallido",R31)))</formula>
    </cfRule>
    <cfRule type="containsText" dxfId="15318" priority="15640" operator="containsText" text="Éxitoso">
      <formula>NOT(ISERROR(SEARCH("Éxitoso",R31)))</formula>
    </cfRule>
  </conditionalFormatting>
  <conditionalFormatting sqref="S31">
    <cfRule type="containsText" dxfId="15317" priority="15631" operator="containsText" text="No se pudo ejecutar">
      <formula>NOT(ISERROR(SEARCH("No se pudo ejecutar",S31)))</formula>
    </cfRule>
    <cfRule type="containsText" dxfId="15316" priority="15632" operator="containsText" text="Pendiente">
      <formula>NOT(ISERROR(SEARCH("Pendiente",S31)))</formula>
    </cfRule>
    <cfRule type="containsText" dxfId="15315" priority="15633" operator="containsText" text="No Aplica">
      <formula>NOT(ISERROR(SEARCH("No Aplica",S31)))</formula>
    </cfRule>
    <cfRule type="containsText" dxfId="15314" priority="15634" operator="containsText" text="Fallido">
      <formula>NOT(ISERROR(SEARCH("Fallido",S31)))</formula>
    </cfRule>
    <cfRule type="containsText" dxfId="15313" priority="15635" operator="containsText" text="Éxitoso">
      <formula>NOT(ISERROR(SEARCH("Éxitoso",S31)))</formula>
    </cfRule>
  </conditionalFormatting>
  <conditionalFormatting sqref="T31">
    <cfRule type="containsText" dxfId="15312" priority="15626" operator="containsText" text="No se pudo ejecutar">
      <formula>NOT(ISERROR(SEARCH("No se pudo ejecutar",T31)))</formula>
    </cfRule>
    <cfRule type="containsText" dxfId="15311" priority="15627" operator="containsText" text="Pendiente">
      <formula>NOT(ISERROR(SEARCH("Pendiente",T31)))</formula>
    </cfRule>
    <cfRule type="containsText" dxfId="15310" priority="15628" operator="containsText" text="No Aplica">
      <formula>NOT(ISERROR(SEARCH("No Aplica",T31)))</formula>
    </cfRule>
    <cfRule type="containsText" dxfId="15309" priority="15629" operator="containsText" text="Fallido">
      <formula>NOT(ISERROR(SEARCH("Fallido",T31)))</formula>
    </cfRule>
    <cfRule type="containsText" dxfId="15308" priority="15630" operator="containsText" text="Éxitoso">
      <formula>NOT(ISERROR(SEARCH("Éxitoso",T31)))</formula>
    </cfRule>
  </conditionalFormatting>
  <conditionalFormatting sqref="U31">
    <cfRule type="containsText" dxfId="15307" priority="15621" operator="containsText" text="No se pudo ejecutar">
      <formula>NOT(ISERROR(SEARCH("No se pudo ejecutar",U31)))</formula>
    </cfRule>
    <cfRule type="containsText" dxfId="15306" priority="15622" operator="containsText" text="Pendiente">
      <formula>NOT(ISERROR(SEARCH("Pendiente",U31)))</formula>
    </cfRule>
    <cfRule type="containsText" dxfId="15305" priority="15623" operator="containsText" text="No Aplica">
      <formula>NOT(ISERROR(SEARCH("No Aplica",U31)))</formula>
    </cfRule>
    <cfRule type="containsText" dxfId="15304" priority="15624" operator="containsText" text="Fallido">
      <formula>NOT(ISERROR(SEARCH("Fallido",U31)))</formula>
    </cfRule>
    <cfRule type="containsText" dxfId="15303" priority="15625" operator="containsText" text="Éxitoso">
      <formula>NOT(ISERROR(SEARCH("Éxitoso",U31)))</formula>
    </cfRule>
  </conditionalFormatting>
  <conditionalFormatting sqref="V31">
    <cfRule type="containsText" dxfId="15302" priority="15616" operator="containsText" text="No se pudo ejecutar">
      <formula>NOT(ISERROR(SEARCH("No se pudo ejecutar",V31)))</formula>
    </cfRule>
    <cfRule type="containsText" dxfId="15301" priority="15617" operator="containsText" text="Pendiente">
      <formula>NOT(ISERROR(SEARCH("Pendiente",V31)))</formula>
    </cfRule>
    <cfRule type="containsText" dxfId="15300" priority="15618" operator="containsText" text="No Aplica">
      <formula>NOT(ISERROR(SEARCH("No Aplica",V31)))</formula>
    </cfRule>
    <cfRule type="containsText" dxfId="15299" priority="15619" operator="containsText" text="Fallido">
      <formula>NOT(ISERROR(SEARCH("Fallido",V31)))</formula>
    </cfRule>
    <cfRule type="containsText" dxfId="15298" priority="15620" operator="containsText" text="Éxitoso">
      <formula>NOT(ISERROR(SEARCH("Éxitoso",V31)))</formula>
    </cfRule>
  </conditionalFormatting>
  <conditionalFormatting sqref="W31">
    <cfRule type="containsText" dxfId="15297" priority="15611" operator="containsText" text="No se pudo ejecutar">
      <formula>NOT(ISERROR(SEARCH("No se pudo ejecutar",W31)))</formula>
    </cfRule>
    <cfRule type="containsText" dxfId="15296" priority="15612" operator="containsText" text="Pendiente">
      <formula>NOT(ISERROR(SEARCH("Pendiente",W31)))</formula>
    </cfRule>
    <cfRule type="containsText" dxfId="15295" priority="15613" operator="containsText" text="No Aplica">
      <formula>NOT(ISERROR(SEARCH("No Aplica",W31)))</formula>
    </cfRule>
    <cfRule type="containsText" dxfId="15294" priority="15614" operator="containsText" text="Fallido">
      <formula>NOT(ISERROR(SEARCH("Fallido",W31)))</formula>
    </cfRule>
    <cfRule type="containsText" dxfId="15293" priority="15615" operator="containsText" text="Éxitoso">
      <formula>NOT(ISERROR(SEARCH("Éxitoso",W31)))</formula>
    </cfRule>
  </conditionalFormatting>
  <conditionalFormatting sqref="M31">
    <cfRule type="containsText" dxfId="15292" priority="15606" operator="containsText" text="No se pudo ejecutar">
      <formula>NOT(ISERROR(SEARCH("No se pudo ejecutar",M31)))</formula>
    </cfRule>
    <cfRule type="containsText" dxfId="15291" priority="15607" operator="containsText" text="Pendiente">
      <formula>NOT(ISERROR(SEARCH("Pendiente",M31)))</formula>
    </cfRule>
    <cfRule type="containsText" dxfId="15290" priority="15608" operator="containsText" text="No Aplica">
      <formula>NOT(ISERROR(SEARCH("No Aplica",M31)))</formula>
    </cfRule>
    <cfRule type="containsText" dxfId="15289" priority="15609" operator="containsText" text="Fallido">
      <formula>NOT(ISERROR(SEARCH("Fallido",M31)))</formula>
    </cfRule>
    <cfRule type="containsText" dxfId="15288" priority="15610" operator="containsText" text="Éxitoso">
      <formula>NOT(ISERROR(SEARCH("Éxitoso",M31)))</formula>
    </cfRule>
  </conditionalFormatting>
  <conditionalFormatting sqref="G31">
    <cfRule type="containsText" dxfId="15287" priority="15603" operator="containsText" text="Bajo">
      <formula>NOT(ISERROR(SEARCH("Bajo",G31)))</formula>
    </cfRule>
    <cfRule type="containsText" dxfId="15286" priority="15604" operator="containsText" text="Medio">
      <formula>NOT(ISERROR(SEARCH("Medio",G31)))</formula>
    </cfRule>
    <cfRule type="containsText" dxfId="15285" priority="15605" operator="containsText" text="Alto">
      <formula>NOT(ISERROR(SEARCH("Alto",G31)))</formula>
    </cfRule>
  </conditionalFormatting>
  <conditionalFormatting sqref="N32">
    <cfRule type="containsText" dxfId="15284" priority="15598" operator="containsText" text="No se pudo ejecutar">
      <formula>NOT(ISERROR(SEARCH("No se pudo ejecutar",N32)))</formula>
    </cfRule>
    <cfRule type="containsText" dxfId="15283" priority="15599" operator="containsText" text="Pendiente">
      <formula>NOT(ISERROR(SEARCH("Pendiente",N32)))</formula>
    </cfRule>
    <cfRule type="containsText" dxfId="15282" priority="15600" operator="containsText" text="No Aplica">
      <formula>NOT(ISERROR(SEARCH("No Aplica",N32)))</formula>
    </cfRule>
    <cfRule type="containsText" dxfId="15281" priority="15601" operator="containsText" text="Fallido">
      <formula>NOT(ISERROR(SEARCH("Fallido",N32)))</formula>
    </cfRule>
    <cfRule type="containsText" dxfId="15280" priority="15602" operator="containsText" text="Éxitoso">
      <formula>NOT(ISERROR(SEARCH("Éxitoso",N32)))</formula>
    </cfRule>
  </conditionalFormatting>
  <conditionalFormatting sqref="O32">
    <cfRule type="containsText" dxfId="15279" priority="15593" operator="containsText" text="No se pudo ejecutar">
      <formula>NOT(ISERROR(SEARCH("No se pudo ejecutar",O32)))</formula>
    </cfRule>
    <cfRule type="containsText" dxfId="15278" priority="15594" operator="containsText" text="Pendiente">
      <formula>NOT(ISERROR(SEARCH("Pendiente",O32)))</formula>
    </cfRule>
    <cfRule type="containsText" dxfId="15277" priority="15595" operator="containsText" text="No Aplica">
      <formula>NOT(ISERROR(SEARCH("No Aplica",O32)))</formula>
    </cfRule>
    <cfRule type="containsText" dxfId="15276" priority="15596" operator="containsText" text="Fallido">
      <formula>NOT(ISERROR(SEARCH("Fallido",O32)))</formula>
    </cfRule>
    <cfRule type="containsText" dxfId="15275" priority="15597" operator="containsText" text="Éxitoso">
      <formula>NOT(ISERROR(SEARCH("Éxitoso",O32)))</formula>
    </cfRule>
  </conditionalFormatting>
  <conditionalFormatting sqref="P32">
    <cfRule type="containsText" dxfId="15274" priority="15588" operator="containsText" text="No se pudo ejecutar">
      <formula>NOT(ISERROR(SEARCH("No se pudo ejecutar",P32)))</formula>
    </cfRule>
    <cfRule type="containsText" dxfId="15273" priority="15589" operator="containsText" text="Pendiente">
      <formula>NOT(ISERROR(SEARCH("Pendiente",P32)))</formula>
    </cfRule>
    <cfRule type="containsText" dxfId="15272" priority="15590" operator="containsText" text="No Aplica">
      <formula>NOT(ISERROR(SEARCH("No Aplica",P32)))</formula>
    </cfRule>
    <cfRule type="containsText" dxfId="15271" priority="15591" operator="containsText" text="Fallido">
      <formula>NOT(ISERROR(SEARCH("Fallido",P32)))</formula>
    </cfRule>
    <cfRule type="containsText" dxfId="15270" priority="15592" operator="containsText" text="Éxitoso">
      <formula>NOT(ISERROR(SEARCH("Éxitoso",P32)))</formula>
    </cfRule>
  </conditionalFormatting>
  <conditionalFormatting sqref="Q32">
    <cfRule type="containsText" dxfId="15269" priority="15583" operator="containsText" text="No se pudo ejecutar">
      <formula>NOT(ISERROR(SEARCH("No se pudo ejecutar",Q32)))</formula>
    </cfRule>
    <cfRule type="containsText" dxfId="15268" priority="15584" operator="containsText" text="Pendiente">
      <formula>NOT(ISERROR(SEARCH("Pendiente",Q32)))</formula>
    </cfRule>
    <cfRule type="containsText" dxfId="15267" priority="15585" operator="containsText" text="No Aplica">
      <formula>NOT(ISERROR(SEARCH("No Aplica",Q32)))</formula>
    </cfRule>
    <cfRule type="containsText" dxfId="15266" priority="15586" operator="containsText" text="Fallido">
      <formula>NOT(ISERROR(SEARCH("Fallido",Q32)))</formula>
    </cfRule>
    <cfRule type="containsText" dxfId="15265" priority="15587" operator="containsText" text="Éxitoso">
      <formula>NOT(ISERROR(SEARCH("Éxitoso",Q32)))</formula>
    </cfRule>
  </conditionalFormatting>
  <conditionalFormatting sqref="R32">
    <cfRule type="containsText" dxfId="15264" priority="15578" operator="containsText" text="No se pudo ejecutar">
      <formula>NOT(ISERROR(SEARCH("No se pudo ejecutar",R32)))</formula>
    </cfRule>
    <cfRule type="containsText" dxfId="15263" priority="15579" operator="containsText" text="Pendiente">
      <formula>NOT(ISERROR(SEARCH("Pendiente",R32)))</formula>
    </cfRule>
    <cfRule type="containsText" dxfId="15262" priority="15580" operator="containsText" text="No Aplica">
      <formula>NOT(ISERROR(SEARCH("No Aplica",R32)))</formula>
    </cfRule>
    <cfRule type="containsText" dxfId="15261" priority="15581" operator="containsText" text="Fallido">
      <formula>NOT(ISERROR(SEARCH("Fallido",R32)))</formula>
    </cfRule>
    <cfRule type="containsText" dxfId="15260" priority="15582" operator="containsText" text="Éxitoso">
      <formula>NOT(ISERROR(SEARCH("Éxitoso",R32)))</formula>
    </cfRule>
  </conditionalFormatting>
  <conditionalFormatting sqref="S32">
    <cfRule type="containsText" dxfId="15259" priority="15573" operator="containsText" text="No se pudo ejecutar">
      <formula>NOT(ISERROR(SEARCH("No se pudo ejecutar",S32)))</formula>
    </cfRule>
    <cfRule type="containsText" dxfId="15258" priority="15574" operator="containsText" text="Pendiente">
      <formula>NOT(ISERROR(SEARCH("Pendiente",S32)))</formula>
    </cfRule>
    <cfRule type="containsText" dxfId="15257" priority="15575" operator="containsText" text="No Aplica">
      <formula>NOT(ISERROR(SEARCH("No Aplica",S32)))</formula>
    </cfRule>
    <cfRule type="containsText" dxfId="15256" priority="15576" operator="containsText" text="Fallido">
      <formula>NOT(ISERROR(SEARCH("Fallido",S32)))</formula>
    </cfRule>
    <cfRule type="containsText" dxfId="15255" priority="15577" operator="containsText" text="Éxitoso">
      <formula>NOT(ISERROR(SEARCH("Éxitoso",S32)))</formula>
    </cfRule>
  </conditionalFormatting>
  <conditionalFormatting sqref="T32">
    <cfRule type="containsText" dxfId="15254" priority="15568" operator="containsText" text="No se pudo ejecutar">
      <formula>NOT(ISERROR(SEARCH("No se pudo ejecutar",T32)))</formula>
    </cfRule>
    <cfRule type="containsText" dxfId="15253" priority="15569" operator="containsText" text="Pendiente">
      <formula>NOT(ISERROR(SEARCH("Pendiente",T32)))</formula>
    </cfRule>
    <cfRule type="containsText" dxfId="15252" priority="15570" operator="containsText" text="No Aplica">
      <formula>NOT(ISERROR(SEARCH("No Aplica",T32)))</formula>
    </cfRule>
    <cfRule type="containsText" dxfId="15251" priority="15571" operator="containsText" text="Fallido">
      <formula>NOT(ISERROR(SEARCH("Fallido",T32)))</formula>
    </cfRule>
    <cfRule type="containsText" dxfId="15250" priority="15572" operator="containsText" text="Éxitoso">
      <formula>NOT(ISERROR(SEARCH("Éxitoso",T32)))</formula>
    </cfRule>
  </conditionalFormatting>
  <conditionalFormatting sqref="U32">
    <cfRule type="containsText" dxfId="15249" priority="15563" operator="containsText" text="No se pudo ejecutar">
      <formula>NOT(ISERROR(SEARCH("No se pudo ejecutar",U32)))</formula>
    </cfRule>
    <cfRule type="containsText" dxfId="15248" priority="15564" operator="containsText" text="Pendiente">
      <formula>NOT(ISERROR(SEARCH("Pendiente",U32)))</formula>
    </cfRule>
    <cfRule type="containsText" dxfId="15247" priority="15565" operator="containsText" text="No Aplica">
      <formula>NOT(ISERROR(SEARCH("No Aplica",U32)))</formula>
    </cfRule>
    <cfRule type="containsText" dxfId="15246" priority="15566" operator="containsText" text="Fallido">
      <formula>NOT(ISERROR(SEARCH("Fallido",U32)))</formula>
    </cfRule>
    <cfRule type="containsText" dxfId="15245" priority="15567" operator="containsText" text="Éxitoso">
      <formula>NOT(ISERROR(SEARCH("Éxitoso",U32)))</formula>
    </cfRule>
  </conditionalFormatting>
  <conditionalFormatting sqref="V32">
    <cfRule type="containsText" dxfId="15244" priority="15558" operator="containsText" text="No se pudo ejecutar">
      <formula>NOT(ISERROR(SEARCH("No se pudo ejecutar",V32)))</formula>
    </cfRule>
    <cfRule type="containsText" dxfId="15243" priority="15559" operator="containsText" text="Pendiente">
      <formula>NOT(ISERROR(SEARCH("Pendiente",V32)))</formula>
    </cfRule>
    <cfRule type="containsText" dxfId="15242" priority="15560" operator="containsText" text="No Aplica">
      <formula>NOT(ISERROR(SEARCH("No Aplica",V32)))</formula>
    </cfRule>
    <cfRule type="containsText" dxfId="15241" priority="15561" operator="containsText" text="Fallido">
      <formula>NOT(ISERROR(SEARCH("Fallido",V32)))</formula>
    </cfRule>
    <cfRule type="containsText" dxfId="15240" priority="15562" operator="containsText" text="Éxitoso">
      <formula>NOT(ISERROR(SEARCH("Éxitoso",V32)))</formula>
    </cfRule>
  </conditionalFormatting>
  <conditionalFormatting sqref="W32">
    <cfRule type="containsText" dxfId="15239" priority="15553" operator="containsText" text="No se pudo ejecutar">
      <formula>NOT(ISERROR(SEARCH("No se pudo ejecutar",W32)))</formula>
    </cfRule>
    <cfRule type="containsText" dxfId="15238" priority="15554" operator="containsText" text="Pendiente">
      <formula>NOT(ISERROR(SEARCH("Pendiente",W32)))</formula>
    </cfRule>
    <cfRule type="containsText" dxfId="15237" priority="15555" operator="containsText" text="No Aplica">
      <formula>NOT(ISERROR(SEARCH("No Aplica",W32)))</formula>
    </cfRule>
    <cfRule type="containsText" dxfId="15236" priority="15556" operator="containsText" text="Fallido">
      <formula>NOT(ISERROR(SEARCH("Fallido",W32)))</formula>
    </cfRule>
    <cfRule type="containsText" dxfId="15235" priority="15557" operator="containsText" text="Éxitoso">
      <formula>NOT(ISERROR(SEARCH("Éxitoso",W32)))</formula>
    </cfRule>
  </conditionalFormatting>
  <conditionalFormatting sqref="M32">
    <cfRule type="containsText" dxfId="15234" priority="15548" operator="containsText" text="No se pudo ejecutar">
      <formula>NOT(ISERROR(SEARCH("No se pudo ejecutar",M32)))</formula>
    </cfRule>
    <cfRule type="containsText" dxfId="15233" priority="15549" operator="containsText" text="Pendiente">
      <formula>NOT(ISERROR(SEARCH("Pendiente",M32)))</formula>
    </cfRule>
    <cfRule type="containsText" dxfId="15232" priority="15550" operator="containsText" text="No Aplica">
      <formula>NOT(ISERROR(SEARCH("No Aplica",M32)))</formula>
    </cfRule>
    <cfRule type="containsText" dxfId="15231" priority="15551" operator="containsText" text="Fallido">
      <formula>NOT(ISERROR(SEARCH("Fallido",M32)))</formula>
    </cfRule>
    <cfRule type="containsText" dxfId="15230" priority="15552" operator="containsText" text="Éxitoso">
      <formula>NOT(ISERROR(SEARCH("Éxitoso",M32)))</formula>
    </cfRule>
  </conditionalFormatting>
  <conditionalFormatting sqref="G32">
    <cfRule type="containsText" dxfId="15229" priority="15545" operator="containsText" text="Bajo">
      <formula>NOT(ISERROR(SEARCH("Bajo",G32)))</formula>
    </cfRule>
    <cfRule type="containsText" dxfId="15228" priority="15546" operator="containsText" text="Medio">
      <formula>NOT(ISERROR(SEARCH("Medio",G32)))</formula>
    </cfRule>
    <cfRule type="containsText" dxfId="15227" priority="15547" operator="containsText" text="Alto">
      <formula>NOT(ISERROR(SEARCH("Alto",G32)))</formula>
    </cfRule>
  </conditionalFormatting>
  <conditionalFormatting sqref="N33">
    <cfRule type="containsText" dxfId="15226" priority="15540" operator="containsText" text="No se pudo ejecutar">
      <formula>NOT(ISERROR(SEARCH("No se pudo ejecutar",N33)))</formula>
    </cfRule>
    <cfRule type="containsText" dxfId="15225" priority="15541" operator="containsText" text="Pendiente">
      <formula>NOT(ISERROR(SEARCH("Pendiente",N33)))</formula>
    </cfRule>
    <cfRule type="containsText" dxfId="15224" priority="15542" operator="containsText" text="No Aplica">
      <formula>NOT(ISERROR(SEARCH("No Aplica",N33)))</formula>
    </cfRule>
    <cfRule type="containsText" dxfId="15223" priority="15543" operator="containsText" text="Fallido">
      <formula>NOT(ISERROR(SEARCH("Fallido",N33)))</formula>
    </cfRule>
    <cfRule type="containsText" dxfId="15222" priority="15544" operator="containsText" text="Éxitoso">
      <formula>NOT(ISERROR(SEARCH("Éxitoso",N33)))</formula>
    </cfRule>
  </conditionalFormatting>
  <conditionalFormatting sqref="O33">
    <cfRule type="containsText" dxfId="15221" priority="15535" operator="containsText" text="No se pudo ejecutar">
      <formula>NOT(ISERROR(SEARCH("No se pudo ejecutar",O33)))</formula>
    </cfRule>
    <cfRule type="containsText" dxfId="15220" priority="15536" operator="containsText" text="Pendiente">
      <formula>NOT(ISERROR(SEARCH("Pendiente",O33)))</formula>
    </cfRule>
    <cfRule type="containsText" dxfId="15219" priority="15537" operator="containsText" text="No Aplica">
      <formula>NOT(ISERROR(SEARCH("No Aplica",O33)))</formula>
    </cfRule>
    <cfRule type="containsText" dxfId="15218" priority="15538" operator="containsText" text="Fallido">
      <formula>NOT(ISERROR(SEARCH("Fallido",O33)))</formula>
    </cfRule>
    <cfRule type="containsText" dxfId="15217" priority="15539" operator="containsText" text="Éxitoso">
      <formula>NOT(ISERROR(SEARCH("Éxitoso",O33)))</formula>
    </cfRule>
  </conditionalFormatting>
  <conditionalFormatting sqref="P33">
    <cfRule type="containsText" dxfId="15216" priority="15530" operator="containsText" text="No se pudo ejecutar">
      <formula>NOT(ISERROR(SEARCH("No se pudo ejecutar",P33)))</formula>
    </cfRule>
    <cfRule type="containsText" dxfId="15215" priority="15531" operator="containsText" text="Pendiente">
      <formula>NOT(ISERROR(SEARCH("Pendiente",P33)))</formula>
    </cfRule>
    <cfRule type="containsText" dxfId="15214" priority="15532" operator="containsText" text="No Aplica">
      <formula>NOT(ISERROR(SEARCH("No Aplica",P33)))</formula>
    </cfRule>
    <cfRule type="containsText" dxfId="15213" priority="15533" operator="containsText" text="Fallido">
      <formula>NOT(ISERROR(SEARCH("Fallido",P33)))</formula>
    </cfRule>
    <cfRule type="containsText" dxfId="15212" priority="15534" operator="containsText" text="Éxitoso">
      <formula>NOT(ISERROR(SEARCH("Éxitoso",P33)))</formula>
    </cfRule>
  </conditionalFormatting>
  <conditionalFormatting sqref="Q33">
    <cfRule type="containsText" dxfId="15211" priority="15525" operator="containsText" text="No se pudo ejecutar">
      <formula>NOT(ISERROR(SEARCH("No se pudo ejecutar",Q33)))</formula>
    </cfRule>
    <cfRule type="containsText" dxfId="15210" priority="15526" operator="containsText" text="Pendiente">
      <formula>NOT(ISERROR(SEARCH("Pendiente",Q33)))</formula>
    </cfRule>
    <cfRule type="containsText" dxfId="15209" priority="15527" operator="containsText" text="No Aplica">
      <formula>NOT(ISERROR(SEARCH("No Aplica",Q33)))</formula>
    </cfRule>
    <cfRule type="containsText" dxfId="15208" priority="15528" operator="containsText" text="Fallido">
      <formula>NOT(ISERROR(SEARCH("Fallido",Q33)))</formula>
    </cfRule>
    <cfRule type="containsText" dxfId="15207" priority="15529" operator="containsText" text="Éxitoso">
      <formula>NOT(ISERROR(SEARCH("Éxitoso",Q33)))</formula>
    </cfRule>
  </conditionalFormatting>
  <conditionalFormatting sqref="R33">
    <cfRule type="containsText" dxfId="15206" priority="15520" operator="containsText" text="No se pudo ejecutar">
      <formula>NOT(ISERROR(SEARCH("No se pudo ejecutar",R33)))</formula>
    </cfRule>
    <cfRule type="containsText" dxfId="15205" priority="15521" operator="containsText" text="Pendiente">
      <formula>NOT(ISERROR(SEARCH("Pendiente",R33)))</formula>
    </cfRule>
    <cfRule type="containsText" dxfId="15204" priority="15522" operator="containsText" text="No Aplica">
      <formula>NOT(ISERROR(SEARCH("No Aplica",R33)))</formula>
    </cfRule>
    <cfRule type="containsText" dxfId="15203" priority="15523" operator="containsText" text="Fallido">
      <formula>NOT(ISERROR(SEARCH("Fallido",R33)))</formula>
    </cfRule>
    <cfRule type="containsText" dxfId="15202" priority="15524" operator="containsText" text="Éxitoso">
      <formula>NOT(ISERROR(SEARCH("Éxitoso",R33)))</formula>
    </cfRule>
  </conditionalFormatting>
  <conditionalFormatting sqref="S33">
    <cfRule type="containsText" dxfId="15201" priority="15515" operator="containsText" text="No se pudo ejecutar">
      <formula>NOT(ISERROR(SEARCH("No se pudo ejecutar",S33)))</formula>
    </cfRule>
    <cfRule type="containsText" dxfId="15200" priority="15516" operator="containsText" text="Pendiente">
      <formula>NOT(ISERROR(SEARCH("Pendiente",S33)))</formula>
    </cfRule>
    <cfRule type="containsText" dxfId="15199" priority="15517" operator="containsText" text="No Aplica">
      <formula>NOT(ISERROR(SEARCH("No Aplica",S33)))</formula>
    </cfRule>
    <cfRule type="containsText" dxfId="15198" priority="15518" operator="containsText" text="Fallido">
      <formula>NOT(ISERROR(SEARCH("Fallido",S33)))</formula>
    </cfRule>
    <cfRule type="containsText" dxfId="15197" priority="15519" operator="containsText" text="Éxitoso">
      <formula>NOT(ISERROR(SEARCH("Éxitoso",S33)))</formula>
    </cfRule>
  </conditionalFormatting>
  <conditionalFormatting sqref="T33">
    <cfRule type="containsText" dxfId="15196" priority="15510" operator="containsText" text="No se pudo ejecutar">
      <formula>NOT(ISERROR(SEARCH("No se pudo ejecutar",T33)))</formula>
    </cfRule>
    <cfRule type="containsText" dxfId="15195" priority="15511" operator="containsText" text="Pendiente">
      <formula>NOT(ISERROR(SEARCH("Pendiente",T33)))</formula>
    </cfRule>
    <cfRule type="containsText" dxfId="15194" priority="15512" operator="containsText" text="No Aplica">
      <formula>NOT(ISERROR(SEARCH("No Aplica",T33)))</formula>
    </cfRule>
    <cfRule type="containsText" dxfId="15193" priority="15513" operator="containsText" text="Fallido">
      <formula>NOT(ISERROR(SEARCH("Fallido",T33)))</formula>
    </cfRule>
    <cfRule type="containsText" dxfId="15192" priority="15514" operator="containsText" text="Éxitoso">
      <formula>NOT(ISERROR(SEARCH("Éxitoso",T33)))</formula>
    </cfRule>
  </conditionalFormatting>
  <conditionalFormatting sqref="U33">
    <cfRule type="containsText" dxfId="15191" priority="15505" operator="containsText" text="No se pudo ejecutar">
      <formula>NOT(ISERROR(SEARCH("No se pudo ejecutar",U33)))</formula>
    </cfRule>
    <cfRule type="containsText" dxfId="15190" priority="15506" operator="containsText" text="Pendiente">
      <formula>NOT(ISERROR(SEARCH("Pendiente",U33)))</formula>
    </cfRule>
    <cfRule type="containsText" dxfId="15189" priority="15507" operator="containsText" text="No Aplica">
      <formula>NOT(ISERROR(SEARCH("No Aplica",U33)))</formula>
    </cfRule>
    <cfRule type="containsText" dxfId="15188" priority="15508" operator="containsText" text="Fallido">
      <formula>NOT(ISERROR(SEARCH("Fallido",U33)))</formula>
    </cfRule>
    <cfRule type="containsText" dxfId="15187" priority="15509" operator="containsText" text="Éxitoso">
      <formula>NOT(ISERROR(SEARCH("Éxitoso",U33)))</formula>
    </cfRule>
  </conditionalFormatting>
  <conditionalFormatting sqref="V33">
    <cfRule type="containsText" dxfId="15186" priority="15500" operator="containsText" text="No se pudo ejecutar">
      <formula>NOT(ISERROR(SEARCH("No se pudo ejecutar",V33)))</formula>
    </cfRule>
    <cfRule type="containsText" dxfId="15185" priority="15501" operator="containsText" text="Pendiente">
      <formula>NOT(ISERROR(SEARCH("Pendiente",V33)))</formula>
    </cfRule>
    <cfRule type="containsText" dxfId="15184" priority="15502" operator="containsText" text="No Aplica">
      <formula>NOT(ISERROR(SEARCH("No Aplica",V33)))</formula>
    </cfRule>
    <cfRule type="containsText" dxfId="15183" priority="15503" operator="containsText" text="Fallido">
      <formula>NOT(ISERROR(SEARCH("Fallido",V33)))</formula>
    </cfRule>
    <cfRule type="containsText" dxfId="15182" priority="15504" operator="containsText" text="Éxitoso">
      <formula>NOT(ISERROR(SEARCH("Éxitoso",V33)))</formula>
    </cfRule>
  </conditionalFormatting>
  <conditionalFormatting sqref="W33">
    <cfRule type="containsText" dxfId="15181" priority="15495" operator="containsText" text="No se pudo ejecutar">
      <formula>NOT(ISERROR(SEARCH("No se pudo ejecutar",W33)))</formula>
    </cfRule>
    <cfRule type="containsText" dxfId="15180" priority="15496" operator="containsText" text="Pendiente">
      <formula>NOT(ISERROR(SEARCH("Pendiente",W33)))</formula>
    </cfRule>
    <cfRule type="containsText" dxfId="15179" priority="15497" operator="containsText" text="No Aplica">
      <formula>NOT(ISERROR(SEARCH("No Aplica",W33)))</formula>
    </cfRule>
    <cfRule type="containsText" dxfId="15178" priority="15498" operator="containsText" text="Fallido">
      <formula>NOT(ISERROR(SEARCH("Fallido",W33)))</formula>
    </cfRule>
    <cfRule type="containsText" dxfId="15177" priority="15499" operator="containsText" text="Éxitoso">
      <formula>NOT(ISERROR(SEARCH("Éxitoso",W33)))</formula>
    </cfRule>
  </conditionalFormatting>
  <conditionalFormatting sqref="M33">
    <cfRule type="containsText" dxfId="15176" priority="15490" operator="containsText" text="No se pudo ejecutar">
      <formula>NOT(ISERROR(SEARCH("No se pudo ejecutar",M33)))</formula>
    </cfRule>
    <cfRule type="containsText" dxfId="15175" priority="15491" operator="containsText" text="Pendiente">
      <formula>NOT(ISERROR(SEARCH("Pendiente",M33)))</formula>
    </cfRule>
    <cfRule type="containsText" dxfId="15174" priority="15492" operator="containsText" text="No Aplica">
      <formula>NOT(ISERROR(SEARCH("No Aplica",M33)))</formula>
    </cfRule>
    <cfRule type="containsText" dxfId="15173" priority="15493" operator="containsText" text="Fallido">
      <formula>NOT(ISERROR(SEARCH("Fallido",M33)))</formula>
    </cfRule>
    <cfRule type="containsText" dxfId="15172" priority="15494" operator="containsText" text="Éxitoso">
      <formula>NOT(ISERROR(SEARCH("Éxitoso",M33)))</formula>
    </cfRule>
  </conditionalFormatting>
  <conditionalFormatting sqref="G33">
    <cfRule type="containsText" dxfId="15171" priority="15487" operator="containsText" text="Bajo">
      <formula>NOT(ISERROR(SEARCH("Bajo",G33)))</formula>
    </cfRule>
    <cfRule type="containsText" dxfId="15170" priority="15488" operator="containsText" text="Medio">
      <formula>NOT(ISERROR(SEARCH("Medio",G33)))</formula>
    </cfRule>
    <cfRule type="containsText" dxfId="15169" priority="15489" operator="containsText" text="Alto">
      <formula>NOT(ISERROR(SEARCH("Alto",G33)))</formula>
    </cfRule>
  </conditionalFormatting>
  <conditionalFormatting sqref="N34">
    <cfRule type="containsText" dxfId="15168" priority="15482" operator="containsText" text="No se pudo ejecutar">
      <formula>NOT(ISERROR(SEARCH("No se pudo ejecutar",N34)))</formula>
    </cfRule>
    <cfRule type="containsText" dxfId="15167" priority="15483" operator="containsText" text="Pendiente">
      <formula>NOT(ISERROR(SEARCH("Pendiente",N34)))</formula>
    </cfRule>
    <cfRule type="containsText" dxfId="15166" priority="15484" operator="containsText" text="No Aplica">
      <formula>NOT(ISERROR(SEARCH("No Aplica",N34)))</formula>
    </cfRule>
    <cfRule type="containsText" dxfId="15165" priority="15485" operator="containsText" text="Fallido">
      <formula>NOT(ISERROR(SEARCH("Fallido",N34)))</formula>
    </cfRule>
    <cfRule type="containsText" dxfId="15164" priority="15486" operator="containsText" text="Éxitoso">
      <formula>NOT(ISERROR(SEARCH("Éxitoso",N34)))</formula>
    </cfRule>
  </conditionalFormatting>
  <conditionalFormatting sqref="O34">
    <cfRule type="containsText" dxfId="15163" priority="15477" operator="containsText" text="No se pudo ejecutar">
      <formula>NOT(ISERROR(SEARCH("No se pudo ejecutar",O34)))</formula>
    </cfRule>
    <cfRule type="containsText" dxfId="15162" priority="15478" operator="containsText" text="Pendiente">
      <formula>NOT(ISERROR(SEARCH("Pendiente",O34)))</formula>
    </cfRule>
    <cfRule type="containsText" dxfId="15161" priority="15479" operator="containsText" text="No Aplica">
      <formula>NOT(ISERROR(SEARCH("No Aplica",O34)))</formula>
    </cfRule>
    <cfRule type="containsText" dxfId="15160" priority="15480" operator="containsText" text="Fallido">
      <formula>NOT(ISERROR(SEARCH("Fallido",O34)))</formula>
    </cfRule>
    <cfRule type="containsText" dxfId="15159" priority="15481" operator="containsText" text="Éxitoso">
      <formula>NOT(ISERROR(SEARCH("Éxitoso",O34)))</formula>
    </cfRule>
  </conditionalFormatting>
  <conditionalFormatting sqref="P34">
    <cfRule type="containsText" dxfId="15158" priority="15472" operator="containsText" text="No se pudo ejecutar">
      <formula>NOT(ISERROR(SEARCH("No se pudo ejecutar",P34)))</formula>
    </cfRule>
    <cfRule type="containsText" dxfId="15157" priority="15473" operator="containsText" text="Pendiente">
      <formula>NOT(ISERROR(SEARCH("Pendiente",P34)))</formula>
    </cfRule>
    <cfRule type="containsText" dxfId="15156" priority="15474" operator="containsText" text="No Aplica">
      <formula>NOT(ISERROR(SEARCH("No Aplica",P34)))</formula>
    </cfRule>
    <cfRule type="containsText" dxfId="15155" priority="15475" operator="containsText" text="Fallido">
      <formula>NOT(ISERROR(SEARCH("Fallido",P34)))</formula>
    </cfRule>
    <cfRule type="containsText" dxfId="15154" priority="15476" operator="containsText" text="Éxitoso">
      <formula>NOT(ISERROR(SEARCH("Éxitoso",P34)))</formula>
    </cfRule>
  </conditionalFormatting>
  <conditionalFormatting sqref="Q34">
    <cfRule type="containsText" dxfId="15153" priority="15467" operator="containsText" text="No se pudo ejecutar">
      <formula>NOT(ISERROR(SEARCH("No se pudo ejecutar",Q34)))</formula>
    </cfRule>
    <cfRule type="containsText" dxfId="15152" priority="15468" operator="containsText" text="Pendiente">
      <formula>NOT(ISERROR(SEARCH("Pendiente",Q34)))</formula>
    </cfRule>
    <cfRule type="containsText" dxfId="15151" priority="15469" operator="containsText" text="No Aplica">
      <formula>NOT(ISERROR(SEARCH("No Aplica",Q34)))</formula>
    </cfRule>
    <cfRule type="containsText" dxfId="15150" priority="15470" operator="containsText" text="Fallido">
      <formula>NOT(ISERROR(SEARCH("Fallido",Q34)))</formula>
    </cfRule>
    <cfRule type="containsText" dxfId="15149" priority="15471" operator="containsText" text="Éxitoso">
      <formula>NOT(ISERROR(SEARCH("Éxitoso",Q34)))</formula>
    </cfRule>
  </conditionalFormatting>
  <conditionalFormatting sqref="R34">
    <cfRule type="containsText" dxfId="15148" priority="15462" operator="containsText" text="No se pudo ejecutar">
      <formula>NOT(ISERROR(SEARCH("No se pudo ejecutar",R34)))</formula>
    </cfRule>
    <cfRule type="containsText" dxfId="15147" priority="15463" operator="containsText" text="Pendiente">
      <formula>NOT(ISERROR(SEARCH("Pendiente",R34)))</formula>
    </cfRule>
    <cfRule type="containsText" dxfId="15146" priority="15464" operator="containsText" text="No Aplica">
      <formula>NOT(ISERROR(SEARCH("No Aplica",R34)))</formula>
    </cfRule>
    <cfRule type="containsText" dxfId="15145" priority="15465" operator="containsText" text="Fallido">
      <formula>NOT(ISERROR(SEARCH("Fallido",R34)))</formula>
    </cfRule>
    <cfRule type="containsText" dxfId="15144" priority="15466" operator="containsText" text="Éxitoso">
      <formula>NOT(ISERROR(SEARCH("Éxitoso",R34)))</formula>
    </cfRule>
  </conditionalFormatting>
  <conditionalFormatting sqref="S34">
    <cfRule type="containsText" dxfId="15143" priority="15457" operator="containsText" text="No se pudo ejecutar">
      <formula>NOT(ISERROR(SEARCH("No se pudo ejecutar",S34)))</formula>
    </cfRule>
    <cfRule type="containsText" dxfId="15142" priority="15458" operator="containsText" text="Pendiente">
      <formula>NOT(ISERROR(SEARCH("Pendiente",S34)))</formula>
    </cfRule>
    <cfRule type="containsText" dxfId="15141" priority="15459" operator="containsText" text="No Aplica">
      <formula>NOT(ISERROR(SEARCH("No Aplica",S34)))</formula>
    </cfRule>
    <cfRule type="containsText" dxfId="15140" priority="15460" operator="containsText" text="Fallido">
      <formula>NOT(ISERROR(SEARCH("Fallido",S34)))</formula>
    </cfRule>
    <cfRule type="containsText" dxfId="15139" priority="15461" operator="containsText" text="Éxitoso">
      <formula>NOT(ISERROR(SEARCH("Éxitoso",S34)))</formula>
    </cfRule>
  </conditionalFormatting>
  <conditionalFormatting sqref="T34">
    <cfRule type="containsText" dxfId="15138" priority="15452" operator="containsText" text="No se pudo ejecutar">
      <formula>NOT(ISERROR(SEARCH("No se pudo ejecutar",T34)))</formula>
    </cfRule>
    <cfRule type="containsText" dxfId="15137" priority="15453" operator="containsText" text="Pendiente">
      <formula>NOT(ISERROR(SEARCH("Pendiente",T34)))</formula>
    </cfRule>
    <cfRule type="containsText" dxfId="15136" priority="15454" operator="containsText" text="No Aplica">
      <formula>NOT(ISERROR(SEARCH("No Aplica",T34)))</formula>
    </cfRule>
    <cfRule type="containsText" dxfId="15135" priority="15455" operator="containsText" text="Fallido">
      <formula>NOT(ISERROR(SEARCH("Fallido",T34)))</formula>
    </cfRule>
    <cfRule type="containsText" dxfId="15134" priority="15456" operator="containsText" text="Éxitoso">
      <formula>NOT(ISERROR(SEARCH("Éxitoso",T34)))</formula>
    </cfRule>
  </conditionalFormatting>
  <conditionalFormatting sqref="U34">
    <cfRule type="containsText" dxfId="15133" priority="15447" operator="containsText" text="No se pudo ejecutar">
      <formula>NOT(ISERROR(SEARCH("No se pudo ejecutar",U34)))</formula>
    </cfRule>
    <cfRule type="containsText" dxfId="15132" priority="15448" operator="containsText" text="Pendiente">
      <formula>NOT(ISERROR(SEARCH("Pendiente",U34)))</formula>
    </cfRule>
    <cfRule type="containsText" dxfId="15131" priority="15449" operator="containsText" text="No Aplica">
      <formula>NOT(ISERROR(SEARCH("No Aplica",U34)))</formula>
    </cfRule>
    <cfRule type="containsText" dxfId="15130" priority="15450" operator="containsText" text="Fallido">
      <formula>NOT(ISERROR(SEARCH("Fallido",U34)))</formula>
    </cfRule>
    <cfRule type="containsText" dxfId="15129" priority="15451" operator="containsText" text="Éxitoso">
      <formula>NOT(ISERROR(SEARCH("Éxitoso",U34)))</formula>
    </cfRule>
  </conditionalFormatting>
  <conditionalFormatting sqref="V34">
    <cfRule type="containsText" dxfId="15128" priority="15442" operator="containsText" text="No se pudo ejecutar">
      <formula>NOT(ISERROR(SEARCH("No se pudo ejecutar",V34)))</formula>
    </cfRule>
    <cfRule type="containsText" dxfId="15127" priority="15443" operator="containsText" text="Pendiente">
      <formula>NOT(ISERROR(SEARCH("Pendiente",V34)))</formula>
    </cfRule>
    <cfRule type="containsText" dxfId="15126" priority="15444" operator="containsText" text="No Aplica">
      <formula>NOT(ISERROR(SEARCH("No Aplica",V34)))</formula>
    </cfRule>
    <cfRule type="containsText" dxfId="15125" priority="15445" operator="containsText" text="Fallido">
      <formula>NOT(ISERROR(SEARCH("Fallido",V34)))</formula>
    </cfRule>
    <cfRule type="containsText" dxfId="15124" priority="15446" operator="containsText" text="Éxitoso">
      <formula>NOT(ISERROR(SEARCH("Éxitoso",V34)))</formula>
    </cfRule>
  </conditionalFormatting>
  <conditionalFormatting sqref="W34">
    <cfRule type="containsText" dxfId="15123" priority="15437" operator="containsText" text="No se pudo ejecutar">
      <formula>NOT(ISERROR(SEARCH("No se pudo ejecutar",W34)))</formula>
    </cfRule>
    <cfRule type="containsText" dxfId="15122" priority="15438" operator="containsText" text="Pendiente">
      <formula>NOT(ISERROR(SEARCH("Pendiente",W34)))</formula>
    </cfRule>
    <cfRule type="containsText" dxfId="15121" priority="15439" operator="containsText" text="No Aplica">
      <formula>NOT(ISERROR(SEARCH("No Aplica",W34)))</formula>
    </cfRule>
    <cfRule type="containsText" dxfId="15120" priority="15440" operator="containsText" text="Fallido">
      <formula>NOT(ISERROR(SEARCH("Fallido",W34)))</formula>
    </cfRule>
    <cfRule type="containsText" dxfId="15119" priority="15441" operator="containsText" text="Éxitoso">
      <formula>NOT(ISERROR(SEARCH("Éxitoso",W34)))</formula>
    </cfRule>
  </conditionalFormatting>
  <conditionalFormatting sqref="M34">
    <cfRule type="containsText" dxfId="15118" priority="15432" operator="containsText" text="No se pudo ejecutar">
      <formula>NOT(ISERROR(SEARCH("No se pudo ejecutar",M34)))</formula>
    </cfRule>
    <cfRule type="containsText" dxfId="15117" priority="15433" operator="containsText" text="Pendiente">
      <formula>NOT(ISERROR(SEARCH("Pendiente",M34)))</formula>
    </cfRule>
    <cfRule type="containsText" dxfId="15116" priority="15434" operator="containsText" text="No Aplica">
      <formula>NOT(ISERROR(SEARCH("No Aplica",M34)))</formula>
    </cfRule>
    <cfRule type="containsText" dxfId="15115" priority="15435" operator="containsText" text="Fallido">
      <formula>NOT(ISERROR(SEARCH("Fallido",M34)))</formula>
    </cfRule>
    <cfRule type="containsText" dxfId="15114" priority="15436" operator="containsText" text="Éxitoso">
      <formula>NOT(ISERROR(SEARCH("Éxitoso",M34)))</formula>
    </cfRule>
  </conditionalFormatting>
  <conditionalFormatting sqref="G34">
    <cfRule type="containsText" dxfId="15113" priority="15429" operator="containsText" text="Bajo">
      <formula>NOT(ISERROR(SEARCH("Bajo",G34)))</formula>
    </cfRule>
    <cfRule type="containsText" dxfId="15112" priority="15430" operator="containsText" text="Medio">
      <formula>NOT(ISERROR(SEARCH("Medio",G34)))</formula>
    </cfRule>
    <cfRule type="containsText" dxfId="15111" priority="15431" operator="containsText" text="Alto">
      <formula>NOT(ISERROR(SEARCH("Alto",G34)))</formula>
    </cfRule>
  </conditionalFormatting>
  <conditionalFormatting sqref="N35">
    <cfRule type="containsText" dxfId="15110" priority="15424" operator="containsText" text="No se pudo ejecutar">
      <formula>NOT(ISERROR(SEARCH("No se pudo ejecutar",N35)))</formula>
    </cfRule>
    <cfRule type="containsText" dxfId="15109" priority="15425" operator="containsText" text="Pendiente">
      <formula>NOT(ISERROR(SEARCH("Pendiente",N35)))</formula>
    </cfRule>
    <cfRule type="containsText" dxfId="15108" priority="15426" operator="containsText" text="No Aplica">
      <formula>NOT(ISERROR(SEARCH("No Aplica",N35)))</formula>
    </cfRule>
    <cfRule type="containsText" dxfId="15107" priority="15427" operator="containsText" text="Fallido">
      <formula>NOT(ISERROR(SEARCH("Fallido",N35)))</formula>
    </cfRule>
    <cfRule type="containsText" dxfId="15106" priority="15428" operator="containsText" text="Éxitoso">
      <formula>NOT(ISERROR(SEARCH("Éxitoso",N35)))</formula>
    </cfRule>
  </conditionalFormatting>
  <conditionalFormatting sqref="O35">
    <cfRule type="containsText" dxfId="15105" priority="15419" operator="containsText" text="No se pudo ejecutar">
      <formula>NOT(ISERROR(SEARCH("No se pudo ejecutar",O35)))</formula>
    </cfRule>
    <cfRule type="containsText" dxfId="15104" priority="15420" operator="containsText" text="Pendiente">
      <formula>NOT(ISERROR(SEARCH("Pendiente",O35)))</formula>
    </cfRule>
    <cfRule type="containsText" dxfId="15103" priority="15421" operator="containsText" text="No Aplica">
      <formula>NOT(ISERROR(SEARCH("No Aplica",O35)))</formula>
    </cfRule>
    <cfRule type="containsText" dxfId="15102" priority="15422" operator="containsText" text="Fallido">
      <formula>NOT(ISERROR(SEARCH("Fallido",O35)))</formula>
    </cfRule>
    <cfRule type="containsText" dxfId="15101" priority="15423" operator="containsText" text="Éxitoso">
      <formula>NOT(ISERROR(SEARCH("Éxitoso",O35)))</formula>
    </cfRule>
  </conditionalFormatting>
  <conditionalFormatting sqref="P35">
    <cfRule type="containsText" dxfId="15100" priority="15414" operator="containsText" text="No se pudo ejecutar">
      <formula>NOT(ISERROR(SEARCH("No se pudo ejecutar",P35)))</formula>
    </cfRule>
    <cfRule type="containsText" dxfId="15099" priority="15415" operator="containsText" text="Pendiente">
      <formula>NOT(ISERROR(SEARCH("Pendiente",P35)))</formula>
    </cfRule>
    <cfRule type="containsText" dxfId="15098" priority="15416" operator="containsText" text="No Aplica">
      <formula>NOT(ISERROR(SEARCH("No Aplica",P35)))</formula>
    </cfRule>
    <cfRule type="containsText" dxfId="15097" priority="15417" operator="containsText" text="Fallido">
      <formula>NOT(ISERROR(SEARCH("Fallido",P35)))</formula>
    </cfRule>
    <cfRule type="containsText" dxfId="15096" priority="15418" operator="containsText" text="Éxitoso">
      <formula>NOT(ISERROR(SEARCH("Éxitoso",P35)))</formula>
    </cfRule>
  </conditionalFormatting>
  <conditionalFormatting sqref="Q35">
    <cfRule type="containsText" dxfId="15095" priority="15409" operator="containsText" text="No se pudo ejecutar">
      <formula>NOT(ISERROR(SEARCH("No se pudo ejecutar",Q35)))</formula>
    </cfRule>
    <cfRule type="containsText" dxfId="15094" priority="15410" operator="containsText" text="Pendiente">
      <formula>NOT(ISERROR(SEARCH("Pendiente",Q35)))</formula>
    </cfRule>
    <cfRule type="containsText" dxfId="15093" priority="15411" operator="containsText" text="No Aplica">
      <formula>NOT(ISERROR(SEARCH("No Aplica",Q35)))</formula>
    </cfRule>
    <cfRule type="containsText" dxfId="15092" priority="15412" operator="containsText" text="Fallido">
      <formula>NOT(ISERROR(SEARCH("Fallido",Q35)))</formula>
    </cfRule>
    <cfRule type="containsText" dxfId="15091" priority="15413" operator="containsText" text="Éxitoso">
      <formula>NOT(ISERROR(SEARCH("Éxitoso",Q35)))</formula>
    </cfRule>
  </conditionalFormatting>
  <conditionalFormatting sqref="R35">
    <cfRule type="containsText" dxfId="15090" priority="15404" operator="containsText" text="No se pudo ejecutar">
      <formula>NOT(ISERROR(SEARCH("No se pudo ejecutar",R35)))</formula>
    </cfRule>
    <cfRule type="containsText" dxfId="15089" priority="15405" operator="containsText" text="Pendiente">
      <formula>NOT(ISERROR(SEARCH("Pendiente",R35)))</formula>
    </cfRule>
    <cfRule type="containsText" dxfId="15088" priority="15406" operator="containsText" text="No Aplica">
      <formula>NOT(ISERROR(SEARCH("No Aplica",R35)))</formula>
    </cfRule>
    <cfRule type="containsText" dxfId="15087" priority="15407" operator="containsText" text="Fallido">
      <formula>NOT(ISERROR(SEARCH("Fallido",R35)))</formula>
    </cfRule>
    <cfRule type="containsText" dxfId="15086" priority="15408" operator="containsText" text="Éxitoso">
      <formula>NOT(ISERROR(SEARCH("Éxitoso",R35)))</formula>
    </cfRule>
  </conditionalFormatting>
  <conditionalFormatting sqref="S35">
    <cfRule type="containsText" dxfId="15085" priority="15399" operator="containsText" text="No se pudo ejecutar">
      <formula>NOT(ISERROR(SEARCH("No se pudo ejecutar",S35)))</formula>
    </cfRule>
    <cfRule type="containsText" dxfId="15084" priority="15400" operator="containsText" text="Pendiente">
      <formula>NOT(ISERROR(SEARCH("Pendiente",S35)))</formula>
    </cfRule>
    <cfRule type="containsText" dxfId="15083" priority="15401" operator="containsText" text="No Aplica">
      <formula>NOT(ISERROR(SEARCH("No Aplica",S35)))</formula>
    </cfRule>
    <cfRule type="containsText" dxfId="15082" priority="15402" operator="containsText" text="Fallido">
      <formula>NOT(ISERROR(SEARCH("Fallido",S35)))</formula>
    </cfRule>
    <cfRule type="containsText" dxfId="15081" priority="15403" operator="containsText" text="Éxitoso">
      <formula>NOT(ISERROR(SEARCH("Éxitoso",S35)))</formula>
    </cfRule>
  </conditionalFormatting>
  <conditionalFormatting sqref="T35">
    <cfRule type="containsText" dxfId="15080" priority="15394" operator="containsText" text="No se pudo ejecutar">
      <formula>NOT(ISERROR(SEARCH("No se pudo ejecutar",T35)))</formula>
    </cfRule>
    <cfRule type="containsText" dxfId="15079" priority="15395" operator="containsText" text="Pendiente">
      <formula>NOT(ISERROR(SEARCH("Pendiente",T35)))</formula>
    </cfRule>
    <cfRule type="containsText" dxfId="15078" priority="15396" operator="containsText" text="No Aplica">
      <formula>NOT(ISERROR(SEARCH("No Aplica",T35)))</formula>
    </cfRule>
    <cfRule type="containsText" dxfId="15077" priority="15397" operator="containsText" text="Fallido">
      <formula>NOT(ISERROR(SEARCH("Fallido",T35)))</formula>
    </cfRule>
    <cfRule type="containsText" dxfId="15076" priority="15398" operator="containsText" text="Éxitoso">
      <formula>NOT(ISERROR(SEARCH("Éxitoso",T35)))</formula>
    </cfRule>
  </conditionalFormatting>
  <conditionalFormatting sqref="U35">
    <cfRule type="containsText" dxfId="15075" priority="15389" operator="containsText" text="No se pudo ejecutar">
      <formula>NOT(ISERROR(SEARCH("No se pudo ejecutar",U35)))</formula>
    </cfRule>
    <cfRule type="containsText" dxfId="15074" priority="15390" operator="containsText" text="Pendiente">
      <formula>NOT(ISERROR(SEARCH("Pendiente",U35)))</formula>
    </cfRule>
    <cfRule type="containsText" dxfId="15073" priority="15391" operator="containsText" text="No Aplica">
      <formula>NOT(ISERROR(SEARCH("No Aplica",U35)))</formula>
    </cfRule>
    <cfRule type="containsText" dxfId="15072" priority="15392" operator="containsText" text="Fallido">
      <formula>NOT(ISERROR(SEARCH("Fallido",U35)))</formula>
    </cfRule>
    <cfRule type="containsText" dxfId="15071" priority="15393" operator="containsText" text="Éxitoso">
      <formula>NOT(ISERROR(SEARCH("Éxitoso",U35)))</formula>
    </cfRule>
  </conditionalFormatting>
  <conditionalFormatting sqref="V35">
    <cfRule type="containsText" dxfId="15070" priority="15384" operator="containsText" text="No se pudo ejecutar">
      <formula>NOT(ISERROR(SEARCH("No se pudo ejecutar",V35)))</formula>
    </cfRule>
    <cfRule type="containsText" dxfId="15069" priority="15385" operator="containsText" text="Pendiente">
      <formula>NOT(ISERROR(SEARCH("Pendiente",V35)))</formula>
    </cfRule>
    <cfRule type="containsText" dxfId="15068" priority="15386" operator="containsText" text="No Aplica">
      <formula>NOT(ISERROR(SEARCH("No Aplica",V35)))</formula>
    </cfRule>
    <cfRule type="containsText" dxfId="15067" priority="15387" operator="containsText" text="Fallido">
      <formula>NOT(ISERROR(SEARCH("Fallido",V35)))</formula>
    </cfRule>
    <cfRule type="containsText" dxfId="15066" priority="15388" operator="containsText" text="Éxitoso">
      <formula>NOT(ISERROR(SEARCH("Éxitoso",V35)))</formula>
    </cfRule>
  </conditionalFormatting>
  <conditionalFormatting sqref="W35">
    <cfRule type="containsText" dxfId="15065" priority="15379" operator="containsText" text="No se pudo ejecutar">
      <formula>NOT(ISERROR(SEARCH("No se pudo ejecutar",W35)))</formula>
    </cfRule>
    <cfRule type="containsText" dxfId="15064" priority="15380" operator="containsText" text="Pendiente">
      <formula>NOT(ISERROR(SEARCH("Pendiente",W35)))</formula>
    </cfRule>
    <cfRule type="containsText" dxfId="15063" priority="15381" operator="containsText" text="No Aplica">
      <formula>NOT(ISERROR(SEARCH("No Aplica",W35)))</formula>
    </cfRule>
    <cfRule type="containsText" dxfId="15062" priority="15382" operator="containsText" text="Fallido">
      <formula>NOT(ISERROR(SEARCH("Fallido",W35)))</formula>
    </cfRule>
    <cfRule type="containsText" dxfId="15061" priority="15383" operator="containsText" text="Éxitoso">
      <formula>NOT(ISERROR(SEARCH("Éxitoso",W35)))</formula>
    </cfRule>
  </conditionalFormatting>
  <conditionalFormatting sqref="M35">
    <cfRule type="containsText" dxfId="15060" priority="15374" operator="containsText" text="No se pudo ejecutar">
      <formula>NOT(ISERROR(SEARCH("No se pudo ejecutar",M35)))</formula>
    </cfRule>
    <cfRule type="containsText" dxfId="15059" priority="15375" operator="containsText" text="Pendiente">
      <formula>NOT(ISERROR(SEARCH("Pendiente",M35)))</formula>
    </cfRule>
    <cfRule type="containsText" dxfId="15058" priority="15376" operator="containsText" text="No Aplica">
      <formula>NOT(ISERROR(SEARCH("No Aplica",M35)))</formula>
    </cfRule>
    <cfRule type="containsText" dxfId="15057" priority="15377" operator="containsText" text="Fallido">
      <formula>NOT(ISERROR(SEARCH("Fallido",M35)))</formula>
    </cfRule>
    <cfRule type="containsText" dxfId="15056" priority="15378" operator="containsText" text="Éxitoso">
      <formula>NOT(ISERROR(SEARCH("Éxitoso",M35)))</formula>
    </cfRule>
  </conditionalFormatting>
  <conditionalFormatting sqref="G35">
    <cfRule type="containsText" dxfId="15055" priority="15371" operator="containsText" text="Bajo">
      <formula>NOT(ISERROR(SEARCH("Bajo",G35)))</formula>
    </cfRule>
    <cfRule type="containsText" dxfId="15054" priority="15372" operator="containsText" text="Medio">
      <formula>NOT(ISERROR(SEARCH("Medio",G35)))</formula>
    </cfRule>
    <cfRule type="containsText" dxfId="15053" priority="15373" operator="containsText" text="Alto">
      <formula>NOT(ISERROR(SEARCH("Alto",G35)))</formula>
    </cfRule>
  </conditionalFormatting>
  <conditionalFormatting sqref="N36">
    <cfRule type="containsText" dxfId="15052" priority="15366" operator="containsText" text="No se pudo ejecutar">
      <formula>NOT(ISERROR(SEARCH("No se pudo ejecutar",N36)))</formula>
    </cfRule>
    <cfRule type="containsText" dxfId="15051" priority="15367" operator="containsText" text="Pendiente">
      <formula>NOT(ISERROR(SEARCH("Pendiente",N36)))</formula>
    </cfRule>
    <cfRule type="containsText" dxfId="15050" priority="15368" operator="containsText" text="No Aplica">
      <formula>NOT(ISERROR(SEARCH("No Aplica",N36)))</formula>
    </cfRule>
    <cfRule type="containsText" dxfId="15049" priority="15369" operator="containsText" text="Fallido">
      <formula>NOT(ISERROR(SEARCH("Fallido",N36)))</formula>
    </cfRule>
    <cfRule type="containsText" dxfId="15048" priority="15370" operator="containsText" text="Éxitoso">
      <formula>NOT(ISERROR(SEARCH("Éxitoso",N36)))</formula>
    </cfRule>
  </conditionalFormatting>
  <conditionalFormatting sqref="O36">
    <cfRule type="containsText" dxfId="15047" priority="15361" operator="containsText" text="No se pudo ejecutar">
      <formula>NOT(ISERROR(SEARCH("No se pudo ejecutar",O36)))</formula>
    </cfRule>
    <cfRule type="containsText" dxfId="15046" priority="15362" operator="containsText" text="Pendiente">
      <formula>NOT(ISERROR(SEARCH("Pendiente",O36)))</formula>
    </cfRule>
    <cfRule type="containsText" dxfId="15045" priority="15363" operator="containsText" text="No Aplica">
      <formula>NOT(ISERROR(SEARCH("No Aplica",O36)))</formula>
    </cfRule>
    <cfRule type="containsText" dxfId="15044" priority="15364" operator="containsText" text="Fallido">
      <formula>NOT(ISERROR(SEARCH("Fallido",O36)))</formula>
    </cfRule>
    <cfRule type="containsText" dxfId="15043" priority="15365" operator="containsText" text="Éxitoso">
      <formula>NOT(ISERROR(SEARCH("Éxitoso",O36)))</formula>
    </cfRule>
  </conditionalFormatting>
  <conditionalFormatting sqref="P36">
    <cfRule type="containsText" dxfId="15042" priority="15356" operator="containsText" text="No se pudo ejecutar">
      <formula>NOT(ISERROR(SEARCH("No se pudo ejecutar",P36)))</formula>
    </cfRule>
    <cfRule type="containsText" dxfId="15041" priority="15357" operator="containsText" text="Pendiente">
      <formula>NOT(ISERROR(SEARCH("Pendiente",P36)))</formula>
    </cfRule>
    <cfRule type="containsText" dxfId="15040" priority="15358" operator="containsText" text="No Aplica">
      <formula>NOT(ISERROR(SEARCH("No Aplica",P36)))</formula>
    </cfRule>
    <cfRule type="containsText" dxfId="15039" priority="15359" operator="containsText" text="Fallido">
      <formula>NOT(ISERROR(SEARCH("Fallido",P36)))</formula>
    </cfRule>
    <cfRule type="containsText" dxfId="15038" priority="15360" operator="containsText" text="Éxitoso">
      <formula>NOT(ISERROR(SEARCH("Éxitoso",P36)))</formula>
    </cfRule>
  </conditionalFormatting>
  <conditionalFormatting sqref="Q36">
    <cfRule type="containsText" dxfId="15037" priority="15351" operator="containsText" text="No se pudo ejecutar">
      <formula>NOT(ISERROR(SEARCH("No se pudo ejecutar",Q36)))</formula>
    </cfRule>
    <cfRule type="containsText" dxfId="15036" priority="15352" operator="containsText" text="Pendiente">
      <formula>NOT(ISERROR(SEARCH("Pendiente",Q36)))</formula>
    </cfRule>
    <cfRule type="containsText" dxfId="15035" priority="15353" operator="containsText" text="No Aplica">
      <formula>NOT(ISERROR(SEARCH("No Aplica",Q36)))</formula>
    </cfRule>
    <cfRule type="containsText" dxfId="15034" priority="15354" operator="containsText" text="Fallido">
      <formula>NOT(ISERROR(SEARCH("Fallido",Q36)))</formula>
    </cfRule>
    <cfRule type="containsText" dxfId="15033" priority="15355" operator="containsText" text="Éxitoso">
      <formula>NOT(ISERROR(SEARCH("Éxitoso",Q36)))</formula>
    </cfRule>
  </conditionalFormatting>
  <conditionalFormatting sqref="R36">
    <cfRule type="containsText" dxfId="15032" priority="15346" operator="containsText" text="No se pudo ejecutar">
      <formula>NOT(ISERROR(SEARCH("No se pudo ejecutar",R36)))</formula>
    </cfRule>
    <cfRule type="containsText" dxfId="15031" priority="15347" operator="containsText" text="Pendiente">
      <formula>NOT(ISERROR(SEARCH("Pendiente",R36)))</formula>
    </cfRule>
    <cfRule type="containsText" dxfId="15030" priority="15348" operator="containsText" text="No Aplica">
      <formula>NOT(ISERROR(SEARCH("No Aplica",R36)))</formula>
    </cfRule>
    <cfRule type="containsText" dxfId="15029" priority="15349" operator="containsText" text="Fallido">
      <formula>NOT(ISERROR(SEARCH("Fallido",R36)))</formula>
    </cfRule>
    <cfRule type="containsText" dxfId="15028" priority="15350" operator="containsText" text="Éxitoso">
      <formula>NOT(ISERROR(SEARCH("Éxitoso",R36)))</formula>
    </cfRule>
  </conditionalFormatting>
  <conditionalFormatting sqref="S36">
    <cfRule type="containsText" dxfId="15027" priority="15341" operator="containsText" text="No se pudo ejecutar">
      <formula>NOT(ISERROR(SEARCH("No se pudo ejecutar",S36)))</formula>
    </cfRule>
    <cfRule type="containsText" dxfId="15026" priority="15342" operator="containsText" text="Pendiente">
      <formula>NOT(ISERROR(SEARCH("Pendiente",S36)))</formula>
    </cfRule>
    <cfRule type="containsText" dxfId="15025" priority="15343" operator="containsText" text="No Aplica">
      <formula>NOT(ISERROR(SEARCH("No Aplica",S36)))</formula>
    </cfRule>
    <cfRule type="containsText" dxfId="15024" priority="15344" operator="containsText" text="Fallido">
      <formula>NOT(ISERROR(SEARCH("Fallido",S36)))</formula>
    </cfRule>
    <cfRule type="containsText" dxfId="15023" priority="15345" operator="containsText" text="Éxitoso">
      <formula>NOT(ISERROR(SEARCH("Éxitoso",S36)))</formula>
    </cfRule>
  </conditionalFormatting>
  <conditionalFormatting sqref="T36">
    <cfRule type="containsText" dxfId="15022" priority="15336" operator="containsText" text="No se pudo ejecutar">
      <formula>NOT(ISERROR(SEARCH("No se pudo ejecutar",T36)))</formula>
    </cfRule>
    <cfRule type="containsText" dxfId="15021" priority="15337" operator="containsText" text="Pendiente">
      <formula>NOT(ISERROR(SEARCH("Pendiente",T36)))</formula>
    </cfRule>
    <cfRule type="containsText" dxfId="15020" priority="15338" operator="containsText" text="No Aplica">
      <formula>NOT(ISERROR(SEARCH("No Aplica",T36)))</formula>
    </cfRule>
    <cfRule type="containsText" dxfId="15019" priority="15339" operator="containsText" text="Fallido">
      <formula>NOT(ISERROR(SEARCH("Fallido",T36)))</formula>
    </cfRule>
    <cfRule type="containsText" dxfId="15018" priority="15340" operator="containsText" text="Éxitoso">
      <formula>NOT(ISERROR(SEARCH("Éxitoso",T36)))</formula>
    </cfRule>
  </conditionalFormatting>
  <conditionalFormatting sqref="U36">
    <cfRule type="containsText" dxfId="15017" priority="15331" operator="containsText" text="No se pudo ejecutar">
      <formula>NOT(ISERROR(SEARCH("No se pudo ejecutar",U36)))</formula>
    </cfRule>
    <cfRule type="containsText" dxfId="15016" priority="15332" operator="containsText" text="Pendiente">
      <formula>NOT(ISERROR(SEARCH("Pendiente",U36)))</formula>
    </cfRule>
    <cfRule type="containsText" dxfId="15015" priority="15333" operator="containsText" text="No Aplica">
      <formula>NOT(ISERROR(SEARCH("No Aplica",U36)))</formula>
    </cfRule>
    <cfRule type="containsText" dxfId="15014" priority="15334" operator="containsText" text="Fallido">
      <formula>NOT(ISERROR(SEARCH("Fallido",U36)))</formula>
    </cfRule>
    <cfRule type="containsText" dxfId="15013" priority="15335" operator="containsText" text="Éxitoso">
      <formula>NOT(ISERROR(SEARCH("Éxitoso",U36)))</formula>
    </cfRule>
  </conditionalFormatting>
  <conditionalFormatting sqref="V36">
    <cfRule type="containsText" dxfId="15012" priority="15326" operator="containsText" text="No se pudo ejecutar">
      <formula>NOT(ISERROR(SEARCH("No se pudo ejecutar",V36)))</formula>
    </cfRule>
    <cfRule type="containsText" dxfId="15011" priority="15327" operator="containsText" text="Pendiente">
      <formula>NOT(ISERROR(SEARCH("Pendiente",V36)))</formula>
    </cfRule>
    <cfRule type="containsText" dxfId="15010" priority="15328" operator="containsText" text="No Aplica">
      <formula>NOT(ISERROR(SEARCH("No Aplica",V36)))</formula>
    </cfRule>
    <cfRule type="containsText" dxfId="15009" priority="15329" operator="containsText" text="Fallido">
      <formula>NOT(ISERROR(SEARCH("Fallido",V36)))</formula>
    </cfRule>
    <cfRule type="containsText" dxfId="15008" priority="15330" operator="containsText" text="Éxitoso">
      <formula>NOT(ISERROR(SEARCH("Éxitoso",V36)))</formula>
    </cfRule>
  </conditionalFormatting>
  <conditionalFormatting sqref="W36">
    <cfRule type="containsText" dxfId="15007" priority="15321" operator="containsText" text="No se pudo ejecutar">
      <formula>NOT(ISERROR(SEARCH("No se pudo ejecutar",W36)))</formula>
    </cfRule>
    <cfRule type="containsText" dxfId="15006" priority="15322" operator="containsText" text="Pendiente">
      <formula>NOT(ISERROR(SEARCH("Pendiente",W36)))</formula>
    </cfRule>
    <cfRule type="containsText" dxfId="15005" priority="15323" operator="containsText" text="No Aplica">
      <formula>NOT(ISERROR(SEARCH("No Aplica",W36)))</formula>
    </cfRule>
    <cfRule type="containsText" dxfId="15004" priority="15324" operator="containsText" text="Fallido">
      <formula>NOT(ISERROR(SEARCH("Fallido",W36)))</formula>
    </cfRule>
    <cfRule type="containsText" dxfId="15003" priority="15325" operator="containsText" text="Éxitoso">
      <formula>NOT(ISERROR(SEARCH("Éxitoso",W36)))</formula>
    </cfRule>
  </conditionalFormatting>
  <conditionalFormatting sqref="M36">
    <cfRule type="containsText" dxfId="15002" priority="15316" operator="containsText" text="No se pudo ejecutar">
      <formula>NOT(ISERROR(SEARCH("No se pudo ejecutar",M36)))</formula>
    </cfRule>
    <cfRule type="containsText" dxfId="15001" priority="15317" operator="containsText" text="Pendiente">
      <formula>NOT(ISERROR(SEARCH("Pendiente",M36)))</formula>
    </cfRule>
    <cfRule type="containsText" dxfId="15000" priority="15318" operator="containsText" text="No Aplica">
      <formula>NOT(ISERROR(SEARCH("No Aplica",M36)))</formula>
    </cfRule>
    <cfRule type="containsText" dxfId="14999" priority="15319" operator="containsText" text="Fallido">
      <formula>NOT(ISERROR(SEARCH("Fallido",M36)))</formula>
    </cfRule>
    <cfRule type="containsText" dxfId="14998" priority="15320" operator="containsText" text="Éxitoso">
      <formula>NOT(ISERROR(SEARCH("Éxitoso",M36)))</formula>
    </cfRule>
  </conditionalFormatting>
  <conditionalFormatting sqref="G36">
    <cfRule type="containsText" dxfId="14997" priority="15313" operator="containsText" text="Bajo">
      <formula>NOT(ISERROR(SEARCH("Bajo",G36)))</formula>
    </cfRule>
    <cfRule type="containsText" dxfId="14996" priority="15314" operator="containsText" text="Medio">
      <formula>NOT(ISERROR(SEARCH("Medio",G36)))</formula>
    </cfRule>
    <cfRule type="containsText" dxfId="14995" priority="15315" operator="containsText" text="Alto">
      <formula>NOT(ISERROR(SEARCH("Alto",G36)))</formula>
    </cfRule>
  </conditionalFormatting>
  <conditionalFormatting sqref="N37">
    <cfRule type="containsText" dxfId="14994" priority="15308" operator="containsText" text="No se pudo ejecutar">
      <formula>NOT(ISERROR(SEARCH("No se pudo ejecutar",N37)))</formula>
    </cfRule>
    <cfRule type="containsText" dxfId="14993" priority="15309" operator="containsText" text="Pendiente">
      <formula>NOT(ISERROR(SEARCH("Pendiente",N37)))</formula>
    </cfRule>
    <cfRule type="containsText" dxfId="14992" priority="15310" operator="containsText" text="No Aplica">
      <formula>NOT(ISERROR(SEARCH("No Aplica",N37)))</formula>
    </cfRule>
    <cfRule type="containsText" dxfId="14991" priority="15311" operator="containsText" text="Fallido">
      <formula>NOT(ISERROR(SEARCH("Fallido",N37)))</formula>
    </cfRule>
    <cfRule type="containsText" dxfId="14990" priority="15312" operator="containsText" text="Éxitoso">
      <formula>NOT(ISERROR(SEARCH("Éxitoso",N37)))</formula>
    </cfRule>
  </conditionalFormatting>
  <conditionalFormatting sqref="O37">
    <cfRule type="containsText" dxfId="14989" priority="15303" operator="containsText" text="No se pudo ejecutar">
      <formula>NOT(ISERROR(SEARCH("No se pudo ejecutar",O37)))</formula>
    </cfRule>
    <cfRule type="containsText" dxfId="14988" priority="15304" operator="containsText" text="Pendiente">
      <formula>NOT(ISERROR(SEARCH("Pendiente",O37)))</formula>
    </cfRule>
    <cfRule type="containsText" dxfId="14987" priority="15305" operator="containsText" text="No Aplica">
      <formula>NOT(ISERROR(SEARCH("No Aplica",O37)))</formula>
    </cfRule>
    <cfRule type="containsText" dxfId="14986" priority="15306" operator="containsText" text="Fallido">
      <formula>NOT(ISERROR(SEARCH("Fallido",O37)))</formula>
    </cfRule>
    <cfRule type="containsText" dxfId="14985" priority="15307" operator="containsText" text="Éxitoso">
      <formula>NOT(ISERROR(SEARCH("Éxitoso",O37)))</formula>
    </cfRule>
  </conditionalFormatting>
  <conditionalFormatting sqref="P37">
    <cfRule type="containsText" dxfId="14984" priority="15298" operator="containsText" text="No se pudo ejecutar">
      <formula>NOT(ISERROR(SEARCH("No se pudo ejecutar",P37)))</formula>
    </cfRule>
    <cfRule type="containsText" dxfId="14983" priority="15299" operator="containsText" text="Pendiente">
      <formula>NOT(ISERROR(SEARCH("Pendiente",P37)))</formula>
    </cfRule>
    <cfRule type="containsText" dxfId="14982" priority="15300" operator="containsText" text="No Aplica">
      <formula>NOT(ISERROR(SEARCH("No Aplica",P37)))</formula>
    </cfRule>
    <cfRule type="containsText" dxfId="14981" priority="15301" operator="containsText" text="Fallido">
      <formula>NOT(ISERROR(SEARCH("Fallido",P37)))</formula>
    </cfRule>
    <cfRule type="containsText" dxfId="14980" priority="15302" operator="containsText" text="Éxitoso">
      <formula>NOT(ISERROR(SEARCH("Éxitoso",P37)))</formula>
    </cfRule>
  </conditionalFormatting>
  <conditionalFormatting sqref="Q37">
    <cfRule type="containsText" dxfId="14979" priority="15293" operator="containsText" text="No se pudo ejecutar">
      <formula>NOT(ISERROR(SEARCH("No se pudo ejecutar",Q37)))</formula>
    </cfRule>
    <cfRule type="containsText" dxfId="14978" priority="15294" operator="containsText" text="Pendiente">
      <formula>NOT(ISERROR(SEARCH("Pendiente",Q37)))</formula>
    </cfRule>
    <cfRule type="containsText" dxfId="14977" priority="15295" operator="containsText" text="No Aplica">
      <formula>NOT(ISERROR(SEARCH("No Aplica",Q37)))</formula>
    </cfRule>
    <cfRule type="containsText" dxfId="14976" priority="15296" operator="containsText" text="Fallido">
      <formula>NOT(ISERROR(SEARCH("Fallido",Q37)))</formula>
    </cfRule>
    <cfRule type="containsText" dxfId="14975" priority="15297" operator="containsText" text="Éxitoso">
      <formula>NOT(ISERROR(SEARCH("Éxitoso",Q37)))</formula>
    </cfRule>
  </conditionalFormatting>
  <conditionalFormatting sqref="R37">
    <cfRule type="containsText" dxfId="14974" priority="15288" operator="containsText" text="No se pudo ejecutar">
      <formula>NOT(ISERROR(SEARCH("No se pudo ejecutar",R37)))</formula>
    </cfRule>
    <cfRule type="containsText" dxfId="14973" priority="15289" operator="containsText" text="Pendiente">
      <formula>NOT(ISERROR(SEARCH("Pendiente",R37)))</formula>
    </cfRule>
    <cfRule type="containsText" dxfId="14972" priority="15290" operator="containsText" text="No Aplica">
      <formula>NOT(ISERROR(SEARCH("No Aplica",R37)))</formula>
    </cfRule>
    <cfRule type="containsText" dxfId="14971" priority="15291" operator="containsText" text="Fallido">
      <formula>NOT(ISERROR(SEARCH("Fallido",R37)))</formula>
    </cfRule>
    <cfRule type="containsText" dxfId="14970" priority="15292" operator="containsText" text="Éxitoso">
      <formula>NOT(ISERROR(SEARCH("Éxitoso",R37)))</formula>
    </cfRule>
  </conditionalFormatting>
  <conditionalFormatting sqref="S37">
    <cfRule type="containsText" dxfId="14969" priority="15283" operator="containsText" text="No se pudo ejecutar">
      <formula>NOT(ISERROR(SEARCH("No se pudo ejecutar",S37)))</formula>
    </cfRule>
    <cfRule type="containsText" dxfId="14968" priority="15284" operator="containsText" text="Pendiente">
      <formula>NOT(ISERROR(SEARCH("Pendiente",S37)))</formula>
    </cfRule>
    <cfRule type="containsText" dxfId="14967" priority="15285" operator="containsText" text="No Aplica">
      <formula>NOT(ISERROR(SEARCH("No Aplica",S37)))</formula>
    </cfRule>
    <cfRule type="containsText" dxfId="14966" priority="15286" operator="containsText" text="Fallido">
      <formula>NOT(ISERROR(SEARCH("Fallido",S37)))</formula>
    </cfRule>
    <cfRule type="containsText" dxfId="14965" priority="15287" operator="containsText" text="Éxitoso">
      <formula>NOT(ISERROR(SEARCH("Éxitoso",S37)))</formula>
    </cfRule>
  </conditionalFormatting>
  <conditionalFormatting sqref="T37">
    <cfRule type="containsText" dxfId="14964" priority="15278" operator="containsText" text="No se pudo ejecutar">
      <formula>NOT(ISERROR(SEARCH("No se pudo ejecutar",T37)))</formula>
    </cfRule>
    <cfRule type="containsText" dxfId="14963" priority="15279" operator="containsText" text="Pendiente">
      <formula>NOT(ISERROR(SEARCH("Pendiente",T37)))</formula>
    </cfRule>
    <cfRule type="containsText" dxfId="14962" priority="15280" operator="containsText" text="No Aplica">
      <formula>NOT(ISERROR(SEARCH("No Aplica",T37)))</formula>
    </cfRule>
    <cfRule type="containsText" dxfId="14961" priority="15281" operator="containsText" text="Fallido">
      <formula>NOT(ISERROR(SEARCH("Fallido",T37)))</formula>
    </cfRule>
    <cfRule type="containsText" dxfId="14960" priority="15282" operator="containsText" text="Éxitoso">
      <formula>NOT(ISERROR(SEARCH("Éxitoso",T37)))</formula>
    </cfRule>
  </conditionalFormatting>
  <conditionalFormatting sqref="U37">
    <cfRule type="containsText" dxfId="14959" priority="15273" operator="containsText" text="No se pudo ejecutar">
      <formula>NOT(ISERROR(SEARCH("No se pudo ejecutar",U37)))</formula>
    </cfRule>
    <cfRule type="containsText" dxfId="14958" priority="15274" operator="containsText" text="Pendiente">
      <formula>NOT(ISERROR(SEARCH("Pendiente",U37)))</formula>
    </cfRule>
    <cfRule type="containsText" dxfId="14957" priority="15275" operator="containsText" text="No Aplica">
      <formula>NOT(ISERROR(SEARCH("No Aplica",U37)))</formula>
    </cfRule>
    <cfRule type="containsText" dxfId="14956" priority="15276" operator="containsText" text="Fallido">
      <formula>NOT(ISERROR(SEARCH("Fallido",U37)))</formula>
    </cfRule>
    <cfRule type="containsText" dxfId="14955" priority="15277" operator="containsText" text="Éxitoso">
      <formula>NOT(ISERROR(SEARCH("Éxitoso",U37)))</formula>
    </cfRule>
  </conditionalFormatting>
  <conditionalFormatting sqref="V37">
    <cfRule type="containsText" dxfId="14954" priority="15268" operator="containsText" text="No se pudo ejecutar">
      <formula>NOT(ISERROR(SEARCH("No se pudo ejecutar",V37)))</formula>
    </cfRule>
    <cfRule type="containsText" dxfId="14953" priority="15269" operator="containsText" text="Pendiente">
      <formula>NOT(ISERROR(SEARCH("Pendiente",V37)))</formula>
    </cfRule>
    <cfRule type="containsText" dxfId="14952" priority="15270" operator="containsText" text="No Aplica">
      <formula>NOT(ISERROR(SEARCH("No Aplica",V37)))</formula>
    </cfRule>
    <cfRule type="containsText" dxfId="14951" priority="15271" operator="containsText" text="Fallido">
      <formula>NOT(ISERROR(SEARCH("Fallido",V37)))</formula>
    </cfRule>
    <cfRule type="containsText" dxfId="14950" priority="15272" operator="containsText" text="Éxitoso">
      <formula>NOT(ISERROR(SEARCH("Éxitoso",V37)))</formula>
    </cfRule>
  </conditionalFormatting>
  <conditionalFormatting sqref="W37">
    <cfRule type="containsText" dxfId="14949" priority="15263" operator="containsText" text="No se pudo ejecutar">
      <formula>NOT(ISERROR(SEARCH("No se pudo ejecutar",W37)))</formula>
    </cfRule>
    <cfRule type="containsText" dxfId="14948" priority="15264" operator="containsText" text="Pendiente">
      <formula>NOT(ISERROR(SEARCH("Pendiente",W37)))</formula>
    </cfRule>
    <cfRule type="containsText" dxfId="14947" priority="15265" operator="containsText" text="No Aplica">
      <formula>NOT(ISERROR(SEARCH("No Aplica",W37)))</formula>
    </cfRule>
    <cfRule type="containsText" dxfId="14946" priority="15266" operator="containsText" text="Fallido">
      <formula>NOT(ISERROR(SEARCH("Fallido",W37)))</formula>
    </cfRule>
    <cfRule type="containsText" dxfId="14945" priority="15267" operator="containsText" text="Éxitoso">
      <formula>NOT(ISERROR(SEARCH("Éxitoso",W37)))</formula>
    </cfRule>
  </conditionalFormatting>
  <conditionalFormatting sqref="M37">
    <cfRule type="containsText" dxfId="14944" priority="15258" operator="containsText" text="No se pudo ejecutar">
      <formula>NOT(ISERROR(SEARCH("No se pudo ejecutar",M37)))</formula>
    </cfRule>
    <cfRule type="containsText" dxfId="14943" priority="15259" operator="containsText" text="Pendiente">
      <formula>NOT(ISERROR(SEARCH("Pendiente",M37)))</formula>
    </cfRule>
    <cfRule type="containsText" dxfId="14942" priority="15260" operator="containsText" text="No Aplica">
      <formula>NOT(ISERROR(SEARCH("No Aplica",M37)))</formula>
    </cfRule>
    <cfRule type="containsText" dxfId="14941" priority="15261" operator="containsText" text="Fallido">
      <formula>NOT(ISERROR(SEARCH("Fallido",M37)))</formula>
    </cfRule>
    <cfRule type="containsText" dxfId="14940" priority="15262" operator="containsText" text="Éxitoso">
      <formula>NOT(ISERROR(SEARCH("Éxitoso",M37)))</formula>
    </cfRule>
  </conditionalFormatting>
  <conditionalFormatting sqref="G37:G38">
    <cfRule type="containsText" dxfId="14939" priority="15255" operator="containsText" text="Bajo">
      <formula>NOT(ISERROR(SEARCH("Bajo",G37)))</formula>
    </cfRule>
    <cfRule type="containsText" dxfId="14938" priority="15256" operator="containsText" text="Medio">
      <formula>NOT(ISERROR(SEARCH("Medio",G37)))</formula>
    </cfRule>
    <cfRule type="containsText" dxfId="14937" priority="15257" operator="containsText" text="Alto">
      <formula>NOT(ISERROR(SEARCH("Alto",G37)))</formula>
    </cfRule>
  </conditionalFormatting>
  <conditionalFormatting sqref="N38">
    <cfRule type="containsText" dxfId="14936" priority="15250" operator="containsText" text="No se pudo ejecutar">
      <formula>NOT(ISERROR(SEARCH("No se pudo ejecutar",N38)))</formula>
    </cfRule>
    <cfRule type="containsText" dxfId="14935" priority="15251" operator="containsText" text="Pendiente">
      <formula>NOT(ISERROR(SEARCH("Pendiente",N38)))</formula>
    </cfRule>
    <cfRule type="containsText" dxfId="14934" priority="15252" operator="containsText" text="No Aplica">
      <formula>NOT(ISERROR(SEARCH("No Aplica",N38)))</formula>
    </cfRule>
    <cfRule type="containsText" dxfId="14933" priority="15253" operator="containsText" text="Fallido">
      <formula>NOT(ISERROR(SEARCH("Fallido",N38)))</formula>
    </cfRule>
    <cfRule type="containsText" dxfId="14932" priority="15254" operator="containsText" text="Éxitoso">
      <formula>NOT(ISERROR(SEARCH("Éxitoso",N38)))</formula>
    </cfRule>
  </conditionalFormatting>
  <conditionalFormatting sqref="O38">
    <cfRule type="containsText" dxfId="14931" priority="15245" operator="containsText" text="No se pudo ejecutar">
      <formula>NOT(ISERROR(SEARCH("No se pudo ejecutar",O38)))</formula>
    </cfRule>
    <cfRule type="containsText" dxfId="14930" priority="15246" operator="containsText" text="Pendiente">
      <formula>NOT(ISERROR(SEARCH("Pendiente",O38)))</formula>
    </cfRule>
    <cfRule type="containsText" dxfId="14929" priority="15247" operator="containsText" text="No Aplica">
      <formula>NOT(ISERROR(SEARCH("No Aplica",O38)))</formula>
    </cfRule>
    <cfRule type="containsText" dxfId="14928" priority="15248" operator="containsText" text="Fallido">
      <formula>NOT(ISERROR(SEARCH("Fallido",O38)))</formula>
    </cfRule>
    <cfRule type="containsText" dxfId="14927" priority="15249" operator="containsText" text="Éxitoso">
      <formula>NOT(ISERROR(SEARCH("Éxitoso",O38)))</formula>
    </cfRule>
  </conditionalFormatting>
  <conditionalFormatting sqref="P38">
    <cfRule type="containsText" dxfId="14926" priority="15240" operator="containsText" text="No se pudo ejecutar">
      <formula>NOT(ISERROR(SEARCH("No se pudo ejecutar",P38)))</formula>
    </cfRule>
    <cfRule type="containsText" dxfId="14925" priority="15241" operator="containsText" text="Pendiente">
      <formula>NOT(ISERROR(SEARCH("Pendiente",P38)))</formula>
    </cfRule>
    <cfRule type="containsText" dxfId="14924" priority="15242" operator="containsText" text="No Aplica">
      <formula>NOT(ISERROR(SEARCH("No Aplica",P38)))</formula>
    </cfRule>
    <cfRule type="containsText" dxfId="14923" priority="15243" operator="containsText" text="Fallido">
      <formula>NOT(ISERROR(SEARCH("Fallido",P38)))</formula>
    </cfRule>
    <cfRule type="containsText" dxfId="14922" priority="15244" operator="containsText" text="Éxitoso">
      <formula>NOT(ISERROR(SEARCH("Éxitoso",P38)))</formula>
    </cfRule>
  </conditionalFormatting>
  <conditionalFormatting sqref="Q38">
    <cfRule type="containsText" dxfId="14921" priority="15235" operator="containsText" text="No se pudo ejecutar">
      <formula>NOT(ISERROR(SEARCH("No se pudo ejecutar",Q38)))</formula>
    </cfRule>
    <cfRule type="containsText" dxfId="14920" priority="15236" operator="containsText" text="Pendiente">
      <formula>NOT(ISERROR(SEARCH("Pendiente",Q38)))</formula>
    </cfRule>
    <cfRule type="containsText" dxfId="14919" priority="15237" operator="containsText" text="No Aplica">
      <formula>NOT(ISERROR(SEARCH("No Aplica",Q38)))</formula>
    </cfRule>
    <cfRule type="containsText" dxfId="14918" priority="15238" operator="containsText" text="Fallido">
      <formula>NOT(ISERROR(SEARCH("Fallido",Q38)))</formula>
    </cfRule>
    <cfRule type="containsText" dxfId="14917" priority="15239" operator="containsText" text="Éxitoso">
      <formula>NOT(ISERROR(SEARCH("Éxitoso",Q38)))</formula>
    </cfRule>
  </conditionalFormatting>
  <conditionalFormatting sqref="R38">
    <cfRule type="containsText" dxfId="14916" priority="15230" operator="containsText" text="No se pudo ejecutar">
      <formula>NOT(ISERROR(SEARCH("No se pudo ejecutar",R38)))</formula>
    </cfRule>
    <cfRule type="containsText" dxfId="14915" priority="15231" operator="containsText" text="Pendiente">
      <formula>NOT(ISERROR(SEARCH("Pendiente",R38)))</formula>
    </cfRule>
    <cfRule type="containsText" dxfId="14914" priority="15232" operator="containsText" text="No Aplica">
      <formula>NOT(ISERROR(SEARCH("No Aplica",R38)))</formula>
    </cfRule>
    <cfRule type="containsText" dxfId="14913" priority="15233" operator="containsText" text="Fallido">
      <formula>NOT(ISERROR(SEARCH("Fallido",R38)))</formula>
    </cfRule>
    <cfRule type="containsText" dxfId="14912" priority="15234" operator="containsText" text="Éxitoso">
      <formula>NOT(ISERROR(SEARCH("Éxitoso",R38)))</formula>
    </cfRule>
  </conditionalFormatting>
  <conditionalFormatting sqref="S38">
    <cfRule type="containsText" dxfId="14911" priority="15225" operator="containsText" text="No se pudo ejecutar">
      <formula>NOT(ISERROR(SEARCH("No se pudo ejecutar",S38)))</formula>
    </cfRule>
    <cfRule type="containsText" dxfId="14910" priority="15226" operator="containsText" text="Pendiente">
      <formula>NOT(ISERROR(SEARCH("Pendiente",S38)))</formula>
    </cfRule>
    <cfRule type="containsText" dxfId="14909" priority="15227" operator="containsText" text="No Aplica">
      <formula>NOT(ISERROR(SEARCH("No Aplica",S38)))</formula>
    </cfRule>
    <cfRule type="containsText" dxfId="14908" priority="15228" operator="containsText" text="Fallido">
      <formula>NOT(ISERROR(SEARCH("Fallido",S38)))</formula>
    </cfRule>
    <cfRule type="containsText" dxfId="14907" priority="15229" operator="containsText" text="Éxitoso">
      <formula>NOT(ISERROR(SEARCH("Éxitoso",S38)))</formula>
    </cfRule>
  </conditionalFormatting>
  <conditionalFormatting sqref="T38">
    <cfRule type="containsText" dxfId="14906" priority="15220" operator="containsText" text="No se pudo ejecutar">
      <formula>NOT(ISERROR(SEARCH("No se pudo ejecutar",T38)))</formula>
    </cfRule>
    <cfRule type="containsText" dxfId="14905" priority="15221" operator="containsText" text="Pendiente">
      <formula>NOT(ISERROR(SEARCH("Pendiente",T38)))</formula>
    </cfRule>
    <cfRule type="containsText" dxfId="14904" priority="15222" operator="containsText" text="No Aplica">
      <formula>NOT(ISERROR(SEARCH("No Aplica",T38)))</formula>
    </cfRule>
    <cfRule type="containsText" dxfId="14903" priority="15223" operator="containsText" text="Fallido">
      <formula>NOT(ISERROR(SEARCH("Fallido",T38)))</formula>
    </cfRule>
    <cfRule type="containsText" dxfId="14902" priority="15224" operator="containsText" text="Éxitoso">
      <formula>NOT(ISERROR(SEARCH("Éxitoso",T38)))</formula>
    </cfRule>
  </conditionalFormatting>
  <conditionalFormatting sqref="U38">
    <cfRule type="containsText" dxfId="14901" priority="15215" operator="containsText" text="No se pudo ejecutar">
      <formula>NOT(ISERROR(SEARCH("No se pudo ejecutar",U38)))</formula>
    </cfRule>
    <cfRule type="containsText" dxfId="14900" priority="15216" operator="containsText" text="Pendiente">
      <formula>NOT(ISERROR(SEARCH("Pendiente",U38)))</formula>
    </cfRule>
    <cfRule type="containsText" dxfId="14899" priority="15217" operator="containsText" text="No Aplica">
      <formula>NOT(ISERROR(SEARCH("No Aplica",U38)))</formula>
    </cfRule>
    <cfRule type="containsText" dxfId="14898" priority="15218" operator="containsText" text="Fallido">
      <formula>NOT(ISERROR(SEARCH("Fallido",U38)))</formula>
    </cfRule>
    <cfRule type="containsText" dxfId="14897" priority="15219" operator="containsText" text="Éxitoso">
      <formula>NOT(ISERROR(SEARCH("Éxitoso",U38)))</formula>
    </cfRule>
  </conditionalFormatting>
  <conditionalFormatting sqref="V38">
    <cfRule type="containsText" dxfId="14896" priority="15210" operator="containsText" text="No se pudo ejecutar">
      <formula>NOT(ISERROR(SEARCH("No se pudo ejecutar",V38)))</formula>
    </cfRule>
    <cfRule type="containsText" dxfId="14895" priority="15211" operator="containsText" text="Pendiente">
      <formula>NOT(ISERROR(SEARCH("Pendiente",V38)))</formula>
    </cfRule>
    <cfRule type="containsText" dxfId="14894" priority="15212" operator="containsText" text="No Aplica">
      <formula>NOT(ISERROR(SEARCH("No Aplica",V38)))</formula>
    </cfRule>
    <cfRule type="containsText" dxfId="14893" priority="15213" operator="containsText" text="Fallido">
      <formula>NOT(ISERROR(SEARCH("Fallido",V38)))</formula>
    </cfRule>
    <cfRule type="containsText" dxfId="14892" priority="15214" operator="containsText" text="Éxitoso">
      <formula>NOT(ISERROR(SEARCH("Éxitoso",V38)))</formula>
    </cfRule>
  </conditionalFormatting>
  <conditionalFormatting sqref="W38">
    <cfRule type="containsText" dxfId="14891" priority="15205" operator="containsText" text="No se pudo ejecutar">
      <formula>NOT(ISERROR(SEARCH("No se pudo ejecutar",W38)))</formula>
    </cfRule>
    <cfRule type="containsText" dxfId="14890" priority="15206" operator="containsText" text="Pendiente">
      <formula>NOT(ISERROR(SEARCH("Pendiente",W38)))</formula>
    </cfRule>
    <cfRule type="containsText" dxfId="14889" priority="15207" operator="containsText" text="No Aplica">
      <formula>NOT(ISERROR(SEARCH("No Aplica",W38)))</formula>
    </cfRule>
    <cfRule type="containsText" dxfId="14888" priority="15208" operator="containsText" text="Fallido">
      <formula>NOT(ISERROR(SEARCH("Fallido",W38)))</formula>
    </cfRule>
    <cfRule type="containsText" dxfId="14887" priority="15209" operator="containsText" text="Éxitoso">
      <formula>NOT(ISERROR(SEARCH("Éxitoso",W38)))</formula>
    </cfRule>
  </conditionalFormatting>
  <conditionalFormatting sqref="M38">
    <cfRule type="containsText" dxfId="14886" priority="15200" operator="containsText" text="No se pudo ejecutar">
      <formula>NOT(ISERROR(SEARCH("No se pudo ejecutar",M38)))</formula>
    </cfRule>
    <cfRule type="containsText" dxfId="14885" priority="15201" operator="containsText" text="Pendiente">
      <formula>NOT(ISERROR(SEARCH("Pendiente",M38)))</formula>
    </cfRule>
    <cfRule type="containsText" dxfId="14884" priority="15202" operator="containsText" text="No Aplica">
      <formula>NOT(ISERROR(SEARCH("No Aplica",M38)))</formula>
    </cfRule>
    <cfRule type="containsText" dxfId="14883" priority="15203" operator="containsText" text="Fallido">
      <formula>NOT(ISERROR(SEARCH("Fallido",M38)))</formula>
    </cfRule>
    <cfRule type="containsText" dxfId="14882" priority="15204" operator="containsText" text="Éxitoso">
      <formula>NOT(ISERROR(SEARCH("Éxitoso",M38)))</formula>
    </cfRule>
  </conditionalFormatting>
  <conditionalFormatting sqref="N39">
    <cfRule type="containsText" dxfId="14881" priority="15192" operator="containsText" text="No se pudo ejecutar">
      <formula>NOT(ISERROR(SEARCH("No se pudo ejecutar",N39)))</formula>
    </cfRule>
    <cfRule type="containsText" dxfId="14880" priority="15193" operator="containsText" text="Pendiente">
      <formula>NOT(ISERROR(SEARCH("Pendiente",N39)))</formula>
    </cfRule>
    <cfRule type="containsText" dxfId="14879" priority="15194" operator="containsText" text="No Aplica">
      <formula>NOT(ISERROR(SEARCH("No Aplica",N39)))</formula>
    </cfRule>
    <cfRule type="containsText" dxfId="14878" priority="15195" operator="containsText" text="Fallido">
      <formula>NOT(ISERROR(SEARCH("Fallido",N39)))</formula>
    </cfRule>
    <cfRule type="containsText" dxfId="14877" priority="15196" operator="containsText" text="Éxitoso">
      <formula>NOT(ISERROR(SEARCH("Éxitoso",N39)))</formula>
    </cfRule>
  </conditionalFormatting>
  <conditionalFormatting sqref="O39">
    <cfRule type="containsText" dxfId="14876" priority="15187" operator="containsText" text="No se pudo ejecutar">
      <formula>NOT(ISERROR(SEARCH("No se pudo ejecutar",O39)))</formula>
    </cfRule>
    <cfRule type="containsText" dxfId="14875" priority="15188" operator="containsText" text="Pendiente">
      <formula>NOT(ISERROR(SEARCH("Pendiente",O39)))</formula>
    </cfRule>
    <cfRule type="containsText" dxfId="14874" priority="15189" operator="containsText" text="No Aplica">
      <formula>NOT(ISERROR(SEARCH("No Aplica",O39)))</formula>
    </cfRule>
    <cfRule type="containsText" dxfId="14873" priority="15190" operator="containsText" text="Fallido">
      <formula>NOT(ISERROR(SEARCH("Fallido",O39)))</formula>
    </cfRule>
    <cfRule type="containsText" dxfId="14872" priority="15191" operator="containsText" text="Éxitoso">
      <formula>NOT(ISERROR(SEARCH("Éxitoso",O39)))</formula>
    </cfRule>
  </conditionalFormatting>
  <conditionalFormatting sqref="P39">
    <cfRule type="containsText" dxfId="14871" priority="15182" operator="containsText" text="No se pudo ejecutar">
      <formula>NOT(ISERROR(SEARCH("No se pudo ejecutar",P39)))</formula>
    </cfRule>
    <cfRule type="containsText" dxfId="14870" priority="15183" operator="containsText" text="Pendiente">
      <formula>NOT(ISERROR(SEARCH("Pendiente",P39)))</formula>
    </cfRule>
    <cfRule type="containsText" dxfId="14869" priority="15184" operator="containsText" text="No Aplica">
      <formula>NOT(ISERROR(SEARCH("No Aplica",P39)))</formula>
    </cfRule>
    <cfRule type="containsText" dxfId="14868" priority="15185" operator="containsText" text="Fallido">
      <formula>NOT(ISERROR(SEARCH("Fallido",P39)))</formula>
    </cfRule>
    <cfRule type="containsText" dxfId="14867" priority="15186" operator="containsText" text="Éxitoso">
      <formula>NOT(ISERROR(SEARCH("Éxitoso",P39)))</formula>
    </cfRule>
  </conditionalFormatting>
  <conditionalFormatting sqref="Q39">
    <cfRule type="containsText" dxfId="14866" priority="15177" operator="containsText" text="No se pudo ejecutar">
      <formula>NOT(ISERROR(SEARCH("No se pudo ejecutar",Q39)))</formula>
    </cfRule>
    <cfRule type="containsText" dxfId="14865" priority="15178" operator="containsText" text="Pendiente">
      <formula>NOT(ISERROR(SEARCH("Pendiente",Q39)))</formula>
    </cfRule>
    <cfRule type="containsText" dxfId="14864" priority="15179" operator="containsText" text="No Aplica">
      <formula>NOT(ISERROR(SEARCH("No Aplica",Q39)))</formula>
    </cfRule>
    <cfRule type="containsText" dxfId="14863" priority="15180" operator="containsText" text="Fallido">
      <formula>NOT(ISERROR(SEARCH("Fallido",Q39)))</formula>
    </cfRule>
    <cfRule type="containsText" dxfId="14862" priority="15181" operator="containsText" text="Éxitoso">
      <formula>NOT(ISERROR(SEARCH("Éxitoso",Q39)))</formula>
    </cfRule>
  </conditionalFormatting>
  <conditionalFormatting sqref="R39">
    <cfRule type="containsText" dxfId="14861" priority="15172" operator="containsText" text="No se pudo ejecutar">
      <formula>NOT(ISERROR(SEARCH("No se pudo ejecutar",R39)))</formula>
    </cfRule>
    <cfRule type="containsText" dxfId="14860" priority="15173" operator="containsText" text="Pendiente">
      <formula>NOT(ISERROR(SEARCH("Pendiente",R39)))</formula>
    </cfRule>
    <cfRule type="containsText" dxfId="14859" priority="15174" operator="containsText" text="No Aplica">
      <formula>NOT(ISERROR(SEARCH("No Aplica",R39)))</formula>
    </cfRule>
    <cfRule type="containsText" dxfId="14858" priority="15175" operator="containsText" text="Fallido">
      <formula>NOT(ISERROR(SEARCH("Fallido",R39)))</formula>
    </cfRule>
    <cfRule type="containsText" dxfId="14857" priority="15176" operator="containsText" text="Éxitoso">
      <formula>NOT(ISERROR(SEARCH("Éxitoso",R39)))</formula>
    </cfRule>
  </conditionalFormatting>
  <conditionalFormatting sqref="S39">
    <cfRule type="containsText" dxfId="14856" priority="15167" operator="containsText" text="No se pudo ejecutar">
      <formula>NOT(ISERROR(SEARCH("No se pudo ejecutar",S39)))</formula>
    </cfRule>
    <cfRule type="containsText" dxfId="14855" priority="15168" operator="containsText" text="Pendiente">
      <formula>NOT(ISERROR(SEARCH("Pendiente",S39)))</formula>
    </cfRule>
    <cfRule type="containsText" dxfId="14854" priority="15169" operator="containsText" text="No Aplica">
      <formula>NOT(ISERROR(SEARCH("No Aplica",S39)))</formula>
    </cfRule>
    <cfRule type="containsText" dxfId="14853" priority="15170" operator="containsText" text="Fallido">
      <formula>NOT(ISERROR(SEARCH("Fallido",S39)))</formula>
    </cfRule>
    <cfRule type="containsText" dxfId="14852" priority="15171" operator="containsText" text="Éxitoso">
      <formula>NOT(ISERROR(SEARCH("Éxitoso",S39)))</formula>
    </cfRule>
  </conditionalFormatting>
  <conditionalFormatting sqref="T39">
    <cfRule type="containsText" dxfId="14851" priority="15162" operator="containsText" text="No se pudo ejecutar">
      <formula>NOT(ISERROR(SEARCH("No se pudo ejecutar",T39)))</formula>
    </cfRule>
    <cfRule type="containsText" dxfId="14850" priority="15163" operator="containsText" text="Pendiente">
      <formula>NOT(ISERROR(SEARCH("Pendiente",T39)))</formula>
    </cfRule>
    <cfRule type="containsText" dxfId="14849" priority="15164" operator="containsText" text="No Aplica">
      <formula>NOT(ISERROR(SEARCH("No Aplica",T39)))</formula>
    </cfRule>
    <cfRule type="containsText" dxfId="14848" priority="15165" operator="containsText" text="Fallido">
      <formula>NOT(ISERROR(SEARCH("Fallido",T39)))</formula>
    </cfRule>
    <cfRule type="containsText" dxfId="14847" priority="15166" operator="containsText" text="Éxitoso">
      <formula>NOT(ISERROR(SEARCH("Éxitoso",T39)))</formula>
    </cfRule>
  </conditionalFormatting>
  <conditionalFormatting sqref="U39">
    <cfRule type="containsText" dxfId="14846" priority="15157" operator="containsText" text="No se pudo ejecutar">
      <formula>NOT(ISERROR(SEARCH("No se pudo ejecutar",U39)))</formula>
    </cfRule>
    <cfRule type="containsText" dxfId="14845" priority="15158" operator="containsText" text="Pendiente">
      <formula>NOT(ISERROR(SEARCH("Pendiente",U39)))</formula>
    </cfRule>
    <cfRule type="containsText" dxfId="14844" priority="15159" operator="containsText" text="No Aplica">
      <formula>NOT(ISERROR(SEARCH("No Aplica",U39)))</formula>
    </cfRule>
    <cfRule type="containsText" dxfId="14843" priority="15160" operator="containsText" text="Fallido">
      <formula>NOT(ISERROR(SEARCH("Fallido",U39)))</formula>
    </cfRule>
    <cfRule type="containsText" dxfId="14842" priority="15161" operator="containsText" text="Éxitoso">
      <formula>NOT(ISERROR(SEARCH("Éxitoso",U39)))</formula>
    </cfRule>
  </conditionalFormatting>
  <conditionalFormatting sqref="V39">
    <cfRule type="containsText" dxfId="14841" priority="15152" operator="containsText" text="No se pudo ejecutar">
      <formula>NOT(ISERROR(SEARCH("No se pudo ejecutar",V39)))</formula>
    </cfRule>
    <cfRule type="containsText" dxfId="14840" priority="15153" operator="containsText" text="Pendiente">
      <formula>NOT(ISERROR(SEARCH("Pendiente",V39)))</formula>
    </cfRule>
    <cfRule type="containsText" dxfId="14839" priority="15154" operator="containsText" text="No Aplica">
      <formula>NOT(ISERROR(SEARCH("No Aplica",V39)))</formula>
    </cfRule>
    <cfRule type="containsText" dxfId="14838" priority="15155" operator="containsText" text="Fallido">
      <formula>NOT(ISERROR(SEARCH("Fallido",V39)))</formula>
    </cfRule>
    <cfRule type="containsText" dxfId="14837" priority="15156" operator="containsText" text="Éxitoso">
      <formula>NOT(ISERROR(SEARCH("Éxitoso",V39)))</formula>
    </cfRule>
  </conditionalFormatting>
  <conditionalFormatting sqref="W39">
    <cfRule type="containsText" dxfId="14836" priority="15147" operator="containsText" text="No se pudo ejecutar">
      <formula>NOT(ISERROR(SEARCH("No se pudo ejecutar",W39)))</formula>
    </cfRule>
    <cfRule type="containsText" dxfId="14835" priority="15148" operator="containsText" text="Pendiente">
      <formula>NOT(ISERROR(SEARCH("Pendiente",W39)))</formula>
    </cfRule>
    <cfRule type="containsText" dxfId="14834" priority="15149" operator="containsText" text="No Aplica">
      <formula>NOT(ISERROR(SEARCH("No Aplica",W39)))</formula>
    </cfRule>
    <cfRule type="containsText" dxfId="14833" priority="15150" operator="containsText" text="Fallido">
      <formula>NOT(ISERROR(SEARCH("Fallido",W39)))</formula>
    </cfRule>
    <cfRule type="containsText" dxfId="14832" priority="15151" operator="containsText" text="Éxitoso">
      <formula>NOT(ISERROR(SEARCH("Éxitoso",W39)))</formula>
    </cfRule>
  </conditionalFormatting>
  <conditionalFormatting sqref="M39">
    <cfRule type="containsText" dxfId="14831" priority="15142" operator="containsText" text="No se pudo ejecutar">
      <formula>NOT(ISERROR(SEARCH("No se pudo ejecutar",M39)))</formula>
    </cfRule>
    <cfRule type="containsText" dxfId="14830" priority="15143" operator="containsText" text="Pendiente">
      <formula>NOT(ISERROR(SEARCH("Pendiente",M39)))</formula>
    </cfRule>
    <cfRule type="containsText" dxfId="14829" priority="15144" operator="containsText" text="No Aplica">
      <formula>NOT(ISERROR(SEARCH("No Aplica",M39)))</formula>
    </cfRule>
    <cfRule type="containsText" dxfId="14828" priority="15145" operator="containsText" text="Fallido">
      <formula>NOT(ISERROR(SEARCH("Fallido",M39)))</formula>
    </cfRule>
    <cfRule type="containsText" dxfId="14827" priority="15146" operator="containsText" text="Éxitoso">
      <formula>NOT(ISERROR(SEARCH("Éxitoso",M39)))</formula>
    </cfRule>
  </conditionalFormatting>
  <conditionalFormatting sqref="G39">
    <cfRule type="containsText" dxfId="14826" priority="15139" operator="containsText" text="Bajo">
      <formula>NOT(ISERROR(SEARCH("Bajo",G39)))</formula>
    </cfRule>
    <cfRule type="containsText" dxfId="14825" priority="15140" operator="containsText" text="Medio">
      <formula>NOT(ISERROR(SEARCH("Medio",G39)))</formula>
    </cfRule>
    <cfRule type="containsText" dxfId="14824" priority="15141" operator="containsText" text="Alto">
      <formula>NOT(ISERROR(SEARCH("Alto",G39)))</formula>
    </cfRule>
  </conditionalFormatting>
  <conditionalFormatting sqref="N40">
    <cfRule type="containsText" dxfId="14823" priority="15134" operator="containsText" text="No se pudo ejecutar">
      <formula>NOT(ISERROR(SEARCH("No se pudo ejecutar",N40)))</formula>
    </cfRule>
    <cfRule type="containsText" dxfId="14822" priority="15135" operator="containsText" text="Pendiente">
      <formula>NOT(ISERROR(SEARCH("Pendiente",N40)))</formula>
    </cfRule>
    <cfRule type="containsText" dxfId="14821" priority="15136" operator="containsText" text="No Aplica">
      <formula>NOT(ISERROR(SEARCH("No Aplica",N40)))</formula>
    </cfRule>
    <cfRule type="containsText" dxfId="14820" priority="15137" operator="containsText" text="Fallido">
      <formula>NOT(ISERROR(SEARCH("Fallido",N40)))</formula>
    </cfRule>
    <cfRule type="containsText" dxfId="14819" priority="15138" operator="containsText" text="Éxitoso">
      <formula>NOT(ISERROR(SEARCH("Éxitoso",N40)))</formula>
    </cfRule>
  </conditionalFormatting>
  <conditionalFormatting sqref="O40">
    <cfRule type="containsText" dxfId="14818" priority="15129" operator="containsText" text="No se pudo ejecutar">
      <formula>NOT(ISERROR(SEARCH("No se pudo ejecutar",O40)))</formula>
    </cfRule>
    <cfRule type="containsText" dxfId="14817" priority="15130" operator="containsText" text="Pendiente">
      <formula>NOT(ISERROR(SEARCH("Pendiente",O40)))</formula>
    </cfRule>
    <cfRule type="containsText" dxfId="14816" priority="15131" operator="containsText" text="No Aplica">
      <formula>NOT(ISERROR(SEARCH("No Aplica",O40)))</formula>
    </cfRule>
    <cfRule type="containsText" dxfId="14815" priority="15132" operator="containsText" text="Fallido">
      <formula>NOT(ISERROR(SEARCH("Fallido",O40)))</formula>
    </cfRule>
    <cfRule type="containsText" dxfId="14814" priority="15133" operator="containsText" text="Éxitoso">
      <formula>NOT(ISERROR(SEARCH("Éxitoso",O40)))</formula>
    </cfRule>
  </conditionalFormatting>
  <conditionalFormatting sqref="P40">
    <cfRule type="containsText" dxfId="14813" priority="15124" operator="containsText" text="No se pudo ejecutar">
      <formula>NOT(ISERROR(SEARCH("No se pudo ejecutar",P40)))</formula>
    </cfRule>
    <cfRule type="containsText" dxfId="14812" priority="15125" operator="containsText" text="Pendiente">
      <formula>NOT(ISERROR(SEARCH("Pendiente",P40)))</formula>
    </cfRule>
    <cfRule type="containsText" dxfId="14811" priority="15126" operator="containsText" text="No Aplica">
      <formula>NOT(ISERROR(SEARCH("No Aplica",P40)))</formula>
    </cfRule>
    <cfRule type="containsText" dxfId="14810" priority="15127" operator="containsText" text="Fallido">
      <formula>NOT(ISERROR(SEARCH("Fallido",P40)))</formula>
    </cfRule>
    <cfRule type="containsText" dxfId="14809" priority="15128" operator="containsText" text="Éxitoso">
      <formula>NOT(ISERROR(SEARCH("Éxitoso",P40)))</formula>
    </cfRule>
  </conditionalFormatting>
  <conditionalFormatting sqref="Q40">
    <cfRule type="containsText" dxfId="14808" priority="15119" operator="containsText" text="No se pudo ejecutar">
      <formula>NOT(ISERROR(SEARCH("No se pudo ejecutar",Q40)))</formula>
    </cfRule>
    <cfRule type="containsText" dxfId="14807" priority="15120" operator="containsText" text="Pendiente">
      <formula>NOT(ISERROR(SEARCH("Pendiente",Q40)))</formula>
    </cfRule>
    <cfRule type="containsText" dxfId="14806" priority="15121" operator="containsText" text="No Aplica">
      <formula>NOT(ISERROR(SEARCH("No Aplica",Q40)))</formula>
    </cfRule>
    <cfRule type="containsText" dxfId="14805" priority="15122" operator="containsText" text="Fallido">
      <formula>NOT(ISERROR(SEARCH("Fallido",Q40)))</formula>
    </cfRule>
    <cfRule type="containsText" dxfId="14804" priority="15123" operator="containsText" text="Éxitoso">
      <formula>NOT(ISERROR(SEARCH("Éxitoso",Q40)))</formula>
    </cfRule>
  </conditionalFormatting>
  <conditionalFormatting sqref="R40">
    <cfRule type="containsText" dxfId="14803" priority="15114" operator="containsText" text="No se pudo ejecutar">
      <formula>NOT(ISERROR(SEARCH("No se pudo ejecutar",R40)))</formula>
    </cfRule>
    <cfRule type="containsText" dxfId="14802" priority="15115" operator="containsText" text="Pendiente">
      <formula>NOT(ISERROR(SEARCH("Pendiente",R40)))</formula>
    </cfRule>
    <cfRule type="containsText" dxfId="14801" priority="15116" operator="containsText" text="No Aplica">
      <formula>NOT(ISERROR(SEARCH("No Aplica",R40)))</formula>
    </cfRule>
    <cfRule type="containsText" dxfId="14800" priority="15117" operator="containsText" text="Fallido">
      <formula>NOT(ISERROR(SEARCH("Fallido",R40)))</formula>
    </cfRule>
    <cfRule type="containsText" dxfId="14799" priority="15118" operator="containsText" text="Éxitoso">
      <formula>NOT(ISERROR(SEARCH("Éxitoso",R40)))</formula>
    </cfRule>
  </conditionalFormatting>
  <conditionalFormatting sqref="S40">
    <cfRule type="containsText" dxfId="14798" priority="15109" operator="containsText" text="No se pudo ejecutar">
      <formula>NOT(ISERROR(SEARCH("No se pudo ejecutar",S40)))</formula>
    </cfRule>
    <cfRule type="containsText" dxfId="14797" priority="15110" operator="containsText" text="Pendiente">
      <formula>NOT(ISERROR(SEARCH("Pendiente",S40)))</formula>
    </cfRule>
    <cfRule type="containsText" dxfId="14796" priority="15111" operator="containsText" text="No Aplica">
      <formula>NOT(ISERROR(SEARCH("No Aplica",S40)))</formula>
    </cfRule>
    <cfRule type="containsText" dxfId="14795" priority="15112" operator="containsText" text="Fallido">
      <formula>NOT(ISERROR(SEARCH("Fallido",S40)))</formula>
    </cfRule>
    <cfRule type="containsText" dxfId="14794" priority="15113" operator="containsText" text="Éxitoso">
      <formula>NOT(ISERROR(SEARCH("Éxitoso",S40)))</formula>
    </cfRule>
  </conditionalFormatting>
  <conditionalFormatting sqref="T40">
    <cfRule type="containsText" dxfId="14793" priority="15104" operator="containsText" text="No se pudo ejecutar">
      <formula>NOT(ISERROR(SEARCH("No se pudo ejecutar",T40)))</formula>
    </cfRule>
    <cfRule type="containsText" dxfId="14792" priority="15105" operator="containsText" text="Pendiente">
      <formula>NOT(ISERROR(SEARCH("Pendiente",T40)))</formula>
    </cfRule>
    <cfRule type="containsText" dxfId="14791" priority="15106" operator="containsText" text="No Aplica">
      <formula>NOT(ISERROR(SEARCH("No Aplica",T40)))</formula>
    </cfRule>
    <cfRule type="containsText" dxfId="14790" priority="15107" operator="containsText" text="Fallido">
      <formula>NOT(ISERROR(SEARCH("Fallido",T40)))</formula>
    </cfRule>
    <cfRule type="containsText" dxfId="14789" priority="15108" operator="containsText" text="Éxitoso">
      <formula>NOT(ISERROR(SEARCH("Éxitoso",T40)))</formula>
    </cfRule>
  </conditionalFormatting>
  <conditionalFormatting sqref="U40">
    <cfRule type="containsText" dxfId="14788" priority="15099" operator="containsText" text="No se pudo ejecutar">
      <formula>NOT(ISERROR(SEARCH("No se pudo ejecutar",U40)))</formula>
    </cfRule>
    <cfRule type="containsText" dxfId="14787" priority="15100" operator="containsText" text="Pendiente">
      <formula>NOT(ISERROR(SEARCH("Pendiente",U40)))</formula>
    </cfRule>
    <cfRule type="containsText" dxfId="14786" priority="15101" operator="containsText" text="No Aplica">
      <formula>NOT(ISERROR(SEARCH("No Aplica",U40)))</formula>
    </cfRule>
    <cfRule type="containsText" dxfId="14785" priority="15102" operator="containsText" text="Fallido">
      <formula>NOT(ISERROR(SEARCH("Fallido",U40)))</formula>
    </cfRule>
    <cfRule type="containsText" dxfId="14784" priority="15103" operator="containsText" text="Éxitoso">
      <formula>NOT(ISERROR(SEARCH("Éxitoso",U40)))</formula>
    </cfRule>
  </conditionalFormatting>
  <conditionalFormatting sqref="V40">
    <cfRule type="containsText" dxfId="14783" priority="15094" operator="containsText" text="No se pudo ejecutar">
      <formula>NOT(ISERROR(SEARCH("No se pudo ejecutar",V40)))</formula>
    </cfRule>
    <cfRule type="containsText" dxfId="14782" priority="15095" operator="containsText" text="Pendiente">
      <formula>NOT(ISERROR(SEARCH("Pendiente",V40)))</formula>
    </cfRule>
    <cfRule type="containsText" dxfId="14781" priority="15096" operator="containsText" text="No Aplica">
      <formula>NOT(ISERROR(SEARCH("No Aplica",V40)))</formula>
    </cfRule>
    <cfRule type="containsText" dxfId="14780" priority="15097" operator="containsText" text="Fallido">
      <formula>NOT(ISERROR(SEARCH("Fallido",V40)))</formula>
    </cfRule>
    <cfRule type="containsText" dxfId="14779" priority="15098" operator="containsText" text="Éxitoso">
      <formula>NOT(ISERROR(SEARCH("Éxitoso",V40)))</formula>
    </cfRule>
  </conditionalFormatting>
  <conditionalFormatting sqref="W40">
    <cfRule type="containsText" dxfId="14778" priority="15089" operator="containsText" text="No se pudo ejecutar">
      <formula>NOT(ISERROR(SEARCH("No se pudo ejecutar",W40)))</formula>
    </cfRule>
    <cfRule type="containsText" dxfId="14777" priority="15090" operator="containsText" text="Pendiente">
      <formula>NOT(ISERROR(SEARCH("Pendiente",W40)))</formula>
    </cfRule>
    <cfRule type="containsText" dxfId="14776" priority="15091" operator="containsText" text="No Aplica">
      <formula>NOT(ISERROR(SEARCH("No Aplica",W40)))</formula>
    </cfRule>
    <cfRule type="containsText" dxfId="14775" priority="15092" operator="containsText" text="Fallido">
      <formula>NOT(ISERROR(SEARCH("Fallido",W40)))</formula>
    </cfRule>
    <cfRule type="containsText" dxfId="14774" priority="15093" operator="containsText" text="Éxitoso">
      <formula>NOT(ISERROR(SEARCH("Éxitoso",W40)))</formula>
    </cfRule>
  </conditionalFormatting>
  <conditionalFormatting sqref="M40">
    <cfRule type="containsText" dxfId="14773" priority="15084" operator="containsText" text="No se pudo ejecutar">
      <formula>NOT(ISERROR(SEARCH("No se pudo ejecutar",M40)))</formula>
    </cfRule>
    <cfRule type="containsText" dxfId="14772" priority="15085" operator="containsText" text="Pendiente">
      <formula>NOT(ISERROR(SEARCH("Pendiente",M40)))</formula>
    </cfRule>
    <cfRule type="containsText" dxfId="14771" priority="15086" operator="containsText" text="No Aplica">
      <formula>NOT(ISERROR(SEARCH("No Aplica",M40)))</formula>
    </cfRule>
    <cfRule type="containsText" dxfId="14770" priority="15087" operator="containsText" text="Fallido">
      <formula>NOT(ISERROR(SEARCH("Fallido",M40)))</formula>
    </cfRule>
    <cfRule type="containsText" dxfId="14769" priority="15088" operator="containsText" text="Éxitoso">
      <formula>NOT(ISERROR(SEARCH("Éxitoso",M40)))</formula>
    </cfRule>
  </conditionalFormatting>
  <conditionalFormatting sqref="G40:G41">
    <cfRule type="containsText" dxfId="14768" priority="15081" operator="containsText" text="Bajo">
      <formula>NOT(ISERROR(SEARCH("Bajo",G40)))</formula>
    </cfRule>
    <cfRule type="containsText" dxfId="14767" priority="15082" operator="containsText" text="Medio">
      <formula>NOT(ISERROR(SEARCH("Medio",G40)))</formula>
    </cfRule>
    <cfRule type="containsText" dxfId="14766" priority="15083" operator="containsText" text="Alto">
      <formula>NOT(ISERROR(SEARCH("Alto",G40)))</formula>
    </cfRule>
  </conditionalFormatting>
  <conditionalFormatting sqref="N41">
    <cfRule type="containsText" dxfId="14765" priority="15076" operator="containsText" text="No se pudo ejecutar">
      <formula>NOT(ISERROR(SEARCH("No se pudo ejecutar",N41)))</formula>
    </cfRule>
    <cfRule type="containsText" dxfId="14764" priority="15077" operator="containsText" text="Pendiente">
      <formula>NOT(ISERROR(SEARCH("Pendiente",N41)))</formula>
    </cfRule>
    <cfRule type="containsText" dxfId="14763" priority="15078" operator="containsText" text="No Aplica">
      <formula>NOT(ISERROR(SEARCH("No Aplica",N41)))</formula>
    </cfRule>
    <cfRule type="containsText" dxfId="14762" priority="15079" operator="containsText" text="Fallido">
      <formula>NOT(ISERROR(SEARCH("Fallido",N41)))</formula>
    </cfRule>
    <cfRule type="containsText" dxfId="14761" priority="15080" operator="containsText" text="Éxitoso">
      <formula>NOT(ISERROR(SEARCH("Éxitoso",N41)))</formula>
    </cfRule>
  </conditionalFormatting>
  <conditionalFormatting sqref="O41">
    <cfRule type="containsText" dxfId="14760" priority="15071" operator="containsText" text="No se pudo ejecutar">
      <formula>NOT(ISERROR(SEARCH("No se pudo ejecutar",O41)))</formula>
    </cfRule>
    <cfRule type="containsText" dxfId="14759" priority="15072" operator="containsText" text="Pendiente">
      <formula>NOT(ISERROR(SEARCH("Pendiente",O41)))</formula>
    </cfRule>
    <cfRule type="containsText" dxfId="14758" priority="15073" operator="containsText" text="No Aplica">
      <formula>NOT(ISERROR(SEARCH("No Aplica",O41)))</formula>
    </cfRule>
    <cfRule type="containsText" dxfId="14757" priority="15074" operator="containsText" text="Fallido">
      <formula>NOT(ISERROR(SEARCH("Fallido",O41)))</formula>
    </cfRule>
    <cfRule type="containsText" dxfId="14756" priority="15075" operator="containsText" text="Éxitoso">
      <formula>NOT(ISERROR(SEARCH("Éxitoso",O41)))</formula>
    </cfRule>
  </conditionalFormatting>
  <conditionalFormatting sqref="P41">
    <cfRule type="containsText" dxfId="14755" priority="15066" operator="containsText" text="No se pudo ejecutar">
      <formula>NOT(ISERROR(SEARCH("No se pudo ejecutar",P41)))</formula>
    </cfRule>
    <cfRule type="containsText" dxfId="14754" priority="15067" operator="containsText" text="Pendiente">
      <formula>NOT(ISERROR(SEARCH("Pendiente",P41)))</formula>
    </cfRule>
    <cfRule type="containsText" dxfId="14753" priority="15068" operator="containsText" text="No Aplica">
      <formula>NOT(ISERROR(SEARCH("No Aplica",P41)))</formula>
    </cfRule>
    <cfRule type="containsText" dxfId="14752" priority="15069" operator="containsText" text="Fallido">
      <formula>NOT(ISERROR(SEARCH("Fallido",P41)))</formula>
    </cfRule>
    <cfRule type="containsText" dxfId="14751" priority="15070" operator="containsText" text="Éxitoso">
      <formula>NOT(ISERROR(SEARCH("Éxitoso",P41)))</formula>
    </cfRule>
  </conditionalFormatting>
  <conditionalFormatting sqref="Q41">
    <cfRule type="containsText" dxfId="14750" priority="15061" operator="containsText" text="No se pudo ejecutar">
      <formula>NOT(ISERROR(SEARCH("No se pudo ejecutar",Q41)))</formula>
    </cfRule>
    <cfRule type="containsText" dxfId="14749" priority="15062" operator="containsText" text="Pendiente">
      <formula>NOT(ISERROR(SEARCH("Pendiente",Q41)))</formula>
    </cfRule>
    <cfRule type="containsText" dxfId="14748" priority="15063" operator="containsText" text="No Aplica">
      <formula>NOT(ISERROR(SEARCH("No Aplica",Q41)))</formula>
    </cfRule>
    <cfRule type="containsText" dxfId="14747" priority="15064" operator="containsText" text="Fallido">
      <formula>NOT(ISERROR(SEARCH("Fallido",Q41)))</formula>
    </cfRule>
    <cfRule type="containsText" dxfId="14746" priority="15065" operator="containsText" text="Éxitoso">
      <formula>NOT(ISERROR(SEARCH("Éxitoso",Q41)))</formula>
    </cfRule>
  </conditionalFormatting>
  <conditionalFormatting sqref="R41">
    <cfRule type="containsText" dxfId="14745" priority="15056" operator="containsText" text="No se pudo ejecutar">
      <formula>NOT(ISERROR(SEARCH("No se pudo ejecutar",R41)))</formula>
    </cfRule>
    <cfRule type="containsText" dxfId="14744" priority="15057" operator="containsText" text="Pendiente">
      <formula>NOT(ISERROR(SEARCH("Pendiente",R41)))</formula>
    </cfRule>
    <cfRule type="containsText" dxfId="14743" priority="15058" operator="containsText" text="No Aplica">
      <formula>NOT(ISERROR(SEARCH("No Aplica",R41)))</formula>
    </cfRule>
    <cfRule type="containsText" dxfId="14742" priority="15059" operator="containsText" text="Fallido">
      <formula>NOT(ISERROR(SEARCH("Fallido",R41)))</formula>
    </cfRule>
    <cfRule type="containsText" dxfId="14741" priority="15060" operator="containsText" text="Éxitoso">
      <formula>NOT(ISERROR(SEARCH("Éxitoso",R41)))</formula>
    </cfRule>
  </conditionalFormatting>
  <conditionalFormatting sqref="S41">
    <cfRule type="containsText" dxfId="14740" priority="15051" operator="containsText" text="No se pudo ejecutar">
      <formula>NOT(ISERROR(SEARCH("No se pudo ejecutar",S41)))</formula>
    </cfRule>
    <cfRule type="containsText" dxfId="14739" priority="15052" operator="containsText" text="Pendiente">
      <formula>NOT(ISERROR(SEARCH("Pendiente",S41)))</formula>
    </cfRule>
    <cfRule type="containsText" dxfId="14738" priority="15053" operator="containsText" text="No Aplica">
      <formula>NOT(ISERROR(SEARCH("No Aplica",S41)))</formula>
    </cfRule>
    <cfRule type="containsText" dxfId="14737" priority="15054" operator="containsText" text="Fallido">
      <formula>NOT(ISERROR(SEARCH("Fallido",S41)))</formula>
    </cfRule>
    <cfRule type="containsText" dxfId="14736" priority="15055" operator="containsText" text="Éxitoso">
      <formula>NOT(ISERROR(SEARCH("Éxitoso",S41)))</formula>
    </cfRule>
  </conditionalFormatting>
  <conditionalFormatting sqref="T41">
    <cfRule type="containsText" dxfId="14735" priority="15046" operator="containsText" text="No se pudo ejecutar">
      <formula>NOT(ISERROR(SEARCH("No se pudo ejecutar",T41)))</formula>
    </cfRule>
    <cfRule type="containsText" dxfId="14734" priority="15047" operator="containsText" text="Pendiente">
      <formula>NOT(ISERROR(SEARCH("Pendiente",T41)))</formula>
    </cfRule>
    <cfRule type="containsText" dxfId="14733" priority="15048" operator="containsText" text="No Aplica">
      <formula>NOT(ISERROR(SEARCH("No Aplica",T41)))</formula>
    </cfRule>
    <cfRule type="containsText" dxfId="14732" priority="15049" operator="containsText" text="Fallido">
      <formula>NOT(ISERROR(SEARCH("Fallido",T41)))</formula>
    </cfRule>
    <cfRule type="containsText" dxfId="14731" priority="15050" operator="containsText" text="Éxitoso">
      <formula>NOT(ISERROR(SEARCH("Éxitoso",T41)))</formula>
    </cfRule>
  </conditionalFormatting>
  <conditionalFormatting sqref="U41">
    <cfRule type="containsText" dxfId="14730" priority="15041" operator="containsText" text="No se pudo ejecutar">
      <formula>NOT(ISERROR(SEARCH("No se pudo ejecutar",U41)))</formula>
    </cfRule>
    <cfRule type="containsText" dxfId="14729" priority="15042" operator="containsText" text="Pendiente">
      <formula>NOT(ISERROR(SEARCH("Pendiente",U41)))</formula>
    </cfRule>
    <cfRule type="containsText" dxfId="14728" priority="15043" operator="containsText" text="No Aplica">
      <formula>NOT(ISERROR(SEARCH("No Aplica",U41)))</formula>
    </cfRule>
    <cfRule type="containsText" dxfId="14727" priority="15044" operator="containsText" text="Fallido">
      <formula>NOT(ISERROR(SEARCH("Fallido",U41)))</formula>
    </cfRule>
    <cfRule type="containsText" dxfId="14726" priority="15045" operator="containsText" text="Éxitoso">
      <formula>NOT(ISERROR(SEARCH("Éxitoso",U41)))</formula>
    </cfRule>
  </conditionalFormatting>
  <conditionalFormatting sqref="V41">
    <cfRule type="containsText" dxfId="14725" priority="15036" operator="containsText" text="No se pudo ejecutar">
      <formula>NOT(ISERROR(SEARCH("No se pudo ejecutar",V41)))</formula>
    </cfRule>
    <cfRule type="containsText" dxfId="14724" priority="15037" operator="containsText" text="Pendiente">
      <formula>NOT(ISERROR(SEARCH("Pendiente",V41)))</formula>
    </cfRule>
    <cfRule type="containsText" dxfId="14723" priority="15038" operator="containsText" text="No Aplica">
      <formula>NOT(ISERROR(SEARCH("No Aplica",V41)))</formula>
    </cfRule>
    <cfRule type="containsText" dxfId="14722" priority="15039" operator="containsText" text="Fallido">
      <formula>NOT(ISERROR(SEARCH("Fallido",V41)))</formula>
    </cfRule>
    <cfRule type="containsText" dxfId="14721" priority="15040" operator="containsText" text="Éxitoso">
      <formula>NOT(ISERROR(SEARCH("Éxitoso",V41)))</formula>
    </cfRule>
  </conditionalFormatting>
  <conditionalFormatting sqref="W41">
    <cfRule type="containsText" dxfId="14720" priority="15031" operator="containsText" text="No se pudo ejecutar">
      <formula>NOT(ISERROR(SEARCH("No se pudo ejecutar",W41)))</formula>
    </cfRule>
    <cfRule type="containsText" dxfId="14719" priority="15032" operator="containsText" text="Pendiente">
      <formula>NOT(ISERROR(SEARCH("Pendiente",W41)))</formula>
    </cfRule>
    <cfRule type="containsText" dxfId="14718" priority="15033" operator="containsText" text="No Aplica">
      <formula>NOT(ISERROR(SEARCH("No Aplica",W41)))</formula>
    </cfRule>
    <cfRule type="containsText" dxfId="14717" priority="15034" operator="containsText" text="Fallido">
      <formula>NOT(ISERROR(SEARCH("Fallido",W41)))</formula>
    </cfRule>
    <cfRule type="containsText" dxfId="14716" priority="15035" operator="containsText" text="Éxitoso">
      <formula>NOT(ISERROR(SEARCH("Éxitoso",W41)))</formula>
    </cfRule>
  </conditionalFormatting>
  <conditionalFormatting sqref="M41">
    <cfRule type="containsText" dxfId="14715" priority="15026" operator="containsText" text="No se pudo ejecutar">
      <formula>NOT(ISERROR(SEARCH("No se pudo ejecutar",M41)))</formula>
    </cfRule>
    <cfRule type="containsText" dxfId="14714" priority="15027" operator="containsText" text="Pendiente">
      <formula>NOT(ISERROR(SEARCH("Pendiente",M41)))</formula>
    </cfRule>
    <cfRule type="containsText" dxfId="14713" priority="15028" operator="containsText" text="No Aplica">
      <formula>NOT(ISERROR(SEARCH("No Aplica",M41)))</formula>
    </cfRule>
    <cfRule type="containsText" dxfId="14712" priority="15029" operator="containsText" text="Fallido">
      <formula>NOT(ISERROR(SEARCH("Fallido",M41)))</formula>
    </cfRule>
    <cfRule type="containsText" dxfId="14711" priority="15030" operator="containsText" text="Éxitoso">
      <formula>NOT(ISERROR(SEARCH("Éxitoso",M41)))</formula>
    </cfRule>
  </conditionalFormatting>
  <conditionalFormatting sqref="N42">
    <cfRule type="containsText" dxfId="14710" priority="15018" operator="containsText" text="No se pudo ejecutar">
      <formula>NOT(ISERROR(SEARCH("No se pudo ejecutar",N42)))</formula>
    </cfRule>
    <cfRule type="containsText" dxfId="14709" priority="15019" operator="containsText" text="Pendiente">
      <formula>NOT(ISERROR(SEARCH("Pendiente",N42)))</formula>
    </cfRule>
    <cfRule type="containsText" dxfId="14708" priority="15020" operator="containsText" text="No Aplica">
      <formula>NOT(ISERROR(SEARCH("No Aplica",N42)))</formula>
    </cfRule>
    <cfRule type="containsText" dxfId="14707" priority="15021" operator="containsText" text="Fallido">
      <formula>NOT(ISERROR(SEARCH("Fallido",N42)))</formula>
    </cfRule>
    <cfRule type="containsText" dxfId="14706" priority="15022" operator="containsText" text="Éxitoso">
      <formula>NOT(ISERROR(SEARCH("Éxitoso",N42)))</formula>
    </cfRule>
  </conditionalFormatting>
  <conditionalFormatting sqref="O42">
    <cfRule type="containsText" dxfId="14705" priority="15013" operator="containsText" text="No se pudo ejecutar">
      <formula>NOT(ISERROR(SEARCH("No se pudo ejecutar",O42)))</formula>
    </cfRule>
    <cfRule type="containsText" dxfId="14704" priority="15014" operator="containsText" text="Pendiente">
      <formula>NOT(ISERROR(SEARCH("Pendiente",O42)))</formula>
    </cfRule>
    <cfRule type="containsText" dxfId="14703" priority="15015" operator="containsText" text="No Aplica">
      <formula>NOT(ISERROR(SEARCH("No Aplica",O42)))</formula>
    </cfRule>
    <cfRule type="containsText" dxfId="14702" priority="15016" operator="containsText" text="Fallido">
      <formula>NOT(ISERROR(SEARCH("Fallido",O42)))</formula>
    </cfRule>
    <cfRule type="containsText" dxfId="14701" priority="15017" operator="containsText" text="Éxitoso">
      <formula>NOT(ISERROR(SEARCH("Éxitoso",O42)))</formula>
    </cfRule>
  </conditionalFormatting>
  <conditionalFormatting sqref="P42">
    <cfRule type="containsText" dxfId="14700" priority="15008" operator="containsText" text="No se pudo ejecutar">
      <formula>NOT(ISERROR(SEARCH("No se pudo ejecutar",P42)))</formula>
    </cfRule>
    <cfRule type="containsText" dxfId="14699" priority="15009" operator="containsText" text="Pendiente">
      <formula>NOT(ISERROR(SEARCH("Pendiente",P42)))</formula>
    </cfRule>
    <cfRule type="containsText" dxfId="14698" priority="15010" operator="containsText" text="No Aplica">
      <formula>NOT(ISERROR(SEARCH("No Aplica",P42)))</formula>
    </cfRule>
    <cfRule type="containsText" dxfId="14697" priority="15011" operator="containsText" text="Fallido">
      <formula>NOT(ISERROR(SEARCH("Fallido",P42)))</formula>
    </cfRule>
    <cfRule type="containsText" dxfId="14696" priority="15012" operator="containsText" text="Éxitoso">
      <formula>NOT(ISERROR(SEARCH("Éxitoso",P42)))</formula>
    </cfRule>
  </conditionalFormatting>
  <conditionalFormatting sqref="Q42">
    <cfRule type="containsText" dxfId="14695" priority="15003" operator="containsText" text="No se pudo ejecutar">
      <formula>NOT(ISERROR(SEARCH("No se pudo ejecutar",Q42)))</formula>
    </cfRule>
    <cfRule type="containsText" dxfId="14694" priority="15004" operator="containsText" text="Pendiente">
      <formula>NOT(ISERROR(SEARCH("Pendiente",Q42)))</formula>
    </cfRule>
    <cfRule type="containsText" dxfId="14693" priority="15005" operator="containsText" text="No Aplica">
      <formula>NOT(ISERROR(SEARCH("No Aplica",Q42)))</formula>
    </cfRule>
    <cfRule type="containsText" dxfId="14692" priority="15006" operator="containsText" text="Fallido">
      <formula>NOT(ISERROR(SEARCH("Fallido",Q42)))</formula>
    </cfRule>
    <cfRule type="containsText" dxfId="14691" priority="15007" operator="containsText" text="Éxitoso">
      <formula>NOT(ISERROR(SEARCH("Éxitoso",Q42)))</formula>
    </cfRule>
  </conditionalFormatting>
  <conditionalFormatting sqref="R42">
    <cfRule type="containsText" dxfId="14690" priority="14998" operator="containsText" text="No se pudo ejecutar">
      <formula>NOT(ISERROR(SEARCH("No se pudo ejecutar",R42)))</formula>
    </cfRule>
    <cfRule type="containsText" dxfId="14689" priority="14999" operator="containsText" text="Pendiente">
      <formula>NOT(ISERROR(SEARCH("Pendiente",R42)))</formula>
    </cfRule>
    <cfRule type="containsText" dxfId="14688" priority="15000" operator="containsText" text="No Aplica">
      <formula>NOT(ISERROR(SEARCH("No Aplica",R42)))</formula>
    </cfRule>
    <cfRule type="containsText" dxfId="14687" priority="15001" operator="containsText" text="Fallido">
      <formula>NOT(ISERROR(SEARCH("Fallido",R42)))</formula>
    </cfRule>
    <cfRule type="containsText" dxfId="14686" priority="15002" operator="containsText" text="Éxitoso">
      <formula>NOT(ISERROR(SEARCH("Éxitoso",R42)))</formula>
    </cfRule>
  </conditionalFormatting>
  <conditionalFormatting sqref="S42">
    <cfRule type="containsText" dxfId="14685" priority="14993" operator="containsText" text="No se pudo ejecutar">
      <formula>NOT(ISERROR(SEARCH("No se pudo ejecutar",S42)))</formula>
    </cfRule>
    <cfRule type="containsText" dxfId="14684" priority="14994" operator="containsText" text="Pendiente">
      <formula>NOT(ISERROR(SEARCH("Pendiente",S42)))</formula>
    </cfRule>
    <cfRule type="containsText" dxfId="14683" priority="14995" operator="containsText" text="No Aplica">
      <formula>NOT(ISERROR(SEARCH("No Aplica",S42)))</formula>
    </cfRule>
    <cfRule type="containsText" dxfId="14682" priority="14996" operator="containsText" text="Fallido">
      <formula>NOT(ISERROR(SEARCH("Fallido",S42)))</formula>
    </cfRule>
    <cfRule type="containsText" dxfId="14681" priority="14997" operator="containsText" text="Éxitoso">
      <formula>NOT(ISERROR(SEARCH("Éxitoso",S42)))</formula>
    </cfRule>
  </conditionalFormatting>
  <conditionalFormatting sqref="T42">
    <cfRule type="containsText" dxfId="14680" priority="14988" operator="containsText" text="No se pudo ejecutar">
      <formula>NOT(ISERROR(SEARCH("No se pudo ejecutar",T42)))</formula>
    </cfRule>
    <cfRule type="containsText" dxfId="14679" priority="14989" operator="containsText" text="Pendiente">
      <formula>NOT(ISERROR(SEARCH("Pendiente",T42)))</formula>
    </cfRule>
    <cfRule type="containsText" dxfId="14678" priority="14990" operator="containsText" text="No Aplica">
      <formula>NOT(ISERROR(SEARCH("No Aplica",T42)))</formula>
    </cfRule>
    <cfRule type="containsText" dxfId="14677" priority="14991" operator="containsText" text="Fallido">
      <formula>NOT(ISERROR(SEARCH("Fallido",T42)))</formula>
    </cfRule>
    <cfRule type="containsText" dxfId="14676" priority="14992" operator="containsText" text="Éxitoso">
      <formula>NOT(ISERROR(SEARCH("Éxitoso",T42)))</formula>
    </cfRule>
  </conditionalFormatting>
  <conditionalFormatting sqref="U42">
    <cfRule type="containsText" dxfId="14675" priority="14983" operator="containsText" text="No se pudo ejecutar">
      <formula>NOT(ISERROR(SEARCH("No se pudo ejecutar",U42)))</formula>
    </cfRule>
    <cfRule type="containsText" dxfId="14674" priority="14984" operator="containsText" text="Pendiente">
      <formula>NOT(ISERROR(SEARCH("Pendiente",U42)))</formula>
    </cfRule>
    <cfRule type="containsText" dxfId="14673" priority="14985" operator="containsText" text="No Aplica">
      <formula>NOT(ISERROR(SEARCH("No Aplica",U42)))</formula>
    </cfRule>
    <cfRule type="containsText" dxfId="14672" priority="14986" operator="containsText" text="Fallido">
      <formula>NOT(ISERROR(SEARCH("Fallido",U42)))</formula>
    </cfRule>
    <cfRule type="containsText" dxfId="14671" priority="14987" operator="containsText" text="Éxitoso">
      <formula>NOT(ISERROR(SEARCH("Éxitoso",U42)))</formula>
    </cfRule>
  </conditionalFormatting>
  <conditionalFormatting sqref="V42">
    <cfRule type="containsText" dxfId="14670" priority="14978" operator="containsText" text="No se pudo ejecutar">
      <formula>NOT(ISERROR(SEARCH("No se pudo ejecutar",V42)))</formula>
    </cfRule>
    <cfRule type="containsText" dxfId="14669" priority="14979" operator="containsText" text="Pendiente">
      <formula>NOT(ISERROR(SEARCH("Pendiente",V42)))</formula>
    </cfRule>
    <cfRule type="containsText" dxfId="14668" priority="14980" operator="containsText" text="No Aplica">
      <formula>NOT(ISERROR(SEARCH("No Aplica",V42)))</formula>
    </cfRule>
    <cfRule type="containsText" dxfId="14667" priority="14981" operator="containsText" text="Fallido">
      <formula>NOT(ISERROR(SEARCH("Fallido",V42)))</formula>
    </cfRule>
    <cfRule type="containsText" dxfId="14666" priority="14982" operator="containsText" text="Éxitoso">
      <formula>NOT(ISERROR(SEARCH("Éxitoso",V42)))</formula>
    </cfRule>
  </conditionalFormatting>
  <conditionalFormatting sqref="W42">
    <cfRule type="containsText" dxfId="14665" priority="14973" operator="containsText" text="No se pudo ejecutar">
      <formula>NOT(ISERROR(SEARCH("No se pudo ejecutar",W42)))</formula>
    </cfRule>
    <cfRule type="containsText" dxfId="14664" priority="14974" operator="containsText" text="Pendiente">
      <formula>NOT(ISERROR(SEARCH("Pendiente",W42)))</formula>
    </cfRule>
    <cfRule type="containsText" dxfId="14663" priority="14975" operator="containsText" text="No Aplica">
      <formula>NOT(ISERROR(SEARCH("No Aplica",W42)))</formula>
    </cfRule>
    <cfRule type="containsText" dxfId="14662" priority="14976" operator="containsText" text="Fallido">
      <formula>NOT(ISERROR(SEARCH("Fallido",W42)))</formula>
    </cfRule>
    <cfRule type="containsText" dxfId="14661" priority="14977" operator="containsText" text="Éxitoso">
      <formula>NOT(ISERROR(SEARCH("Éxitoso",W42)))</formula>
    </cfRule>
  </conditionalFormatting>
  <conditionalFormatting sqref="M42">
    <cfRule type="containsText" dxfId="14660" priority="14968" operator="containsText" text="No se pudo ejecutar">
      <formula>NOT(ISERROR(SEARCH("No se pudo ejecutar",M42)))</formula>
    </cfRule>
    <cfRule type="containsText" dxfId="14659" priority="14969" operator="containsText" text="Pendiente">
      <formula>NOT(ISERROR(SEARCH("Pendiente",M42)))</formula>
    </cfRule>
    <cfRule type="containsText" dxfId="14658" priority="14970" operator="containsText" text="No Aplica">
      <formula>NOT(ISERROR(SEARCH("No Aplica",M42)))</formula>
    </cfRule>
    <cfRule type="containsText" dxfId="14657" priority="14971" operator="containsText" text="Fallido">
      <formula>NOT(ISERROR(SEARCH("Fallido",M42)))</formula>
    </cfRule>
    <cfRule type="containsText" dxfId="14656" priority="14972" operator="containsText" text="Éxitoso">
      <formula>NOT(ISERROR(SEARCH("Éxitoso",M42)))</formula>
    </cfRule>
  </conditionalFormatting>
  <conditionalFormatting sqref="G42">
    <cfRule type="containsText" dxfId="14655" priority="14965" operator="containsText" text="Bajo">
      <formula>NOT(ISERROR(SEARCH("Bajo",G42)))</formula>
    </cfRule>
    <cfRule type="containsText" dxfId="14654" priority="14966" operator="containsText" text="Medio">
      <formula>NOT(ISERROR(SEARCH("Medio",G42)))</formula>
    </cfRule>
    <cfRule type="containsText" dxfId="14653" priority="14967" operator="containsText" text="Alto">
      <formula>NOT(ISERROR(SEARCH("Alto",G42)))</formula>
    </cfRule>
  </conditionalFormatting>
  <conditionalFormatting sqref="N43">
    <cfRule type="containsText" dxfId="14652" priority="14960" operator="containsText" text="No se pudo ejecutar">
      <formula>NOT(ISERROR(SEARCH("No se pudo ejecutar",N43)))</formula>
    </cfRule>
    <cfRule type="containsText" dxfId="14651" priority="14961" operator="containsText" text="Pendiente">
      <formula>NOT(ISERROR(SEARCH("Pendiente",N43)))</formula>
    </cfRule>
    <cfRule type="containsText" dxfId="14650" priority="14962" operator="containsText" text="No Aplica">
      <formula>NOT(ISERROR(SEARCH("No Aplica",N43)))</formula>
    </cfRule>
    <cfRule type="containsText" dxfId="14649" priority="14963" operator="containsText" text="Fallido">
      <formula>NOT(ISERROR(SEARCH("Fallido",N43)))</formula>
    </cfRule>
    <cfRule type="containsText" dxfId="14648" priority="14964" operator="containsText" text="Éxitoso">
      <formula>NOT(ISERROR(SEARCH("Éxitoso",N43)))</formula>
    </cfRule>
  </conditionalFormatting>
  <conditionalFormatting sqref="O43">
    <cfRule type="containsText" dxfId="14647" priority="14955" operator="containsText" text="No se pudo ejecutar">
      <formula>NOT(ISERROR(SEARCH("No se pudo ejecutar",O43)))</formula>
    </cfRule>
    <cfRule type="containsText" dxfId="14646" priority="14956" operator="containsText" text="Pendiente">
      <formula>NOT(ISERROR(SEARCH("Pendiente",O43)))</formula>
    </cfRule>
    <cfRule type="containsText" dxfId="14645" priority="14957" operator="containsText" text="No Aplica">
      <formula>NOT(ISERROR(SEARCH("No Aplica",O43)))</formula>
    </cfRule>
    <cfRule type="containsText" dxfId="14644" priority="14958" operator="containsText" text="Fallido">
      <formula>NOT(ISERROR(SEARCH("Fallido",O43)))</formula>
    </cfRule>
    <cfRule type="containsText" dxfId="14643" priority="14959" operator="containsText" text="Éxitoso">
      <formula>NOT(ISERROR(SEARCH("Éxitoso",O43)))</formula>
    </cfRule>
  </conditionalFormatting>
  <conditionalFormatting sqref="P43">
    <cfRule type="containsText" dxfId="14642" priority="14950" operator="containsText" text="No se pudo ejecutar">
      <formula>NOT(ISERROR(SEARCH("No se pudo ejecutar",P43)))</formula>
    </cfRule>
    <cfRule type="containsText" dxfId="14641" priority="14951" operator="containsText" text="Pendiente">
      <formula>NOT(ISERROR(SEARCH("Pendiente",P43)))</formula>
    </cfRule>
    <cfRule type="containsText" dxfId="14640" priority="14952" operator="containsText" text="No Aplica">
      <formula>NOT(ISERROR(SEARCH("No Aplica",P43)))</formula>
    </cfRule>
    <cfRule type="containsText" dxfId="14639" priority="14953" operator="containsText" text="Fallido">
      <formula>NOT(ISERROR(SEARCH("Fallido",P43)))</formula>
    </cfRule>
    <cfRule type="containsText" dxfId="14638" priority="14954" operator="containsText" text="Éxitoso">
      <formula>NOT(ISERROR(SEARCH("Éxitoso",P43)))</formula>
    </cfRule>
  </conditionalFormatting>
  <conditionalFormatting sqref="Q43">
    <cfRule type="containsText" dxfId="14637" priority="14945" operator="containsText" text="No se pudo ejecutar">
      <formula>NOT(ISERROR(SEARCH("No se pudo ejecutar",Q43)))</formula>
    </cfRule>
    <cfRule type="containsText" dxfId="14636" priority="14946" operator="containsText" text="Pendiente">
      <formula>NOT(ISERROR(SEARCH("Pendiente",Q43)))</formula>
    </cfRule>
    <cfRule type="containsText" dxfId="14635" priority="14947" operator="containsText" text="No Aplica">
      <formula>NOT(ISERROR(SEARCH("No Aplica",Q43)))</formula>
    </cfRule>
    <cfRule type="containsText" dxfId="14634" priority="14948" operator="containsText" text="Fallido">
      <formula>NOT(ISERROR(SEARCH("Fallido",Q43)))</formula>
    </cfRule>
    <cfRule type="containsText" dxfId="14633" priority="14949" operator="containsText" text="Éxitoso">
      <formula>NOT(ISERROR(SEARCH("Éxitoso",Q43)))</formula>
    </cfRule>
  </conditionalFormatting>
  <conditionalFormatting sqref="R43">
    <cfRule type="containsText" dxfId="14632" priority="14940" operator="containsText" text="No se pudo ejecutar">
      <formula>NOT(ISERROR(SEARCH("No se pudo ejecutar",R43)))</formula>
    </cfRule>
    <cfRule type="containsText" dxfId="14631" priority="14941" operator="containsText" text="Pendiente">
      <formula>NOT(ISERROR(SEARCH("Pendiente",R43)))</formula>
    </cfRule>
    <cfRule type="containsText" dxfId="14630" priority="14942" operator="containsText" text="No Aplica">
      <formula>NOT(ISERROR(SEARCH("No Aplica",R43)))</formula>
    </cfRule>
    <cfRule type="containsText" dxfId="14629" priority="14943" operator="containsText" text="Fallido">
      <formula>NOT(ISERROR(SEARCH("Fallido",R43)))</formula>
    </cfRule>
    <cfRule type="containsText" dxfId="14628" priority="14944" operator="containsText" text="Éxitoso">
      <formula>NOT(ISERROR(SEARCH("Éxitoso",R43)))</formula>
    </cfRule>
  </conditionalFormatting>
  <conditionalFormatting sqref="S43">
    <cfRule type="containsText" dxfId="14627" priority="14935" operator="containsText" text="No se pudo ejecutar">
      <formula>NOT(ISERROR(SEARCH("No se pudo ejecutar",S43)))</formula>
    </cfRule>
    <cfRule type="containsText" dxfId="14626" priority="14936" operator="containsText" text="Pendiente">
      <formula>NOT(ISERROR(SEARCH("Pendiente",S43)))</formula>
    </cfRule>
    <cfRule type="containsText" dxfId="14625" priority="14937" operator="containsText" text="No Aplica">
      <formula>NOT(ISERROR(SEARCH("No Aplica",S43)))</formula>
    </cfRule>
    <cfRule type="containsText" dxfId="14624" priority="14938" operator="containsText" text="Fallido">
      <formula>NOT(ISERROR(SEARCH("Fallido",S43)))</formula>
    </cfRule>
    <cfRule type="containsText" dxfId="14623" priority="14939" operator="containsText" text="Éxitoso">
      <formula>NOT(ISERROR(SEARCH("Éxitoso",S43)))</formula>
    </cfRule>
  </conditionalFormatting>
  <conditionalFormatting sqref="T43">
    <cfRule type="containsText" dxfId="14622" priority="14930" operator="containsText" text="No se pudo ejecutar">
      <formula>NOT(ISERROR(SEARCH("No se pudo ejecutar",T43)))</formula>
    </cfRule>
    <cfRule type="containsText" dxfId="14621" priority="14931" operator="containsText" text="Pendiente">
      <formula>NOT(ISERROR(SEARCH("Pendiente",T43)))</formula>
    </cfRule>
    <cfRule type="containsText" dxfId="14620" priority="14932" operator="containsText" text="No Aplica">
      <formula>NOT(ISERROR(SEARCH("No Aplica",T43)))</formula>
    </cfRule>
    <cfRule type="containsText" dxfId="14619" priority="14933" operator="containsText" text="Fallido">
      <formula>NOT(ISERROR(SEARCH("Fallido",T43)))</formula>
    </cfRule>
    <cfRule type="containsText" dxfId="14618" priority="14934" operator="containsText" text="Éxitoso">
      <formula>NOT(ISERROR(SEARCH("Éxitoso",T43)))</formula>
    </cfRule>
  </conditionalFormatting>
  <conditionalFormatting sqref="U43">
    <cfRule type="containsText" dxfId="14617" priority="14925" operator="containsText" text="No se pudo ejecutar">
      <formula>NOT(ISERROR(SEARCH("No se pudo ejecutar",U43)))</formula>
    </cfRule>
    <cfRule type="containsText" dxfId="14616" priority="14926" operator="containsText" text="Pendiente">
      <formula>NOT(ISERROR(SEARCH("Pendiente",U43)))</formula>
    </cfRule>
    <cfRule type="containsText" dxfId="14615" priority="14927" operator="containsText" text="No Aplica">
      <formula>NOT(ISERROR(SEARCH("No Aplica",U43)))</formula>
    </cfRule>
    <cfRule type="containsText" dxfId="14614" priority="14928" operator="containsText" text="Fallido">
      <formula>NOT(ISERROR(SEARCH("Fallido",U43)))</formula>
    </cfRule>
    <cfRule type="containsText" dxfId="14613" priority="14929" operator="containsText" text="Éxitoso">
      <formula>NOT(ISERROR(SEARCH("Éxitoso",U43)))</formula>
    </cfRule>
  </conditionalFormatting>
  <conditionalFormatting sqref="V43">
    <cfRule type="containsText" dxfId="14612" priority="14920" operator="containsText" text="No se pudo ejecutar">
      <formula>NOT(ISERROR(SEARCH("No se pudo ejecutar",V43)))</formula>
    </cfRule>
    <cfRule type="containsText" dxfId="14611" priority="14921" operator="containsText" text="Pendiente">
      <formula>NOT(ISERROR(SEARCH("Pendiente",V43)))</formula>
    </cfRule>
    <cfRule type="containsText" dxfId="14610" priority="14922" operator="containsText" text="No Aplica">
      <formula>NOT(ISERROR(SEARCH("No Aplica",V43)))</formula>
    </cfRule>
    <cfRule type="containsText" dxfId="14609" priority="14923" operator="containsText" text="Fallido">
      <formula>NOT(ISERROR(SEARCH("Fallido",V43)))</formula>
    </cfRule>
    <cfRule type="containsText" dxfId="14608" priority="14924" operator="containsText" text="Éxitoso">
      <formula>NOT(ISERROR(SEARCH("Éxitoso",V43)))</formula>
    </cfRule>
  </conditionalFormatting>
  <conditionalFormatting sqref="W43">
    <cfRule type="containsText" dxfId="14607" priority="14915" operator="containsText" text="No se pudo ejecutar">
      <formula>NOT(ISERROR(SEARCH("No se pudo ejecutar",W43)))</formula>
    </cfRule>
    <cfRule type="containsText" dxfId="14606" priority="14916" operator="containsText" text="Pendiente">
      <formula>NOT(ISERROR(SEARCH("Pendiente",W43)))</formula>
    </cfRule>
    <cfRule type="containsText" dxfId="14605" priority="14917" operator="containsText" text="No Aplica">
      <formula>NOT(ISERROR(SEARCH("No Aplica",W43)))</formula>
    </cfRule>
    <cfRule type="containsText" dxfId="14604" priority="14918" operator="containsText" text="Fallido">
      <formula>NOT(ISERROR(SEARCH("Fallido",W43)))</formula>
    </cfRule>
    <cfRule type="containsText" dxfId="14603" priority="14919" operator="containsText" text="Éxitoso">
      <formula>NOT(ISERROR(SEARCH("Éxitoso",W43)))</formula>
    </cfRule>
  </conditionalFormatting>
  <conditionalFormatting sqref="M43">
    <cfRule type="containsText" dxfId="14602" priority="14910" operator="containsText" text="No se pudo ejecutar">
      <formula>NOT(ISERROR(SEARCH("No se pudo ejecutar",M43)))</formula>
    </cfRule>
    <cfRule type="containsText" dxfId="14601" priority="14911" operator="containsText" text="Pendiente">
      <formula>NOT(ISERROR(SEARCH("Pendiente",M43)))</formula>
    </cfRule>
    <cfRule type="containsText" dxfId="14600" priority="14912" operator="containsText" text="No Aplica">
      <formula>NOT(ISERROR(SEARCH("No Aplica",M43)))</formula>
    </cfRule>
    <cfRule type="containsText" dxfId="14599" priority="14913" operator="containsText" text="Fallido">
      <formula>NOT(ISERROR(SEARCH("Fallido",M43)))</formula>
    </cfRule>
    <cfRule type="containsText" dxfId="14598" priority="14914" operator="containsText" text="Éxitoso">
      <formula>NOT(ISERROR(SEARCH("Éxitoso",M43)))</formula>
    </cfRule>
  </conditionalFormatting>
  <conditionalFormatting sqref="G43">
    <cfRule type="containsText" dxfId="14597" priority="14907" operator="containsText" text="Bajo">
      <formula>NOT(ISERROR(SEARCH("Bajo",G43)))</formula>
    </cfRule>
    <cfRule type="containsText" dxfId="14596" priority="14908" operator="containsText" text="Medio">
      <formula>NOT(ISERROR(SEARCH("Medio",G43)))</formula>
    </cfRule>
    <cfRule type="containsText" dxfId="14595" priority="14909" operator="containsText" text="Alto">
      <formula>NOT(ISERROR(SEARCH("Alto",G43)))</formula>
    </cfRule>
  </conditionalFormatting>
  <conditionalFormatting sqref="N44">
    <cfRule type="containsText" dxfId="14594" priority="14902" operator="containsText" text="No se pudo ejecutar">
      <formula>NOT(ISERROR(SEARCH("No se pudo ejecutar",N44)))</formula>
    </cfRule>
    <cfRule type="containsText" dxfId="14593" priority="14903" operator="containsText" text="Pendiente">
      <formula>NOT(ISERROR(SEARCH("Pendiente",N44)))</formula>
    </cfRule>
    <cfRule type="containsText" dxfId="14592" priority="14904" operator="containsText" text="No Aplica">
      <formula>NOT(ISERROR(SEARCH("No Aplica",N44)))</formula>
    </cfRule>
    <cfRule type="containsText" dxfId="14591" priority="14905" operator="containsText" text="Fallido">
      <formula>NOT(ISERROR(SEARCH("Fallido",N44)))</formula>
    </cfRule>
    <cfRule type="containsText" dxfId="14590" priority="14906" operator="containsText" text="Éxitoso">
      <formula>NOT(ISERROR(SEARCH("Éxitoso",N44)))</formula>
    </cfRule>
  </conditionalFormatting>
  <conditionalFormatting sqref="O44">
    <cfRule type="containsText" dxfId="14589" priority="14897" operator="containsText" text="No se pudo ejecutar">
      <formula>NOT(ISERROR(SEARCH("No se pudo ejecutar",O44)))</formula>
    </cfRule>
    <cfRule type="containsText" dxfId="14588" priority="14898" operator="containsText" text="Pendiente">
      <formula>NOT(ISERROR(SEARCH("Pendiente",O44)))</formula>
    </cfRule>
    <cfRule type="containsText" dxfId="14587" priority="14899" operator="containsText" text="No Aplica">
      <formula>NOT(ISERROR(SEARCH("No Aplica",O44)))</formula>
    </cfRule>
    <cfRule type="containsText" dxfId="14586" priority="14900" operator="containsText" text="Fallido">
      <formula>NOT(ISERROR(SEARCH("Fallido",O44)))</formula>
    </cfRule>
    <cfRule type="containsText" dxfId="14585" priority="14901" operator="containsText" text="Éxitoso">
      <formula>NOT(ISERROR(SEARCH("Éxitoso",O44)))</formula>
    </cfRule>
  </conditionalFormatting>
  <conditionalFormatting sqref="P44">
    <cfRule type="containsText" dxfId="14584" priority="14892" operator="containsText" text="No se pudo ejecutar">
      <formula>NOT(ISERROR(SEARCH("No se pudo ejecutar",P44)))</formula>
    </cfRule>
    <cfRule type="containsText" dxfId="14583" priority="14893" operator="containsText" text="Pendiente">
      <formula>NOT(ISERROR(SEARCH("Pendiente",P44)))</formula>
    </cfRule>
    <cfRule type="containsText" dxfId="14582" priority="14894" operator="containsText" text="No Aplica">
      <formula>NOT(ISERROR(SEARCH("No Aplica",P44)))</formula>
    </cfRule>
    <cfRule type="containsText" dxfId="14581" priority="14895" operator="containsText" text="Fallido">
      <formula>NOT(ISERROR(SEARCH("Fallido",P44)))</formula>
    </cfRule>
    <cfRule type="containsText" dxfId="14580" priority="14896" operator="containsText" text="Éxitoso">
      <formula>NOT(ISERROR(SEARCH("Éxitoso",P44)))</formula>
    </cfRule>
  </conditionalFormatting>
  <conditionalFormatting sqref="Q44">
    <cfRule type="containsText" dxfId="14579" priority="14887" operator="containsText" text="No se pudo ejecutar">
      <formula>NOT(ISERROR(SEARCH("No se pudo ejecutar",Q44)))</formula>
    </cfRule>
    <cfRule type="containsText" dxfId="14578" priority="14888" operator="containsText" text="Pendiente">
      <formula>NOT(ISERROR(SEARCH("Pendiente",Q44)))</formula>
    </cfRule>
    <cfRule type="containsText" dxfId="14577" priority="14889" operator="containsText" text="No Aplica">
      <formula>NOT(ISERROR(SEARCH("No Aplica",Q44)))</formula>
    </cfRule>
    <cfRule type="containsText" dxfId="14576" priority="14890" operator="containsText" text="Fallido">
      <formula>NOT(ISERROR(SEARCH("Fallido",Q44)))</formula>
    </cfRule>
    <cfRule type="containsText" dxfId="14575" priority="14891" operator="containsText" text="Éxitoso">
      <formula>NOT(ISERROR(SEARCH("Éxitoso",Q44)))</formula>
    </cfRule>
  </conditionalFormatting>
  <conditionalFormatting sqref="R44">
    <cfRule type="containsText" dxfId="14574" priority="14882" operator="containsText" text="No se pudo ejecutar">
      <formula>NOT(ISERROR(SEARCH("No se pudo ejecutar",R44)))</formula>
    </cfRule>
    <cfRule type="containsText" dxfId="14573" priority="14883" operator="containsText" text="Pendiente">
      <formula>NOT(ISERROR(SEARCH("Pendiente",R44)))</formula>
    </cfRule>
    <cfRule type="containsText" dxfId="14572" priority="14884" operator="containsText" text="No Aplica">
      <formula>NOT(ISERROR(SEARCH("No Aplica",R44)))</formula>
    </cfRule>
    <cfRule type="containsText" dxfId="14571" priority="14885" operator="containsText" text="Fallido">
      <formula>NOT(ISERROR(SEARCH("Fallido",R44)))</formula>
    </cfRule>
    <cfRule type="containsText" dxfId="14570" priority="14886" operator="containsText" text="Éxitoso">
      <formula>NOT(ISERROR(SEARCH("Éxitoso",R44)))</formula>
    </cfRule>
  </conditionalFormatting>
  <conditionalFormatting sqref="S44">
    <cfRule type="containsText" dxfId="14569" priority="14877" operator="containsText" text="No se pudo ejecutar">
      <formula>NOT(ISERROR(SEARCH("No se pudo ejecutar",S44)))</formula>
    </cfRule>
    <cfRule type="containsText" dxfId="14568" priority="14878" operator="containsText" text="Pendiente">
      <formula>NOT(ISERROR(SEARCH("Pendiente",S44)))</formula>
    </cfRule>
    <cfRule type="containsText" dxfId="14567" priority="14879" operator="containsText" text="No Aplica">
      <formula>NOT(ISERROR(SEARCH("No Aplica",S44)))</formula>
    </cfRule>
    <cfRule type="containsText" dxfId="14566" priority="14880" operator="containsText" text="Fallido">
      <formula>NOT(ISERROR(SEARCH("Fallido",S44)))</formula>
    </cfRule>
    <cfRule type="containsText" dxfId="14565" priority="14881" operator="containsText" text="Éxitoso">
      <formula>NOT(ISERROR(SEARCH("Éxitoso",S44)))</formula>
    </cfRule>
  </conditionalFormatting>
  <conditionalFormatting sqref="T44">
    <cfRule type="containsText" dxfId="14564" priority="14872" operator="containsText" text="No se pudo ejecutar">
      <formula>NOT(ISERROR(SEARCH("No se pudo ejecutar",T44)))</formula>
    </cfRule>
    <cfRule type="containsText" dxfId="14563" priority="14873" operator="containsText" text="Pendiente">
      <formula>NOT(ISERROR(SEARCH("Pendiente",T44)))</formula>
    </cfRule>
    <cfRule type="containsText" dxfId="14562" priority="14874" operator="containsText" text="No Aplica">
      <formula>NOT(ISERROR(SEARCH("No Aplica",T44)))</formula>
    </cfRule>
    <cfRule type="containsText" dxfId="14561" priority="14875" operator="containsText" text="Fallido">
      <formula>NOT(ISERROR(SEARCH("Fallido",T44)))</formula>
    </cfRule>
    <cfRule type="containsText" dxfId="14560" priority="14876" operator="containsText" text="Éxitoso">
      <formula>NOT(ISERROR(SEARCH("Éxitoso",T44)))</formula>
    </cfRule>
  </conditionalFormatting>
  <conditionalFormatting sqref="U44">
    <cfRule type="containsText" dxfId="14559" priority="14867" operator="containsText" text="No se pudo ejecutar">
      <formula>NOT(ISERROR(SEARCH("No se pudo ejecutar",U44)))</formula>
    </cfRule>
    <cfRule type="containsText" dxfId="14558" priority="14868" operator="containsText" text="Pendiente">
      <formula>NOT(ISERROR(SEARCH("Pendiente",U44)))</formula>
    </cfRule>
    <cfRule type="containsText" dxfId="14557" priority="14869" operator="containsText" text="No Aplica">
      <formula>NOT(ISERROR(SEARCH("No Aplica",U44)))</formula>
    </cfRule>
    <cfRule type="containsText" dxfId="14556" priority="14870" operator="containsText" text="Fallido">
      <formula>NOT(ISERROR(SEARCH("Fallido",U44)))</formula>
    </cfRule>
    <cfRule type="containsText" dxfId="14555" priority="14871" operator="containsText" text="Éxitoso">
      <formula>NOT(ISERROR(SEARCH("Éxitoso",U44)))</formula>
    </cfRule>
  </conditionalFormatting>
  <conditionalFormatting sqref="V44">
    <cfRule type="containsText" dxfId="14554" priority="14862" operator="containsText" text="No se pudo ejecutar">
      <formula>NOT(ISERROR(SEARCH("No se pudo ejecutar",V44)))</formula>
    </cfRule>
    <cfRule type="containsText" dxfId="14553" priority="14863" operator="containsText" text="Pendiente">
      <formula>NOT(ISERROR(SEARCH("Pendiente",V44)))</formula>
    </cfRule>
    <cfRule type="containsText" dxfId="14552" priority="14864" operator="containsText" text="No Aplica">
      <formula>NOT(ISERROR(SEARCH("No Aplica",V44)))</formula>
    </cfRule>
    <cfRule type="containsText" dxfId="14551" priority="14865" operator="containsText" text="Fallido">
      <formula>NOT(ISERROR(SEARCH("Fallido",V44)))</formula>
    </cfRule>
    <cfRule type="containsText" dxfId="14550" priority="14866" operator="containsText" text="Éxitoso">
      <formula>NOT(ISERROR(SEARCH("Éxitoso",V44)))</formula>
    </cfRule>
  </conditionalFormatting>
  <conditionalFormatting sqref="W44">
    <cfRule type="containsText" dxfId="14549" priority="14857" operator="containsText" text="No se pudo ejecutar">
      <formula>NOT(ISERROR(SEARCH("No se pudo ejecutar",W44)))</formula>
    </cfRule>
    <cfRule type="containsText" dxfId="14548" priority="14858" operator="containsText" text="Pendiente">
      <formula>NOT(ISERROR(SEARCH("Pendiente",W44)))</formula>
    </cfRule>
    <cfRule type="containsText" dxfId="14547" priority="14859" operator="containsText" text="No Aplica">
      <formula>NOT(ISERROR(SEARCH("No Aplica",W44)))</formula>
    </cfRule>
    <cfRule type="containsText" dxfId="14546" priority="14860" operator="containsText" text="Fallido">
      <formula>NOT(ISERROR(SEARCH("Fallido",W44)))</formula>
    </cfRule>
    <cfRule type="containsText" dxfId="14545" priority="14861" operator="containsText" text="Éxitoso">
      <formula>NOT(ISERROR(SEARCH("Éxitoso",W44)))</formula>
    </cfRule>
  </conditionalFormatting>
  <conditionalFormatting sqref="M44">
    <cfRule type="containsText" dxfId="14544" priority="14852" operator="containsText" text="No se pudo ejecutar">
      <formula>NOT(ISERROR(SEARCH("No se pudo ejecutar",M44)))</formula>
    </cfRule>
    <cfRule type="containsText" dxfId="14543" priority="14853" operator="containsText" text="Pendiente">
      <formula>NOT(ISERROR(SEARCH("Pendiente",M44)))</formula>
    </cfRule>
    <cfRule type="containsText" dxfId="14542" priority="14854" operator="containsText" text="No Aplica">
      <formula>NOT(ISERROR(SEARCH("No Aplica",M44)))</formula>
    </cfRule>
    <cfRule type="containsText" dxfId="14541" priority="14855" operator="containsText" text="Fallido">
      <formula>NOT(ISERROR(SEARCH("Fallido",M44)))</formula>
    </cfRule>
    <cfRule type="containsText" dxfId="14540" priority="14856" operator="containsText" text="Éxitoso">
      <formula>NOT(ISERROR(SEARCH("Éxitoso",M44)))</formula>
    </cfRule>
  </conditionalFormatting>
  <conditionalFormatting sqref="G44">
    <cfRule type="containsText" dxfId="14539" priority="14849" operator="containsText" text="Bajo">
      <formula>NOT(ISERROR(SEARCH("Bajo",G44)))</formula>
    </cfRule>
    <cfRule type="containsText" dxfId="14538" priority="14850" operator="containsText" text="Medio">
      <formula>NOT(ISERROR(SEARCH("Medio",G44)))</formula>
    </cfRule>
    <cfRule type="containsText" dxfId="14537" priority="14851" operator="containsText" text="Alto">
      <formula>NOT(ISERROR(SEARCH("Alto",G44)))</formula>
    </cfRule>
  </conditionalFormatting>
  <conditionalFormatting sqref="N45">
    <cfRule type="containsText" dxfId="14536" priority="14844" operator="containsText" text="No se pudo ejecutar">
      <formula>NOT(ISERROR(SEARCH("No se pudo ejecutar",N45)))</formula>
    </cfRule>
    <cfRule type="containsText" dxfId="14535" priority="14845" operator="containsText" text="Pendiente">
      <formula>NOT(ISERROR(SEARCH("Pendiente",N45)))</formula>
    </cfRule>
    <cfRule type="containsText" dxfId="14534" priority="14846" operator="containsText" text="No Aplica">
      <formula>NOT(ISERROR(SEARCH("No Aplica",N45)))</formula>
    </cfRule>
    <cfRule type="containsText" dxfId="14533" priority="14847" operator="containsText" text="Fallido">
      <formula>NOT(ISERROR(SEARCH("Fallido",N45)))</formula>
    </cfRule>
    <cfRule type="containsText" dxfId="14532" priority="14848" operator="containsText" text="Éxitoso">
      <formula>NOT(ISERROR(SEARCH("Éxitoso",N45)))</formula>
    </cfRule>
  </conditionalFormatting>
  <conditionalFormatting sqref="O45">
    <cfRule type="containsText" dxfId="14531" priority="14839" operator="containsText" text="No se pudo ejecutar">
      <formula>NOT(ISERROR(SEARCH("No se pudo ejecutar",O45)))</formula>
    </cfRule>
    <cfRule type="containsText" dxfId="14530" priority="14840" operator="containsText" text="Pendiente">
      <formula>NOT(ISERROR(SEARCH("Pendiente",O45)))</formula>
    </cfRule>
    <cfRule type="containsText" dxfId="14529" priority="14841" operator="containsText" text="No Aplica">
      <formula>NOT(ISERROR(SEARCH("No Aplica",O45)))</formula>
    </cfRule>
    <cfRule type="containsText" dxfId="14528" priority="14842" operator="containsText" text="Fallido">
      <formula>NOT(ISERROR(SEARCH("Fallido",O45)))</formula>
    </cfRule>
    <cfRule type="containsText" dxfId="14527" priority="14843" operator="containsText" text="Éxitoso">
      <formula>NOT(ISERROR(SEARCH("Éxitoso",O45)))</formula>
    </cfRule>
  </conditionalFormatting>
  <conditionalFormatting sqref="P45">
    <cfRule type="containsText" dxfId="14526" priority="14834" operator="containsText" text="No se pudo ejecutar">
      <formula>NOT(ISERROR(SEARCH("No se pudo ejecutar",P45)))</formula>
    </cfRule>
    <cfRule type="containsText" dxfId="14525" priority="14835" operator="containsText" text="Pendiente">
      <formula>NOT(ISERROR(SEARCH("Pendiente",P45)))</formula>
    </cfRule>
    <cfRule type="containsText" dxfId="14524" priority="14836" operator="containsText" text="No Aplica">
      <formula>NOT(ISERROR(SEARCH("No Aplica",P45)))</formula>
    </cfRule>
    <cfRule type="containsText" dxfId="14523" priority="14837" operator="containsText" text="Fallido">
      <formula>NOT(ISERROR(SEARCH("Fallido",P45)))</formula>
    </cfRule>
    <cfRule type="containsText" dxfId="14522" priority="14838" operator="containsText" text="Éxitoso">
      <formula>NOT(ISERROR(SEARCH("Éxitoso",P45)))</formula>
    </cfRule>
  </conditionalFormatting>
  <conditionalFormatting sqref="Q45">
    <cfRule type="containsText" dxfId="14521" priority="14829" operator="containsText" text="No se pudo ejecutar">
      <formula>NOT(ISERROR(SEARCH("No se pudo ejecutar",Q45)))</formula>
    </cfRule>
    <cfRule type="containsText" dxfId="14520" priority="14830" operator="containsText" text="Pendiente">
      <formula>NOT(ISERROR(SEARCH("Pendiente",Q45)))</formula>
    </cfRule>
    <cfRule type="containsText" dxfId="14519" priority="14831" operator="containsText" text="No Aplica">
      <formula>NOT(ISERROR(SEARCH("No Aplica",Q45)))</formula>
    </cfRule>
    <cfRule type="containsText" dxfId="14518" priority="14832" operator="containsText" text="Fallido">
      <formula>NOT(ISERROR(SEARCH("Fallido",Q45)))</formula>
    </cfRule>
    <cfRule type="containsText" dxfId="14517" priority="14833" operator="containsText" text="Éxitoso">
      <formula>NOT(ISERROR(SEARCH("Éxitoso",Q45)))</formula>
    </cfRule>
  </conditionalFormatting>
  <conditionalFormatting sqref="R45">
    <cfRule type="containsText" dxfId="14516" priority="14824" operator="containsText" text="No se pudo ejecutar">
      <formula>NOT(ISERROR(SEARCH("No se pudo ejecutar",R45)))</formula>
    </cfRule>
    <cfRule type="containsText" dxfId="14515" priority="14825" operator="containsText" text="Pendiente">
      <formula>NOT(ISERROR(SEARCH("Pendiente",R45)))</formula>
    </cfRule>
    <cfRule type="containsText" dxfId="14514" priority="14826" operator="containsText" text="No Aplica">
      <formula>NOT(ISERROR(SEARCH("No Aplica",R45)))</formula>
    </cfRule>
    <cfRule type="containsText" dxfId="14513" priority="14827" operator="containsText" text="Fallido">
      <formula>NOT(ISERROR(SEARCH("Fallido",R45)))</formula>
    </cfRule>
    <cfRule type="containsText" dxfId="14512" priority="14828" operator="containsText" text="Éxitoso">
      <formula>NOT(ISERROR(SEARCH("Éxitoso",R45)))</formula>
    </cfRule>
  </conditionalFormatting>
  <conditionalFormatting sqref="S45">
    <cfRule type="containsText" dxfId="14511" priority="14819" operator="containsText" text="No se pudo ejecutar">
      <formula>NOT(ISERROR(SEARCH("No se pudo ejecutar",S45)))</formula>
    </cfRule>
    <cfRule type="containsText" dxfId="14510" priority="14820" operator="containsText" text="Pendiente">
      <formula>NOT(ISERROR(SEARCH("Pendiente",S45)))</formula>
    </cfRule>
    <cfRule type="containsText" dxfId="14509" priority="14821" operator="containsText" text="No Aplica">
      <formula>NOT(ISERROR(SEARCH("No Aplica",S45)))</formula>
    </cfRule>
    <cfRule type="containsText" dxfId="14508" priority="14822" operator="containsText" text="Fallido">
      <formula>NOT(ISERROR(SEARCH("Fallido",S45)))</formula>
    </cfRule>
    <cfRule type="containsText" dxfId="14507" priority="14823" operator="containsText" text="Éxitoso">
      <formula>NOT(ISERROR(SEARCH("Éxitoso",S45)))</formula>
    </cfRule>
  </conditionalFormatting>
  <conditionalFormatting sqref="T45">
    <cfRule type="containsText" dxfId="14506" priority="14814" operator="containsText" text="No se pudo ejecutar">
      <formula>NOT(ISERROR(SEARCH("No se pudo ejecutar",T45)))</formula>
    </cfRule>
    <cfRule type="containsText" dxfId="14505" priority="14815" operator="containsText" text="Pendiente">
      <formula>NOT(ISERROR(SEARCH("Pendiente",T45)))</formula>
    </cfRule>
    <cfRule type="containsText" dxfId="14504" priority="14816" operator="containsText" text="No Aplica">
      <formula>NOT(ISERROR(SEARCH("No Aplica",T45)))</formula>
    </cfRule>
    <cfRule type="containsText" dxfId="14503" priority="14817" operator="containsText" text="Fallido">
      <formula>NOT(ISERROR(SEARCH("Fallido",T45)))</formula>
    </cfRule>
    <cfRule type="containsText" dxfId="14502" priority="14818" operator="containsText" text="Éxitoso">
      <formula>NOT(ISERROR(SEARCH("Éxitoso",T45)))</formula>
    </cfRule>
  </conditionalFormatting>
  <conditionalFormatting sqref="U45">
    <cfRule type="containsText" dxfId="14501" priority="14809" operator="containsText" text="No se pudo ejecutar">
      <formula>NOT(ISERROR(SEARCH("No se pudo ejecutar",U45)))</formula>
    </cfRule>
    <cfRule type="containsText" dxfId="14500" priority="14810" operator="containsText" text="Pendiente">
      <formula>NOT(ISERROR(SEARCH("Pendiente",U45)))</formula>
    </cfRule>
    <cfRule type="containsText" dxfId="14499" priority="14811" operator="containsText" text="No Aplica">
      <formula>NOT(ISERROR(SEARCH("No Aplica",U45)))</formula>
    </cfRule>
    <cfRule type="containsText" dxfId="14498" priority="14812" operator="containsText" text="Fallido">
      <formula>NOT(ISERROR(SEARCH("Fallido",U45)))</formula>
    </cfRule>
    <cfRule type="containsText" dxfId="14497" priority="14813" operator="containsText" text="Éxitoso">
      <formula>NOT(ISERROR(SEARCH("Éxitoso",U45)))</formula>
    </cfRule>
  </conditionalFormatting>
  <conditionalFormatting sqref="V45">
    <cfRule type="containsText" dxfId="14496" priority="14804" operator="containsText" text="No se pudo ejecutar">
      <formula>NOT(ISERROR(SEARCH("No se pudo ejecutar",V45)))</formula>
    </cfRule>
    <cfRule type="containsText" dxfId="14495" priority="14805" operator="containsText" text="Pendiente">
      <formula>NOT(ISERROR(SEARCH("Pendiente",V45)))</formula>
    </cfRule>
    <cfRule type="containsText" dxfId="14494" priority="14806" operator="containsText" text="No Aplica">
      <formula>NOT(ISERROR(SEARCH("No Aplica",V45)))</formula>
    </cfRule>
    <cfRule type="containsText" dxfId="14493" priority="14807" operator="containsText" text="Fallido">
      <formula>NOT(ISERROR(SEARCH("Fallido",V45)))</formula>
    </cfRule>
    <cfRule type="containsText" dxfId="14492" priority="14808" operator="containsText" text="Éxitoso">
      <formula>NOT(ISERROR(SEARCH("Éxitoso",V45)))</formula>
    </cfRule>
  </conditionalFormatting>
  <conditionalFormatting sqref="W45">
    <cfRule type="containsText" dxfId="14491" priority="14799" operator="containsText" text="No se pudo ejecutar">
      <formula>NOT(ISERROR(SEARCH("No se pudo ejecutar",W45)))</formula>
    </cfRule>
    <cfRule type="containsText" dxfId="14490" priority="14800" operator="containsText" text="Pendiente">
      <formula>NOT(ISERROR(SEARCH("Pendiente",W45)))</formula>
    </cfRule>
    <cfRule type="containsText" dxfId="14489" priority="14801" operator="containsText" text="No Aplica">
      <formula>NOT(ISERROR(SEARCH("No Aplica",W45)))</formula>
    </cfRule>
    <cfRule type="containsText" dxfId="14488" priority="14802" operator="containsText" text="Fallido">
      <formula>NOT(ISERROR(SEARCH("Fallido",W45)))</formula>
    </cfRule>
    <cfRule type="containsText" dxfId="14487" priority="14803" operator="containsText" text="Éxitoso">
      <formula>NOT(ISERROR(SEARCH("Éxitoso",W45)))</formula>
    </cfRule>
  </conditionalFormatting>
  <conditionalFormatting sqref="M45">
    <cfRule type="containsText" dxfId="14486" priority="14794" operator="containsText" text="No se pudo ejecutar">
      <formula>NOT(ISERROR(SEARCH("No se pudo ejecutar",M45)))</formula>
    </cfRule>
    <cfRule type="containsText" dxfId="14485" priority="14795" operator="containsText" text="Pendiente">
      <formula>NOT(ISERROR(SEARCH("Pendiente",M45)))</formula>
    </cfRule>
    <cfRule type="containsText" dxfId="14484" priority="14796" operator="containsText" text="No Aplica">
      <formula>NOT(ISERROR(SEARCH("No Aplica",M45)))</formula>
    </cfRule>
    <cfRule type="containsText" dxfId="14483" priority="14797" operator="containsText" text="Fallido">
      <formula>NOT(ISERROR(SEARCH("Fallido",M45)))</formula>
    </cfRule>
    <cfRule type="containsText" dxfId="14482" priority="14798" operator="containsText" text="Éxitoso">
      <formula>NOT(ISERROR(SEARCH("Éxitoso",M45)))</formula>
    </cfRule>
  </conditionalFormatting>
  <conditionalFormatting sqref="G45">
    <cfRule type="containsText" dxfId="14481" priority="14791" operator="containsText" text="Bajo">
      <formula>NOT(ISERROR(SEARCH("Bajo",G45)))</formula>
    </cfRule>
    <cfRule type="containsText" dxfId="14480" priority="14792" operator="containsText" text="Medio">
      <formula>NOT(ISERROR(SEARCH("Medio",G45)))</formula>
    </cfRule>
    <cfRule type="containsText" dxfId="14479" priority="14793" operator="containsText" text="Alto">
      <formula>NOT(ISERROR(SEARCH("Alto",G45)))</formula>
    </cfRule>
  </conditionalFormatting>
  <conditionalFormatting sqref="N46">
    <cfRule type="containsText" dxfId="14478" priority="14786" operator="containsText" text="No se pudo ejecutar">
      <formula>NOT(ISERROR(SEARCH("No se pudo ejecutar",N46)))</formula>
    </cfRule>
    <cfRule type="containsText" dxfId="14477" priority="14787" operator="containsText" text="Pendiente">
      <formula>NOT(ISERROR(SEARCH("Pendiente",N46)))</formula>
    </cfRule>
    <cfRule type="containsText" dxfId="14476" priority="14788" operator="containsText" text="No Aplica">
      <formula>NOT(ISERROR(SEARCH("No Aplica",N46)))</formula>
    </cfRule>
    <cfRule type="containsText" dxfId="14475" priority="14789" operator="containsText" text="Fallido">
      <formula>NOT(ISERROR(SEARCH("Fallido",N46)))</formula>
    </cfRule>
    <cfRule type="containsText" dxfId="14474" priority="14790" operator="containsText" text="Éxitoso">
      <formula>NOT(ISERROR(SEARCH("Éxitoso",N46)))</formula>
    </cfRule>
  </conditionalFormatting>
  <conditionalFormatting sqref="O46">
    <cfRule type="containsText" dxfId="14473" priority="14781" operator="containsText" text="No se pudo ejecutar">
      <formula>NOT(ISERROR(SEARCH("No se pudo ejecutar",O46)))</formula>
    </cfRule>
    <cfRule type="containsText" dxfId="14472" priority="14782" operator="containsText" text="Pendiente">
      <formula>NOT(ISERROR(SEARCH("Pendiente",O46)))</formula>
    </cfRule>
    <cfRule type="containsText" dxfId="14471" priority="14783" operator="containsText" text="No Aplica">
      <formula>NOT(ISERROR(SEARCH("No Aplica",O46)))</formula>
    </cfRule>
    <cfRule type="containsText" dxfId="14470" priority="14784" operator="containsText" text="Fallido">
      <formula>NOT(ISERROR(SEARCH("Fallido",O46)))</formula>
    </cfRule>
    <cfRule type="containsText" dxfId="14469" priority="14785" operator="containsText" text="Éxitoso">
      <formula>NOT(ISERROR(SEARCH("Éxitoso",O46)))</formula>
    </cfRule>
  </conditionalFormatting>
  <conditionalFormatting sqref="P46">
    <cfRule type="containsText" dxfId="14468" priority="14776" operator="containsText" text="No se pudo ejecutar">
      <formula>NOT(ISERROR(SEARCH("No se pudo ejecutar",P46)))</formula>
    </cfRule>
    <cfRule type="containsText" dxfId="14467" priority="14777" operator="containsText" text="Pendiente">
      <formula>NOT(ISERROR(SEARCH("Pendiente",P46)))</formula>
    </cfRule>
    <cfRule type="containsText" dxfId="14466" priority="14778" operator="containsText" text="No Aplica">
      <formula>NOT(ISERROR(SEARCH("No Aplica",P46)))</formula>
    </cfRule>
    <cfRule type="containsText" dxfId="14465" priority="14779" operator="containsText" text="Fallido">
      <formula>NOT(ISERROR(SEARCH("Fallido",P46)))</formula>
    </cfRule>
    <cfRule type="containsText" dxfId="14464" priority="14780" operator="containsText" text="Éxitoso">
      <formula>NOT(ISERROR(SEARCH("Éxitoso",P46)))</formula>
    </cfRule>
  </conditionalFormatting>
  <conditionalFormatting sqref="Q46">
    <cfRule type="containsText" dxfId="14463" priority="14771" operator="containsText" text="No se pudo ejecutar">
      <formula>NOT(ISERROR(SEARCH("No se pudo ejecutar",Q46)))</formula>
    </cfRule>
    <cfRule type="containsText" dxfId="14462" priority="14772" operator="containsText" text="Pendiente">
      <formula>NOT(ISERROR(SEARCH("Pendiente",Q46)))</formula>
    </cfRule>
    <cfRule type="containsText" dxfId="14461" priority="14773" operator="containsText" text="No Aplica">
      <formula>NOT(ISERROR(SEARCH("No Aplica",Q46)))</formula>
    </cfRule>
    <cfRule type="containsText" dxfId="14460" priority="14774" operator="containsText" text="Fallido">
      <formula>NOT(ISERROR(SEARCH("Fallido",Q46)))</formula>
    </cfRule>
    <cfRule type="containsText" dxfId="14459" priority="14775" operator="containsText" text="Éxitoso">
      <formula>NOT(ISERROR(SEARCH("Éxitoso",Q46)))</formula>
    </cfRule>
  </conditionalFormatting>
  <conditionalFormatting sqref="R46">
    <cfRule type="containsText" dxfId="14458" priority="14766" operator="containsText" text="No se pudo ejecutar">
      <formula>NOT(ISERROR(SEARCH("No se pudo ejecutar",R46)))</formula>
    </cfRule>
    <cfRule type="containsText" dxfId="14457" priority="14767" operator="containsText" text="Pendiente">
      <formula>NOT(ISERROR(SEARCH("Pendiente",R46)))</formula>
    </cfRule>
    <cfRule type="containsText" dxfId="14456" priority="14768" operator="containsText" text="No Aplica">
      <formula>NOT(ISERROR(SEARCH("No Aplica",R46)))</formula>
    </cfRule>
    <cfRule type="containsText" dxfId="14455" priority="14769" operator="containsText" text="Fallido">
      <formula>NOT(ISERROR(SEARCH("Fallido",R46)))</formula>
    </cfRule>
    <cfRule type="containsText" dxfId="14454" priority="14770" operator="containsText" text="Éxitoso">
      <formula>NOT(ISERROR(SEARCH("Éxitoso",R46)))</formula>
    </cfRule>
  </conditionalFormatting>
  <conditionalFormatting sqref="S46">
    <cfRule type="containsText" dxfId="14453" priority="14761" operator="containsText" text="No se pudo ejecutar">
      <formula>NOT(ISERROR(SEARCH("No se pudo ejecutar",S46)))</formula>
    </cfRule>
    <cfRule type="containsText" dxfId="14452" priority="14762" operator="containsText" text="Pendiente">
      <formula>NOT(ISERROR(SEARCH("Pendiente",S46)))</formula>
    </cfRule>
    <cfRule type="containsText" dxfId="14451" priority="14763" operator="containsText" text="No Aplica">
      <formula>NOT(ISERROR(SEARCH("No Aplica",S46)))</formula>
    </cfRule>
    <cfRule type="containsText" dxfId="14450" priority="14764" operator="containsText" text="Fallido">
      <formula>NOT(ISERROR(SEARCH("Fallido",S46)))</formula>
    </cfRule>
    <cfRule type="containsText" dxfId="14449" priority="14765" operator="containsText" text="Éxitoso">
      <formula>NOT(ISERROR(SEARCH("Éxitoso",S46)))</formula>
    </cfRule>
  </conditionalFormatting>
  <conditionalFormatting sqref="T46">
    <cfRule type="containsText" dxfId="14448" priority="14756" operator="containsText" text="No se pudo ejecutar">
      <formula>NOT(ISERROR(SEARCH("No se pudo ejecutar",T46)))</formula>
    </cfRule>
    <cfRule type="containsText" dxfId="14447" priority="14757" operator="containsText" text="Pendiente">
      <formula>NOT(ISERROR(SEARCH("Pendiente",T46)))</formula>
    </cfRule>
    <cfRule type="containsText" dxfId="14446" priority="14758" operator="containsText" text="No Aplica">
      <formula>NOT(ISERROR(SEARCH("No Aplica",T46)))</formula>
    </cfRule>
    <cfRule type="containsText" dxfId="14445" priority="14759" operator="containsText" text="Fallido">
      <formula>NOT(ISERROR(SEARCH("Fallido",T46)))</formula>
    </cfRule>
    <cfRule type="containsText" dxfId="14444" priority="14760" operator="containsText" text="Éxitoso">
      <formula>NOT(ISERROR(SEARCH("Éxitoso",T46)))</formula>
    </cfRule>
  </conditionalFormatting>
  <conditionalFormatting sqref="U46">
    <cfRule type="containsText" dxfId="14443" priority="14751" operator="containsText" text="No se pudo ejecutar">
      <formula>NOT(ISERROR(SEARCH("No se pudo ejecutar",U46)))</formula>
    </cfRule>
    <cfRule type="containsText" dxfId="14442" priority="14752" operator="containsText" text="Pendiente">
      <formula>NOT(ISERROR(SEARCH("Pendiente",U46)))</formula>
    </cfRule>
    <cfRule type="containsText" dxfId="14441" priority="14753" operator="containsText" text="No Aplica">
      <formula>NOT(ISERROR(SEARCH("No Aplica",U46)))</formula>
    </cfRule>
    <cfRule type="containsText" dxfId="14440" priority="14754" operator="containsText" text="Fallido">
      <formula>NOT(ISERROR(SEARCH("Fallido",U46)))</formula>
    </cfRule>
    <cfRule type="containsText" dxfId="14439" priority="14755" operator="containsText" text="Éxitoso">
      <formula>NOT(ISERROR(SEARCH("Éxitoso",U46)))</formula>
    </cfRule>
  </conditionalFormatting>
  <conditionalFormatting sqref="V46">
    <cfRule type="containsText" dxfId="14438" priority="14746" operator="containsText" text="No se pudo ejecutar">
      <formula>NOT(ISERROR(SEARCH("No se pudo ejecutar",V46)))</formula>
    </cfRule>
    <cfRule type="containsText" dxfId="14437" priority="14747" operator="containsText" text="Pendiente">
      <formula>NOT(ISERROR(SEARCH("Pendiente",V46)))</formula>
    </cfRule>
    <cfRule type="containsText" dxfId="14436" priority="14748" operator="containsText" text="No Aplica">
      <formula>NOT(ISERROR(SEARCH("No Aplica",V46)))</formula>
    </cfRule>
    <cfRule type="containsText" dxfId="14435" priority="14749" operator="containsText" text="Fallido">
      <formula>NOT(ISERROR(SEARCH("Fallido",V46)))</formula>
    </cfRule>
    <cfRule type="containsText" dxfId="14434" priority="14750" operator="containsText" text="Éxitoso">
      <formula>NOT(ISERROR(SEARCH("Éxitoso",V46)))</formula>
    </cfRule>
  </conditionalFormatting>
  <conditionalFormatting sqref="W46">
    <cfRule type="containsText" dxfId="14433" priority="14741" operator="containsText" text="No se pudo ejecutar">
      <formula>NOT(ISERROR(SEARCH("No se pudo ejecutar",W46)))</formula>
    </cfRule>
    <cfRule type="containsText" dxfId="14432" priority="14742" operator="containsText" text="Pendiente">
      <formula>NOT(ISERROR(SEARCH("Pendiente",W46)))</formula>
    </cfRule>
    <cfRule type="containsText" dxfId="14431" priority="14743" operator="containsText" text="No Aplica">
      <formula>NOT(ISERROR(SEARCH("No Aplica",W46)))</formula>
    </cfRule>
    <cfRule type="containsText" dxfId="14430" priority="14744" operator="containsText" text="Fallido">
      <formula>NOT(ISERROR(SEARCH("Fallido",W46)))</formula>
    </cfRule>
    <cfRule type="containsText" dxfId="14429" priority="14745" operator="containsText" text="Éxitoso">
      <formula>NOT(ISERROR(SEARCH("Éxitoso",W46)))</formula>
    </cfRule>
  </conditionalFormatting>
  <conditionalFormatting sqref="M46">
    <cfRule type="containsText" dxfId="14428" priority="14736" operator="containsText" text="No se pudo ejecutar">
      <formula>NOT(ISERROR(SEARCH("No se pudo ejecutar",M46)))</formula>
    </cfRule>
    <cfRule type="containsText" dxfId="14427" priority="14737" operator="containsText" text="Pendiente">
      <formula>NOT(ISERROR(SEARCH("Pendiente",M46)))</formula>
    </cfRule>
    <cfRule type="containsText" dxfId="14426" priority="14738" operator="containsText" text="No Aplica">
      <formula>NOT(ISERROR(SEARCH("No Aplica",M46)))</formula>
    </cfRule>
    <cfRule type="containsText" dxfId="14425" priority="14739" operator="containsText" text="Fallido">
      <formula>NOT(ISERROR(SEARCH("Fallido",M46)))</formula>
    </cfRule>
    <cfRule type="containsText" dxfId="14424" priority="14740" operator="containsText" text="Éxitoso">
      <formula>NOT(ISERROR(SEARCH("Éxitoso",M46)))</formula>
    </cfRule>
  </conditionalFormatting>
  <conditionalFormatting sqref="G46">
    <cfRule type="containsText" dxfId="14423" priority="14733" operator="containsText" text="Bajo">
      <formula>NOT(ISERROR(SEARCH("Bajo",G46)))</formula>
    </cfRule>
    <cfRule type="containsText" dxfId="14422" priority="14734" operator="containsText" text="Medio">
      <formula>NOT(ISERROR(SEARCH("Medio",G46)))</formula>
    </cfRule>
    <cfRule type="containsText" dxfId="14421" priority="14735" operator="containsText" text="Alto">
      <formula>NOT(ISERROR(SEARCH("Alto",G46)))</formula>
    </cfRule>
  </conditionalFormatting>
  <conditionalFormatting sqref="N47">
    <cfRule type="containsText" dxfId="14420" priority="14728" operator="containsText" text="No se pudo ejecutar">
      <formula>NOT(ISERROR(SEARCH("No se pudo ejecutar",N47)))</formula>
    </cfRule>
    <cfRule type="containsText" dxfId="14419" priority="14729" operator="containsText" text="Pendiente">
      <formula>NOT(ISERROR(SEARCH("Pendiente",N47)))</formula>
    </cfRule>
    <cfRule type="containsText" dxfId="14418" priority="14730" operator="containsText" text="No Aplica">
      <formula>NOT(ISERROR(SEARCH("No Aplica",N47)))</formula>
    </cfRule>
    <cfRule type="containsText" dxfId="14417" priority="14731" operator="containsText" text="Fallido">
      <formula>NOT(ISERROR(SEARCH("Fallido",N47)))</formula>
    </cfRule>
    <cfRule type="containsText" dxfId="14416" priority="14732" operator="containsText" text="Éxitoso">
      <formula>NOT(ISERROR(SEARCH("Éxitoso",N47)))</formula>
    </cfRule>
  </conditionalFormatting>
  <conditionalFormatting sqref="O47">
    <cfRule type="containsText" dxfId="14415" priority="14723" operator="containsText" text="No se pudo ejecutar">
      <formula>NOT(ISERROR(SEARCH("No se pudo ejecutar",O47)))</formula>
    </cfRule>
    <cfRule type="containsText" dxfId="14414" priority="14724" operator="containsText" text="Pendiente">
      <formula>NOT(ISERROR(SEARCH("Pendiente",O47)))</formula>
    </cfRule>
    <cfRule type="containsText" dxfId="14413" priority="14725" operator="containsText" text="No Aplica">
      <formula>NOT(ISERROR(SEARCH("No Aplica",O47)))</formula>
    </cfRule>
    <cfRule type="containsText" dxfId="14412" priority="14726" operator="containsText" text="Fallido">
      <formula>NOT(ISERROR(SEARCH("Fallido",O47)))</formula>
    </cfRule>
    <cfRule type="containsText" dxfId="14411" priority="14727" operator="containsText" text="Éxitoso">
      <formula>NOT(ISERROR(SEARCH("Éxitoso",O47)))</formula>
    </cfRule>
  </conditionalFormatting>
  <conditionalFormatting sqref="P47">
    <cfRule type="containsText" dxfId="14410" priority="14718" operator="containsText" text="No se pudo ejecutar">
      <formula>NOT(ISERROR(SEARCH("No se pudo ejecutar",P47)))</formula>
    </cfRule>
    <cfRule type="containsText" dxfId="14409" priority="14719" operator="containsText" text="Pendiente">
      <formula>NOT(ISERROR(SEARCH("Pendiente",P47)))</formula>
    </cfRule>
    <cfRule type="containsText" dxfId="14408" priority="14720" operator="containsText" text="No Aplica">
      <formula>NOT(ISERROR(SEARCH("No Aplica",P47)))</formula>
    </cfRule>
    <cfRule type="containsText" dxfId="14407" priority="14721" operator="containsText" text="Fallido">
      <formula>NOT(ISERROR(SEARCH("Fallido",P47)))</formula>
    </cfRule>
    <cfRule type="containsText" dxfId="14406" priority="14722" operator="containsText" text="Éxitoso">
      <formula>NOT(ISERROR(SEARCH("Éxitoso",P47)))</formula>
    </cfRule>
  </conditionalFormatting>
  <conditionalFormatting sqref="Q47">
    <cfRule type="containsText" dxfId="14405" priority="14713" operator="containsText" text="No se pudo ejecutar">
      <formula>NOT(ISERROR(SEARCH("No se pudo ejecutar",Q47)))</formula>
    </cfRule>
    <cfRule type="containsText" dxfId="14404" priority="14714" operator="containsText" text="Pendiente">
      <formula>NOT(ISERROR(SEARCH("Pendiente",Q47)))</formula>
    </cfRule>
    <cfRule type="containsText" dxfId="14403" priority="14715" operator="containsText" text="No Aplica">
      <formula>NOT(ISERROR(SEARCH("No Aplica",Q47)))</formula>
    </cfRule>
    <cfRule type="containsText" dxfId="14402" priority="14716" operator="containsText" text="Fallido">
      <formula>NOT(ISERROR(SEARCH("Fallido",Q47)))</formula>
    </cfRule>
    <cfRule type="containsText" dxfId="14401" priority="14717" operator="containsText" text="Éxitoso">
      <formula>NOT(ISERROR(SEARCH("Éxitoso",Q47)))</formula>
    </cfRule>
  </conditionalFormatting>
  <conditionalFormatting sqref="R47">
    <cfRule type="containsText" dxfId="14400" priority="14708" operator="containsText" text="No se pudo ejecutar">
      <formula>NOT(ISERROR(SEARCH("No se pudo ejecutar",R47)))</formula>
    </cfRule>
    <cfRule type="containsText" dxfId="14399" priority="14709" operator="containsText" text="Pendiente">
      <formula>NOT(ISERROR(SEARCH("Pendiente",R47)))</formula>
    </cfRule>
    <cfRule type="containsText" dxfId="14398" priority="14710" operator="containsText" text="No Aplica">
      <formula>NOT(ISERROR(SEARCH("No Aplica",R47)))</formula>
    </cfRule>
    <cfRule type="containsText" dxfId="14397" priority="14711" operator="containsText" text="Fallido">
      <formula>NOT(ISERROR(SEARCH("Fallido",R47)))</formula>
    </cfRule>
    <cfRule type="containsText" dxfId="14396" priority="14712" operator="containsText" text="Éxitoso">
      <formula>NOT(ISERROR(SEARCH("Éxitoso",R47)))</formula>
    </cfRule>
  </conditionalFormatting>
  <conditionalFormatting sqref="S47">
    <cfRule type="containsText" dxfId="14395" priority="14703" operator="containsText" text="No se pudo ejecutar">
      <formula>NOT(ISERROR(SEARCH("No se pudo ejecutar",S47)))</formula>
    </cfRule>
    <cfRule type="containsText" dxfId="14394" priority="14704" operator="containsText" text="Pendiente">
      <formula>NOT(ISERROR(SEARCH("Pendiente",S47)))</formula>
    </cfRule>
    <cfRule type="containsText" dxfId="14393" priority="14705" operator="containsText" text="No Aplica">
      <formula>NOT(ISERROR(SEARCH("No Aplica",S47)))</formula>
    </cfRule>
    <cfRule type="containsText" dxfId="14392" priority="14706" operator="containsText" text="Fallido">
      <formula>NOT(ISERROR(SEARCH("Fallido",S47)))</formula>
    </cfRule>
    <cfRule type="containsText" dxfId="14391" priority="14707" operator="containsText" text="Éxitoso">
      <formula>NOT(ISERROR(SEARCH("Éxitoso",S47)))</formula>
    </cfRule>
  </conditionalFormatting>
  <conditionalFormatting sqref="T47">
    <cfRule type="containsText" dxfId="14390" priority="14698" operator="containsText" text="No se pudo ejecutar">
      <formula>NOT(ISERROR(SEARCH("No se pudo ejecutar",T47)))</formula>
    </cfRule>
    <cfRule type="containsText" dxfId="14389" priority="14699" operator="containsText" text="Pendiente">
      <formula>NOT(ISERROR(SEARCH("Pendiente",T47)))</formula>
    </cfRule>
    <cfRule type="containsText" dxfId="14388" priority="14700" operator="containsText" text="No Aplica">
      <formula>NOT(ISERROR(SEARCH("No Aplica",T47)))</formula>
    </cfRule>
    <cfRule type="containsText" dxfId="14387" priority="14701" operator="containsText" text="Fallido">
      <formula>NOT(ISERROR(SEARCH("Fallido",T47)))</formula>
    </cfRule>
    <cfRule type="containsText" dxfId="14386" priority="14702" operator="containsText" text="Éxitoso">
      <formula>NOT(ISERROR(SEARCH("Éxitoso",T47)))</formula>
    </cfRule>
  </conditionalFormatting>
  <conditionalFormatting sqref="U47">
    <cfRule type="containsText" dxfId="14385" priority="14693" operator="containsText" text="No se pudo ejecutar">
      <formula>NOT(ISERROR(SEARCH("No se pudo ejecutar",U47)))</formula>
    </cfRule>
    <cfRule type="containsText" dxfId="14384" priority="14694" operator="containsText" text="Pendiente">
      <formula>NOT(ISERROR(SEARCH("Pendiente",U47)))</formula>
    </cfRule>
    <cfRule type="containsText" dxfId="14383" priority="14695" operator="containsText" text="No Aplica">
      <formula>NOT(ISERROR(SEARCH("No Aplica",U47)))</formula>
    </cfRule>
    <cfRule type="containsText" dxfId="14382" priority="14696" operator="containsText" text="Fallido">
      <formula>NOT(ISERROR(SEARCH("Fallido",U47)))</formula>
    </cfRule>
    <cfRule type="containsText" dxfId="14381" priority="14697" operator="containsText" text="Éxitoso">
      <formula>NOT(ISERROR(SEARCH("Éxitoso",U47)))</formula>
    </cfRule>
  </conditionalFormatting>
  <conditionalFormatting sqref="V47">
    <cfRule type="containsText" dxfId="14380" priority="14688" operator="containsText" text="No se pudo ejecutar">
      <formula>NOT(ISERROR(SEARCH("No se pudo ejecutar",V47)))</formula>
    </cfRule>
    <cfRule type="containsText" dxfId="14379" priority="14689" operator="containsText" text="Pendiente">
      <formula>NOT(ISERROR(SEARCH("Pendiente",V47)))</formula>
    </cfRule>
    <cfRule type="containsText" dxfId="14378" priority="14690" operator="containsText" text="No Aplica">
      <formula>NOT(ISERROR(SEARCH("No Aplica",V47)))</formula>
    </cfRule>
    <cfRule type="containsText" dxfId="14377" priority="14691" operator="containsText" text="Fallido">
      <formula>NOT(ISERROR(SEARCH("Fallido",V47)))</formula>
    </cfRule>
    <cfRule type="containsText" dxfId="14376" priority="14692" operator="containsText" text="Éxitoso">
      <formula>NOT(ISERROR(SEARCH("Éxitoso",V47)))</formula>
    </cfRule>
  </conditionalFormatting>
  <conditionalFormatting sqref="W47">
    <cfRule type="containsText" dxfId="14375" priority="14683" operator="containsText" text="No se pudo ejecutar">
      <formula>NOT(ISERROR(SEARCH("No se pudo ejecutar",W47)))</formula>
    </cfRule>
    <cfRule type="containsText" dxfId="14374" priority="14684" operator="containsText" text="Pendiente">
      <formula>NOT(ISERROR(SEARCH("Pendiente",W47)))</formula>
    </cfRule>
    <cfRule type="containsText" dxfId="14373" priority="14685" operator="containsText" text="No Aplica">
      <formula>NOT(ISERROR(SEARCH("No Aplica",W47)))</formula>
    </cfRule>
    <cfRule type="containsText" dxfId="14372" priority="14686" operator="containsText" text="Fallido">
      <formula>NOT(ISERROR(SEARCH("Fallido",W47)))</formula>
    </cfRule>
    <cfRule type="containsText" dxfId="14371" priority="14687" operator="containsText" text="Éxitoso">
      <formula>NOT(ISERROR(SEARCH("Éxitoso",W47)))</formula>
    </cfRule>
  </conditionalFormatting>
  <conditionalFormatting sqref="M47">
    <cfRule type="containsText" dxfId="14370" priority="14678" operator="containsText" text="No se pudo ejecutar">
      <formula>NOT(ISERROR(SEARCH("No se pudo ejecutar",M47)))</formula>
    </cfRule>
    <cfRule type="containsText" dxfId="14369" priority="14679" operator="containsText" text="Pendiente">
      <formula>NOT(ISERROR(SEARCH("Pendiente",M47)))</formula>
    </cfRule>
    <cfRule type="containsText" dxfId="14368" priority="14680" operator="containsText" text="No Aplica">
      <formula>NOT(ISERROR(SEARCH("No Aplica",M47)))</formula>
    </cfRule>
    <cfRule type="containsText" dxfId="14367" priority="14681" operator="containsText" text="Fallido">
      <formula>NOT(ISERROR(SEARCH("Fallido",M47)))</formula>
    </cfRule>
    <cfRule type="containsText" dxfId="14366" priority="14682" operator="containsText" text="Éxitoso">
      <formula>NOT(ISERROR(SEARCH("Éxitoso",M47)))</formula>
    </cfRule>
  </conditionalFormatting>
  <conditionalFormatting sqref="G47">
    <cfRule type="containsText" dxfId="14365" priority="14675" operator="containsText" text="Bajo">
      <formula>NOT(ISERROR(SEARCH("Bajo",G47)))</formula>
    </cfRule>
    <cfRule type="containsText" dxfId="14364" priority="14676" operator="containsText" text="Medio">
      <formula>NOT(ISERROR(SEARCH("Medio",G47)))</formula>
    </cfRule>
    <cfRule type="containsText" dxfId="14363" priority="14677" operator="containsText" text="Alto">
      <formula>NOT(ISERROR(SEARCH("Alto",G47)))</formula>
    </cfRule>
  </conditionalFormatting>
  <conditionalFormatting sqref="N48">
    <cfRule type="containsText" dxfId="14362" priority="14670" operator="containsText" text="No se pudo ejecutar">
      <formula>NOT(ISERROR(SEARCH("No se pudo ejecutar",N48)))</formula>
    </cfRule>
    <cfRule type="containsText" dxfId="14361" priority="14671" operator="containsText" text="Pendiente">
      <formula>NOT(ISERROR(SEARCH("Pendiente",N48)))</formula>
    </cfRule>
    <cfRule type="containsText" dxfId="14360" priority="14672" operator="containsText" text="No Aplica">
      <formula>NOT(ISERROR(SEARCH("No Aplica",N48)))</formula>
    </cfRule>
    <cfRule type="containsText" dxfId="14359" priority="14673" operator="containsText" text="Fallido">
      <formula>NOT(ISERROR(SEARCH("Fallido",N48)))</formula>
    </cfRule>
    <cfRule type="containsText" dxfId="14358" priority="14674" operator="containsText" text="Éxitoso">
      <formula>NOT(ISERROR(SEARCH("Éxitoso",N48)))</formula>
    </cfRule>
  </conditionalFormatting>
  <conditionalFormatting sqref="O48">
    <cfRule type="containsText" dxfId="14357" priority="14665" operator="containsText" text="No se pudo ejecutar">
      <formula>NOT(ISERROR(SEARCH("No se pudo ejecutar",O48)))</formula>
    </cfRule>
    <cfRule type="containsText" dxfId="14356" priority="14666" operator="containsText" text="Pendiente">
      <formula>NOT(ISERROR(SEARCH("Pendiente",O48)))</formula>
    </cfRule>
    <cfRule type="containsText" dxfId="14355" priority="14667" operator="containsText" text="No Aplica">
      <formula>NOT(ISERROR(SEARCH("No Aplica",O48)))</formula>
    </cfRule>
    <cfRule type="containsText" dxfId="14354" priority="14668" operator="containsText" text="Fallido">
      <formula>NOT(ISERROR(SEARCH("Fallido",O48)))</formula>
    </cfRule>
    <cfRule type="containsText" dxfId="14353" priority="14669" operator="containsText" text="Éxitoso">
      <formula>NOT(ISERROR(SEARCH("Éxitoso",O48)))</formula>
    </cfRule>
  </conditionalFormatting>
  <conditionalFormatting sqref="P48">
    <cfRule type="containsText" dxfId="14352" priority="14660" operator="containsText" text="No se pudo ejecutar">
      <formula>NOT(ISERROR(SEARCH("No se pudo ejecutar",P48)))</formula>
    </cfRule>
    <cfRule type="containsText" dxfId="14351" priority="14661" operator="containsText" text="Pendiente">
      <formula>NOT(ISERROR(SEARCH("Pendiente",P48)))</formula>
    </cfRule>
    <cfRule type="containsText" dxfId="14350" priority="14662" operator="containsText" text="No Aplica">
      <formula>NOT(ISERROR(SEARCH("No Aplica",P48)))</formula>
    </cfRule>
    <cfRule type="containsText" dxfId="14349" priority="14663" operator="containsText" text="Fallido">
      <formula>NOT(ISERROR(SEARCH("Fallido",P48)))</formula>
    </cfRule>
    <cfRule type="containsText" dxfId="14348" priority="14664" operator="containsText" text="Éxitoso">
      <formula>NOT(ISERROR(SEARCH("Éxitoso",P48)))</formula>
    </cfRule>
  </conditionalFormatting>
  <conditionalFormatting sqref="Q48">
    <cfRule type="containsText" dxfId="14347" priority="14655" operator="containsText" text="No se pudo ejecutar">
      <formula>NOT(ISERROR(SEARCH("No se pudo ejecutar",Q48)))</formula>
    </cfRule>
    <cfRule type="containsText" dxfId="14346" priority="14656" operator="containsText" text="Pendiente">
      <formula>NOT(ISERROR(SEARCH("Pendiente",Q48)))</formula>
    </cfRule>
    <cfRule type="containsText" dxfId="14345" priority="14657" operator="containsText" text="No Aplica">
      <formula>NOT(ISERROR(SEARCH("No Aplica",Q48)))</formula>
    </cfRule>
    <cfRule type="containsText" dxfId="14344" priority="14658" operator="containsText" text="Fallido">
      <formula>NOT(ISERROR(SEARCH("Fallido",Q48)))</formula>
    </cfRule>
    <cfRule type="containsText" dxfId="14343" priority="14659" operator="containsText" text="Éxitoso">
      <formula>NOT(ISERROR(SEARCH("Éxitoso",Q48)))</formula>
    </cfRule>
  </conditionalFormatting>
  <conditionalFormatting sqref="R48">
    <cfRule type="containsText" dxfId="14342" priority="14650" operator="containsText" text="No se pudo ejecutar">
      <formula>NOT(ISERROR(SEARCH("No se pudo ejecutar",R48)))</formula>
    </cfRule>
    <cfRule type="containsText" dxfId="14341" priority="14651" operator="containsText" text="Pendiente">
      <formula>NOT(ISERROR(SEARCH("Pendiente",R48)))</formula>
    </cfRule>
    <cfRule type="containsText" dxfId="14340" priority="14652" operator="containsText" text="No Aplica">
      <formula>NOT(ISERROR(SEARCH("No Aplica",R48)))</formula>
    </cfRule>
    <cfRule type="containsText" dxfId="14339" priority="14653" operator="containsText" text="Fallido">
      <formula>NOT(ISERROR(SEARCH("Fallido",R48)))</formula>
    </cfRule>
    <cfRule type="containsText" dxfId="14338" priority="14654" operator="containsText" text="Éxitoso">
      <formula>NOT(ISERROR(SEARCH("Éxitoso",R48)))</formula>
    </cfRule>
  </conditionalFormatting>
  <conditionalFormatting sqref="S48">
    <cfRule type="containsText" dxfId="14337" priority="14645" operator="containsText" text="No se pudo ejecutar">
      <formula>NOT(ISERROR(SEARCH("No se pudo ejecutar",S48)))</formula>
    </cfRule>
    <cfRule type="containsText" dxfId="14336" priority="14646" operator="containsText" text="Pendiente">
      <formula>NOT(ISERROR(SEARCH("Pendiente",S48)))</formula>
    </cfRule>
    <cfRule type="containsText" dxfId="14335" priority="14647" operator="containsText" text="No Aplica">
      <formula>NOT(ISERROR(SEARCH("No Aplica",S48)))</formula>
    </cfRule>
    <cfRule type="containsText" dxfId="14334" priority="14648" operator="containsText" text="Fallido">
      <formula>NOT(ISERROR(SEARCH("Fallido",S48)))</formula>
    </cfRule>
    <cfRule type="containsText" dxfId="14333" priority="14649" operator="containsText" text="Éxitoso">
      <formula>NOT(ISERROR(SEARCH("Éxitoso",S48)))</formula>
    </cfRule>
  </conditionalFormatting>
  <conditionalFormatting sqref="T48">
    <cfRule type="containsText" dxfId="14332" priority="14640" operator="containsText" text="No se pudo ejecutar">
      <formula>NOT(ISERROR(SEARCH("No se pudo ejecutar",T48)))</formula>
    </cfRule>
    <cfRule type="containsText" dxfId="14331" priority="14641" operator="containsText" text="Pendiente">
      <formula>NOT(ISERROR(SEARCH("Pendiente",T48)))</formula>
    </cfRule>
    <cfRule type="containsText" dxfId="14330" priority="14642" operator="containsText" text="No Aplica">
      <formula>NOT(ISERROR(SEARCH("No Aplica",T48)))</formula>
    </cfRule>
    <cfRule type="containsText" dxfId="14329" priority="14643" operator="containsText" text="Fallido">
      <formula>NOT(ISERROR(SEARCH("Fallido",T48)))</formula>
    </cfRule>
    <cfRule type="containsText" dxfId="14328" priority="14644" operator="containsText" text="Éxitoso">
      <formula>NOT(ISERROR(SEARCH("Éxitoso",T48)))</formula>
    </cfRule>
  </conditionalFormatting>
  <conditionalFormatting sqref="U48">
    <cfRule type="containsText" dxfId="14327" priority="14635" operator="containsText" text="No se pudo ejecutar">
      <formula>NOT(ISERROR(SEARCH("No se pudo ejecutar",U48)))</formula>
    </cfRule>
    <cfRule type="containsText" dxfId="14326" priority="14636" operator="containsText" text="Pendiente">
      <formula>NOT(ISERROR(SEARCH("Pendiente",U48)))</formula>
    </cfRule>
    <cfRule type="containsText" dxfId="14325" priority="14637" operator="containsText" text="No Aplica">
      <formula>NOT(ISERROR(SEARCH("No Aplica",U48)))</formula>
    </cfRule>
    <cfRule type="containsText" dxfId="14324" priority="14638" operator="containsText" text="Fallido">
      <formula>NOT(ISERROR(SEARCH("Fallido",U48)))</formula>
    </cfRule>
    <cfRule type="containsText" dxfId="14323" priority="14639" operator="containsText" text="Éxitoso">
      <formula>NOT(ISERROR(SEARCH("Éxitoso",U48)))</formula>
    </cfRule>
  </conditionalFormatting>
  <conditionalFormatting sqref="V48">
    <cfRule type="containsText" dxfId="14322" priority="14630" operator="containsText" text="No se pudo ejecutar">
      <formula>NOT(ISERROR(SEARCH("No se pudo ejecutar",V48)))</formula>
    </cfRule>
    <cfRule type="containsText" dxfId="14321" priority="14631" operator="containsText" text="Pendiente">
      <formula>NOT(ISERROR(SEARCH("Pendiente",V48)))</formula>
    </cfRule>
    <cfRule type="containsText" dxfId="14320" priority="14632" operator="containsText" text="No Aplica">
      <formula>NOT(ISERROR(SEARCH("No Aplica",V48)))</formula>
    </cfRule>
    <cfRule type="containsText" dxfId="14319" priority="14633" operator="containsText" text="Fallido">
      <formula>NOT(ISERROR(SEARCH("Fallido",V48)))</formula>
    </cfRule>
    <cfRule type="containsText" dxfId="14318" priority="14634" operator="containsText" text="Éxitoso">
      <formula>NOT(ISERROR(SEARCH("Éxitoso",V48)))</formula>
    </cfRule>
  </conditionalFormatting>
  <conditionalFormatting sqref="W48">
    <cfRule type="containsText" dxfId="14317" priority="14625" operator="containsText" text="No se pudo ejecutar">
      <formula>NOT(ISERROR(SEARCH("No se pudo ejecutar",W48)))</formula>
    </cfRule>
    <cfRule type="containsText" dxfId="14316" priority="14626" operator="containsText" text="Pendiente">
      <formula>NOT(ISERROR(SEARCH("Pendiente",W48)))</formula>
    </cfRule>
    <cfRule type="containsText" dxfId="14315" priority="14627" operator="containsText" text="No Aplica">
      <formula>NOT(ISERROR(SEARCH("No Aplica",W48)))</formula>
    </cfRule>
    <cfRule type="containsText" dxfId="14314" priority="14628" operator="containsText" text="Fallido">
      <formula>NOT(ISERROR(SEARCH("Fallido",W48)))</formula>
    </cfRule>
    <cfRule type="containsText" dxfId="14313" priority="14629" operator="containsText" text="Éxitoso">
      <formula>NOT(ISERROR(SEARCH("Éxitoso",W48)))</formula>
    </cfRule>
  </conditionalFormatting>
  <conditionalFormatting sqref="M48">
    <cfRule type="containsText" dxfId="14312" priority="14620" operator="containsText" text="No se pudo ejecutar">
      <formula>NOT(ISERROR(SEARCH("No se pudo ejecutar",M48)))</formula>
    </cfRule>
    <cfRule type="containsText" dxfId="14311" priority="14621" operator="containsText" text="Pendiente">
      <formula>NOT(ISERROR(SEARCH("Pendiente",M48)))</formula>
    </cfRule>
    <cfRule type="containsText" dxfId="14310" priority="14622" operator="containsText" text="No Aplica">
      <formula>NOT(ISERROR(SEARCH("No Aplica",M48)))</formula>
    </cfRule>
    <cfRule type="containsText" dxfId="14309" priority="14623" operator="containsText" text="Fallido">
      <formula>NOT(ISERROR(SEARCH("Fallido",M48)))</formula>
    </cfRule>
    <cfRule type="containsText" dxfId="14308" priority="14624" operator="containsText" text="Éxitoso">
      <formula>NOT(ISERROR(SEARCH("Éxitoso",M48)))</formula>
    </cfRule>
  </conditionalFormatting>
  <conditionalFormatting sqref="G48">
    <cfRule type="containsText" dxfId="14307" priority="14617" operator="containsText" text="Bajo">
      <formula>NOT(ISERROR(SEARCH("Bajo",G48)))</formula>
    </cfRule>
    <cfRule type="containsText" dxfId="14306" priority="14618" operator="containsText" text="Medio">
      <formula>NOT(ISERROR(SEARCH("Medio",G48)))</formula>
    </cfRule>
    <cfRule type="containsText" dxfId="14305" priority="14619" operator="containsText" text="Alto">
      <formula>NOT(ISERROR(SEARCH("Alto",G48)))</formula>
    </cfRule>
  </conditionalFormatting>
  <conditionalFormatting sqref="N49">
    <cfRule type="containsText" dxfId="14304" priority="14612" operator="containsText" text="No se pudo ejecutar">
      <formula>NOT(ISERROR(SEARCH("No se pudo ejecutar",N49)))</formula>
    </cfRule>
    <cfRule type="containsText" dxfId="14303" priority="14613" operator="containsText" text="Pendiente">
      <formula>NOT(ISERROR(SEARCH("Pendiente",N49)))</formula>
    </cfRule>
    <cfRule type="containsText" dxfId="14302" priority="14614" operator="containsText" text="No Aplica">
      <formula>NOT(ISERROR(SEARCH("No Aplica",N49)))</formula>
    </cfRule>
    <cfRule type="containsText" dxfId="14301" priority="14615" operator="containsText" text="Fallido">
      <formula>NOT(ISERROR(SEARCH("Fallido",N49)))</formula>
    </cfRule>
    <cfRule type="containsText" dxfId="14300" priority="14616" operator="containsText" text="Éxitoso">
      <formula>NOT(ISERROR(SEARCH("Éxitoso",N49)))</formula>
    </cfRule>
  </conditionalFormatting>
  <conditionalFormatting sqref="O49">
    <cfRule type="containsText" dxfId="14299" priority="14607" operator="containsText" text="No se pudo ejecutar">
      <formula>NOT(ISERROR(SEARCH("No se pudo ejecutar",O49)))</formula>
    </cfRule>
    <cfRule type="containsText" dxfId="14298" priority="14608" operator="containsText" text="Pendiente">
      <formula>NOT(ISERROR(SEARCH("Pendiente",O49)))</formula>
    </cfRule>
    <cfRule type="containsText" dxfId="14297" priority="14609" operator="containsText" text="No Aplica">
      <formula>NOT(ISERROR(SEARCH("No Aplica",O49)))</formula>
    </cfRule>
    <cfRule type="containsText" dxfId="14296" priority="14610" operator="containsText" text="Fallido">
      <formula>NOT(ISERROR(SEARCH("Fallido",O49)))</formula>
    </cfRule>
    <cfRule type="containsText" dxfId="14295" priority="14611" operator="containsText" text="Éxitoso">
      <formula>NOT(ISERROR(SEARCH("Éxitoso",O49)))</formula>
    </cfRule>
  </conditionalFormatting>
  <conditionalFormatting sqref="P49">
    <cfRule type="containsText" dxfId="14294" priority="14602" operator="containsText" text="No se pudo ejecutar">
      <formula>NOT(ISERROR(SEARCH("No se pudo ejecutar",P49)))</formula>
    </cfRule>
    <cfRule type="containsText" dxfId="14293" priority="14603" operator="containsText" text="Pendiente">
      <formula>NOT(ISERROR(SEARCH("Pendiente",P49)))</formula>
    </cfRule>
    <cfRule type="containsText" dxfId="14292" priority="14604" operator="containsText" text="No Aplica">
      <formula>NOT(ISERROR(SEARCH("No Aplica",P49)))</formula>
    </cfRule>
    <cfRule type="containsText" dxfId="14291" priority="14605" operator="containsText" text="Fallido">
      <formula>NOT(ISERROR(SEARCH("Fallido",P49)))</formula>
    </cfRule>
    <cfRule type="containsText" dxfId="14290" priority="14606" operator="containsText" text="Éxitoso">
      <formula>NOT(ISERROR(SEARCH("Éxitoso",P49)))</formula>
    </cfRule>
  </conditionalFormatting>
  <conditionalFormatting sqref="Q49">
    <cfRule type="containsText" dxfId="14289" priority="14597" operator="containsText" text="No se pudo ejecutar">
      <formula>NOT(ISERROR(SEARCH("No se pudo ejecutar",Q49)))</formula>
    </cfRule>
    <cfRule type="containsText" dxfId="14288" priority="14598" operator="containsText" text="Pendiente">
      <formula>NOT(ISERROR(SEARCH("Pendiente",Q49)))</formula>
    </cfRule>
    <cfRule type="containsText" dxfId="14287" priority="14599" operator="containsText" text="No Aplica">
      <formula>NOT(ISERROR(SEARCH("No Aplica",Q49)))</formula>
    </cfRule>
    <cfRule type="containsText" dxfId="14286" priority="14600" operator="containsText" text="Fallido">
      <formula>NOT(ISERROR(SEARCH("Fallido",Q49)))</formula>
    </cfRule>
    <cfRule type="containsText" dxfId="14285" priority="14601" operator="containsText" text="Éxitoso">
      <formula>NOT(ISERROR(SEARCH("Éxitoso",Q49)))</formula>
    </cfRule>
  </conditionalFormatting>
  <conditionalFormatting sqref="R49">
    <cfRule type="containsText" dxfId="14284" priority="14592" operator="containsText" text="No se pudo ejecutar">
      <formula>NOT(ISERROR(SEARCH("No se pudo ejecutar",R49)))</formula>
    </cfRule>
    <cfRule type="containsText" dxfId="14283" priority="14593" operator="containsText" text="Pendiente">
      <formula>NOT(ISERROR(SEARCH("Pendiente",R49)))</formula>
    </cfRule>
    <cfRule type="containsText" dxfId="14282" priority="14594" operator="containsText" text="No Aplica">
      <formula>NOT(ISERROR(SEARCH("No Aplica",R49)))</formula>
    </cfRule>
    <cfRule type="containsText" dxfId="14281" priority="14595" operator="containsText" text="Fallido">
      <formula>NOT(ISERROR(SEARCH("Fallido",R49)))</formula>
    </cfRule>
    <cfRule type="containsText" dxfId="14280" priority="14596" operator="containsText" text="Éxitoso">
      <formula>NOT(ISERROR(SEARCH("Éxitoso",R49)))</formula>
    </cfRule>
  </conditionalFormatting>
  <conditionalFormatting sqref="S49">
    <cfRule type="containsText" dxfId="14279" priority="14587" operator="containsText" text="No se pudo ejecutar">
      <formula>NOT(ISERROR(SEARCH("No se pudo ejecutar",S49)))</formula>
    </cfRule>
    <cfRule type="containsText" dxfId="14278" priority="14588" operator="containsText" text="Pendiente">
      <formula>NOT(ISERROR(SEARCH("Pendiente",S49)))</formula>
    </cfRule>
    <cfRule type="containsText" dxfId="14277" priority="14589" operator="containsText" text="No Aplica">
      <formula>NOT(ISERROR(SEARCH("No Aplica",S49)))</formula>
    </cfRule>
    <cfRule type="containsText" dxfId="14276" priority="14590" operator="containsText" text="Fallido">
      <formula>NOT(ISERROR(SEARCH("Fallido",S49)))</formula>
    </cfRule>
    <cfRule type="containsText" dxfId="14275" priority="14591" operator="containsText" text="Éxitoso">
      <formula>NOT(ISERROR(SEARCH("Éxitoso",S49)))</formula>
    </cfRule>
  </conditionalFormatting>
  <conditionalFormatting sqref="T49">
    <cfRule type="containsText" dxfId="14274" priority="14582" operator="containsText" text="No se pudo ejecutar">
      <formula>NOT(ISERROR(SEARCH("No se pudo ejecutar",T49)))</formula>
    </cfRule>
    <cfRule type="containsText" dxfId="14273" priority="14583" operator="containsText" text="Pendiente">
      <formula>NOT(ISERROR(SEARCH("Pendiente",T49)))</formula>
    </cfRule>
    <cfRule type="containsText" dxfId="14272" priority="14584" operator="containsText" text="No Aplica">
      <formula>NOT(ISERROR(SEARCH("No Aplica",T49)))</formula>
    </cfRule>
    <cfRule type="containsText" dxfId="14271" priority="14585" operator="containsText" text="Fallido">
      <formula>NOT(ISERROR(SEARCH("Fallido",T49)))</formula>
    </cfRule>
    <cfRule type="containsText" dxfId="14270" priority="14586" operator="containsText" text="Éxitoso">
      <formula>NOT(ISERROR(SEARCH("Éxitoso",T49)))</formula>
    </cfRule>
  </conditionalFormatting>
  <conditionalFormatting sqref="U49">
    <cfRule type="containsText" dxfId="14269" priority="14577" operator="containsText" text="No se pudo ejecutar">
      <formula>NOT(ISERROR(SEARCH("No se pudo ejecutar",U49)))</formula>
    </cfRule>
    <cfRule type="containsText" dxfId="14268" priority="14578" operator="containsText" text="Pendiente">
      <formula>NOT(ISERROR(SEARCH("Pendiente",U49)))</formula>
    </cfRule>
    <cfRule type="containsText" dxfId="14267" priority="14579" operator="containsText" text="No Aplica">
      <formula>NOT(ISERROR(SEARCH("No Aplica",U49)))</formula>
    </cfRule>
    <cfRule type="containsText" dxfId="14266" priority="14580" operator="containsText" text="Fallido">
      <formula>NOT(ISERROR(SEARCH("Fallido",U49)))</formula>
    </cfRule>
    <cfRule type="containsText" dxfId="14265" priority="14581" operator="containsText" text="Éxitoso">
      <formula>NOT(ISERROR(SEARCH("Éxitoso",U49)))</formula>
    </cfRule>
  </conditionalFormatting>
  <conditionalFormatting sqref="V49">
    <cfRule type="containsText" dxfId="14264" priority="14572" operator="containsText" text="No se pudo ejecutar">
      <formula>NOT(ISERROR(SEARCH("No se pudo ejecutar",V49)))</formula>
    </cfRule>
    <cfRule type="containsText" dxfId="14263" priority="14573" operator="containsText" text="Pendiente">
      <formula>NOT(ISERROR(SEARCH("Pendiente",V49)))</formula>
    </cfRule>
    <cfRule type="containsText" dxfId="14262" priority="14574" operator="containsText" text="No Aplica">
      <formula>NOT(ISERROR(SEARCH("No Aplica",V49)))</formula>
    </cfRule>
    <cfRule type="containsText" dxfId="14261" priority="14575" operator="containsText" text="Fallido">
      <formula>NOT(ISERROR(SEARCH("Fallido",V49)))</formula>
    </cfRule>
    <cfRule type="containsText" dxfId="14260" priority="14576" operator="containsText" text="Éxitoso">
      <formula>NOT(ISERROR(SEARCH("Éxitoso",V49)))</formula>
    </cfRule>
  </conditionalFormatting>
  <conditionalFormatting sqref="W49">
    <cfRule type="containsText" dxfId="14259" priority="14567" operator="containsText" text="No se pudo ejecutar">
      <formula>NOT(ISERROR(SEARCH("No se pudo ejecutar",W49)))</formula>
    </cfRule>
    <cfRule type="containsText" dxfId="14258" priority="14568" operator="containsText" text="Pendiente">
      <formula>NOT(ISERROR(SEARCH("Pendiente",W49)))</formula>
    </cfRule>
    <cfRule type="containsText" dxfId="14257" priority="14569" operator="containsText" text="No Aplica">
      <formula>NOT(ISERROR(SEARCH("No Aplica",W49)))</formula>
    </cfRule>
    <cfRule type="containsText" dxfId="14256" priority="14570" operator="containsText" text="Fallido">
      <formula>NOT(ISERROR(SEARCH("Fallido",W49)))</formula>
    </cfRule>
    <cfRule type="containsText" dxfId="14255" priority="14571" operator="containsText" text="Éxitoso">
      <formula>NOT(ISERROR(SEARCH("Éxitoso",W49)))</formula>
    </cfRule>
  </conditionalFormatting>
  <conditionalFormatting sqref="M49">
    <cfRule type="containsText" dxfId="14254" priority="14562" operator="containsText" text="No se pudo ejecutar">
      <formula>NOT(ISERROR(SEARCH("No se pudo ejecutar",M49)))</formula>
    </cfRule>
    <cfRule type="containsText" dxfId="14253" priority="14563" operator="containsText" text="Pendiente">
      <formula>NOT(ISERROR(SEARCH("Pendiente",M49)))</formula>
    </cfRule>
    <cfRule type="containsText" dxfId="14252" priority="14564" operator="containsText" text="No Aplica">
      <formula>NOT(ISERROR(SEARCH("No Aplica",M49)))</formula>
    </cfRule>
    <cfRule type="containsText" dxfId="14251" priority="14565" operator="containsText" text="Fallido">
      <formula>NOT(ISERROR(SEARCH("Fallido",M49)))</formula>
    </cfRule>
    <cfRule type="containsText" dxfId="14250" priority="14566" operator="containsText" text="Éxitoso">
      <formula>NOT(ISERROR(SEARCH("Éxitoso",M49)))</formula>
    </cfRule>
  </conditionalFormatting>
  <conditionalFormatting sqref="G49:G50">
    <cfRule type="containsText" dxfId="14249" priority="14559" operator="containsText" text="Bajo">
      <formula>NOT(ISERROR(SEARCH("Bajo",G49)))</formula>
    </cfRule>
    <cfRule type="containsText" dxfId="14248" priority="14560" operator="containsText" text="Medio">
      <formula>NOT(ISERROR(SEARCH("Medio",G49)))</formula>
    </cfRule>
    <cfRule type="containsText" dxfId="14247" priority="14561" operator="containsText" text="Alto">
      <formula>NOT(ISERROR(SEARCH("Alto",G49)))</formula>
    </cfRule>
  </conditionalFormatting>
  <conditionalFormatting sqref="N50">
    <cfRule type="containsText" dxfId="14246" priority="14554" operator="containsText" text="No se pudo ejecutar">
      <formula>NOT(ISERROR(SEARCH("No se pudo ejecutar",N50)))</formula>
    </cfRule>
    <cfRule type="containsText" dxfId="14245" priority="14555" operator="containsText" text="Pendiente">
      <formula>NOT(ISERROR(SEARCH("Pendiente",N50)))</formula>
    </cfRule>
    <cfRule type="containsText" dxfId="14244" priority="14556" operator="containsText" text="No Aplica">
      <formula>NOT(ISERROR(SEARCH("No Aplica",N50)))</formula>
    </cfRule>
    <cfRule type="containsText" dxfId="14243" priority="14557" operator="containsText" text="Fallido">
      <formula>NOT(ISERROR(SEARCH("Fallido",N50)))</formula>
    </cfRule>
    <cfRule type="containsText" dxfId="14242" priority="14558" operator="containsText" text="Éxitoso">
      <formula>NOT(ISERROR(SEARCH("Éxitoso",N50)))</formula>
    </cfRule>
  </conditionalFormatting>
  <conditionalFormatting sqref="O50">
    <cfRule type="containsText" dxfId="14241" priority="14549" operator="containsText" text="No se pudo ejecutar">
      <formula>NOT(ISERROR(SEARCH("No se pudo ejecutar",O50)))</formula>
    </cfRule>
    <cfRule type="containsText" dxfId="14240" priority="14550" operator="containsText" text="Pendiente">
      <formula>NOT(ISERROR(SEARCH("Pendiente",O50)))</formula>
    </cfRule>
    <cfRule type="containsText" dxfId="14239" priority="14551" operator="containsText" text="No Aplica">
      <formula>NOT(ISERROR(SEARCH("No Aplica",O50)))</formula>
    </cfRule>
    <cfRule type="containsText" dxfId="14238" priority="14552" operator="containsText" text="Fallido">
      <formula>NOT(ISERROR(SEARCH("Fallido",O50)))</formula>
    </cfRule>
    <cfRule type="containsText" dxfId="14237" priority="14553" operator="containsText" text="Éxitoso">
      <formula>NOT(ISERROR(SEARCH("Éxitoso",O50)))</formula>
    </cfRule>
  </conditionalFormatting>
  <conditionalFormatting sqref="P50">
    <cfRule type="containsText" dxfId="14236" priority="14544" operator="containsText" text="No se pudo ejecutar">
      <formula>NOT(ISERROR(SEARCH("No se pudo ejecutar",P50)))</formula>
    </cfRule>
    <cfRule type="containsText" dxfId="14235" priority="14545" operator="containsText" text="Pendiente">
      <formula>NOT(ISERROR(SEARCH("Pendiente",P50)))</formula>
    </cfRule>
    <cfRule type="containsText" dxfId="14234" priority="14546" operator="containsText" text="No Aplica">
      <formula>NOT(ISERROR(SEARCH("No Aplica",P50)))</formula>
    </cfRule>
    <cfRule type="containsText" dxfId="14233" priority="14547" operator="containsText" text="Fallido">
      <formula>NOT(ISERROR(SEARCH("Fallido",P50)))</formula>
    </cfRule>
    <cfRule type="containsText" dxfId="14232" priority="14548" operator="containsText" text="Éxitoso">
      <formula>NOT(ISERROR(SEARCH("Éxitoso",P50)))</formula>
    </cfRule>
  </conditionalFormatting>
  <conditionalFormatting sqref="Q50">
    <cfRule type="containsText" dxfId="14231" priority="14539" operator="containsText" text="No se pudo ejecutar">
      <formula>NOT(ISERROR(SEARCH("No se pudo ejecutar",Q50)))</formula>
    </cfRule>
    <cfRule type="containsText" dxfId="14230" priority="14540" operator="containsText" text="Pendiente">
      <formula>NOT(ISERROR(SEARCH("Pendiente",Q50)))</formula>
    </cfRule>
    <cfRule type="containsText" dxfId="14229" priority="14541" operator="containsText" text="No Aplica">
      <formula>NOT(ISERROR(SEARCH("No Aplica",Q50)))</formula>
    </cfRule>
    <cfRule type="containsText" dxfId="14228" priority="14542" operator="containsText" text="Fallido">
      <formula>NOT(ISERROR(SEARCH("Fallido",Q50)))</formula>
    </cfRule>
    <cfRule type="containsText" dxfId="14227" priority="14543" operator="containsText" text="Éxitoso">
      <formula>NOT(ISERROR(SEARCH("Éxitoso",Q50)))</formula>
    </cfRule>
  </conditionalFormatting>
  <conditionalFormatting sqref="R50">
    <cfRule type="containsText" dxfId="14226" priority="14534" operator="containsText" text="No se pudo ejecutar">
      <formula>NOT(ISERROR(SEARCH("No se pudo ejecutar",R50)))</formula>
    </cfRule>
    <cfRule type="containsText" dxfId="14225" priority="14535" operator="containsText" text="Pendiente">
      <formula>NOT(ISERROR(SEARCH("Pendiente",R50)))</formula>
    </cfRule>
    <cfRule type="containsText" dxfId="14224" priority="14536" operator="containsText" text="No Aplica">
      <formula>NOT(ISERROR(SEARCH("No Aplica",R50)))</formula>
    </cfRule>
    <cfRule type="containsText" dxfId="14223" priority="14537" operator="containsText" text="Fallido">
      <formula>NOT(ISERROR(SEARCH("Fallido",R50)))</formula>
    </cfRule>
    <cfRule type="containsText" dxfId="14222" priority="14538" operator="containsText" text="Éxitoso">
      <formula>NOT(ISERROR(SEARCH("Éxitoso",R50)))</formula>
    </cfRule>
  </conditionalFormatting>
  <conditionalFormatting sqref="S50">
    <cfRule type="containsText" dxfId="14221" priority="14529" operator="containsText" text="No se pudo ejecutar">
      <formula>NOT(ISERROR(SEARCH("No se pudo ejecutar",S50)))</formula>
    </cfRule>
    <cfRule type="containsText" dxfId="14220" priority="14530" operator="containsText" text="Pendiente">
      <formula>NOT(ISERROR(SEARCH("Pendiente",S50)))</formula>
    </cfRule>
    <cfRule type="containsText" dxfId="14219" priority="14531" operator="containsText" text="No Aplica">
      <formula>NOT(ISERROR(SEARCH("No Aplica",S50)))</formula>
    </cfRule>
    <cfRule type="containsText" dxfId="14218" priority="14532" operator="containsText" text="Fallido">
      <formula>NOT(ISERROR(SEARCH("Fallido",S50)))</formula>
    </cfRule>
    <cfRule type="containsText" dxfId="14217" priority="14533" operator="containsText" text="Éxitoso">
      <formula>NOT(ISERROR(SEARCH("Éxitoso",S50)))</formula>
    </cfRule>
  </conditionalFormatting>
  <conditionalFormatting sqref="T50">
    <cfRule type="containsText" dxfId="14216" priority="14524" operator="containsText" text="No se pudo ejecutar">
      <formula>NOT(ISERROR(SEARCH("No se pudo ejecutar",T50)))</formula>
    </cfRule>
    <cfRule type="containsText" dxfId="14215" priority="14525" operator="containsText" text="Pendiente">
      <formula>NOT(ISERROR(SEARCH("Pendiente",T50)))</formula>
    </cfRule>
    <cfRule type="containsText" dxfId="14214" priority="14526" operator="containsText" text="No Aplica">
      <formula>NOT(ISERROR(SEARCH("No Aplica",T50)))</formula>
    </cfRule>
    <cfRule type="containsText" dxfId="14213" priority="14527" operator="containsText" text="Fallido">
      <formula>NOT(ISERROR(SEARCH("Fallido",T50)))</formula>
    </cfRule>
    <cfRule type="containsText" dxfId="14212" priority="14528" operator="containsText" text="Éxitoso">
      <formula>NOT(ISERROR(SEARCH("Éxitoso",T50)))</formula>
    </cfRule>
  </conditionalFormatting>
  <conditionalFormatting sqref="U50">
    <cfRule type="containsText" dxfId="14211" priority="14519" operator="containsText" text="No se pudo ejecutar">
      <formula>NOT(ISERROR(SEARCH("No se pudo ejecutar",U50)))</formula>
    </cfRule>
    <cfRule type="containsText" dxfId="14210" priority="14520" operator="containsText" text="Pendiente">
      <formula>NOT(ISERROR(SEARCH("Pendiente",U50)))</formula>
    </cfRule>
    <cfRule type="containsText" dxfId="14209" priority="14521" operator="containsText" text="No Aplica">
      <formula>NOT(ISERROR(SEARCH("No Aplica",U50)))</formula>
    </cfRule>
    <cfRule type="containsText" dxfId="14208" priority="14522" operator="containsText" text="Fallido">
      <formula>NOT(ISERROR(SEARCH("Fallido",U50)))</formula>
    </cfRule>
    <cfRule type="containsText" dxfId="14207" priority="14523" operator="containsText" text="Éxitoso">
      <formula>NOT(ISERROR(SEARCH("Éxitoso",U50)))</formula>
    </cfRule>
  </conditionalFormatting>
  <conditionalFormatting sqref="V50">
    <cfRule type="containsText" dxfId="14206" priority="14514" operator="containsText" text="No se pudo ejecutar">
      <formula>NOT(ISERROR(SEARCH("No se pudo ejecutar",V50)))</formula>
    </cfRule>
    <cfRule type="containsText" dxfId="14205" priority="14515" operator="containsText" text="Pendiente">
      <formula>NOT(ISERROR(SEARCH("Pendiente",V50)))</formula>
    </cfRule>
    <cfRule type="containsText" dxfId="14204" priority="14516" operator="containsText" text="No Aplica">
      <formula>NOT(ISERROR(SEARCH("No Aplica",V50)))</formula>
    </cfRule>
    <cfRule type="containsText" dxfId="14203" priority="14517" operator="containsText" text="Fallido">
      <formula>NOT(ISERROR(SEARCH("Fallido",V50)))</formula>
    </cfRule>
    <cfRule type="containsText" dxfId="14202" priority="14518" operator="containsText" text="Éxitoso">
      <formula>NOT(ISERROR(SEARCH("Éxitoso",V50)))</formula>
    </cfRule>
  </conditionalFormatting>
  <conditionalFormatting sqref="W50">
    <cfRule type="containsText" dxfId="14201" priority="14509" operator="containsText" text="No se pudo ejecutar">
      <formula>NOT(ISERROR(SEARCH("No se pudo ejecutar",W50)))</formula>
    </cfRule>
    <cfRule type="containsText" dxfId="14200" priority="14510" operator="containsText" text="Pendiente">
      <formula>NOT(ISERROR(SEARCH("Pendiente",W50)))</formula>
    </cfRule>
    <cfRule type="containsText" dxfId="14199" priority="14511" operator="containsText" text="No Aplica">
      <formula>NOT(ISERROR(SEARCH("No Aplica",W50)))</formula>
    </cfRule>
    <cfRule type="containsText" dxfId="14198" priority="14512" operator="containsText" text="Fallido">
      <formula>NOT(ISERROR(SEARCH("Fallido",W50)))</formula>
    </cfRule>
    <cfRule type="containsText" dxfId="14197" priority="14513" operator="containsText" text="Éxitoso">
      <formula>NOT(ISERROR(SEARCH("Éxitoso",W50)))</formula>
    </cfRule>
  </conditionalFormatting>
  <conditionalFormatting sqref="M50">
    <cfRule type="containsText" dxfId="14196" priority="14504" operator="containsText" text="No se pudo ejecutar">
      <formula>NOT(ISERROR(SEARCH("No se pudo ejecutar",M50)))</formula>
    </cfRule>
    <cfRule type="containsText" dxfId="14195" priority="14505" operator="containsText" text="Pendiente">
      <formula>NOT(ISERROR(SEARCH("Pendiente",M50)))</formula>
    </cfRule>
    <cfRule type="containsText" dxfId="14194" priority="14506" operator="containsText" text="No Aplica">
      <formula>NOT(ISERROR(SEARCH("No Aplica",M50)))</formula>
    </cfRule>
    <cfRule type="containsText" dxfId="14193" priority="14507" operator="containsText" text="Fallido">
      <formula>NOT(ISERROR(SEARCH("Fallido",M50)))</formula>
    </cfRule>
    <cfRule type="containsText" dxfId="14192" priority="14508" operator="containsText" text="Éxitoso">
      <formula>NOT(ISERROR(SEARCH("Éxitoso",M50)))</formula>
    </cfRule>
  </conditionalFormatting>
  <conditionalFormatting sqref="N51">
    <cfRule type="containsText" dxfId="14191" priority="14496" operator="containsText" text="No se pudo ejecutar">
      <formula>NOT(ISERROR(SEARCH("No se pudo ejecutar",N51)))</formula>
    </cfRule>
    <cfRule type="containsText" dxfId="14190" priority="14497" operator="containsText" text="Pendiente">
      <formula>NOT(ISERROR(SEARCH("Pendiente",N51)))</formula>
    </cfRule>
    <cfRule type="containsText" dxfId="14189" priority="14498" operator="containsText" text="No Aplica">
      <formula>NOT(ISERROR(SEARCH("No Aplica",N51)))</formula>
    </cfRule>
    <cfRule type="containsText" dxfId="14188" priority="14499" operator="containsText" text="Fallido">
      <formula>NOT(ISERROR(SEARCH("Fallido",N51)))</formula>
    </cfRule>
    <cfRule type="containsText" dxfId="14187" priority="14500" operator="containsText" text="Éxitoso">
      <formula>NOT(ISERROR(SEARCH("Éxitoso",N51)))</formula>
    </cfRule>
  </conditionalFormatting>
  <conditionalFormatting sqref="O51">
    <cfRule type="containsText" dxfId="14186" priority="14491" operator="containsText" text="No se pudo ejecutar">
      <formula>NOT(ISERROR(SEARCH("No se pudo ejecutar",O51)))</formula>
    </cfRule>
    <cfRule type="containsText" dxfId="14185" priority="14492" operator="containsText" text="Pendiente">
      <formula>NOT(ISERROR(SEARCH("Pendiente",O51)))</formula>
    </cfRule>
    <cfRule type="containsText" dxfId="14184" priority="14493" operator="containsText" text="No Aplica">
      <formula>NOT(ISERROR(SEARCH("No Aplica",O51)))</formula>
    </cfRule>
    <cfRule type="containsText" dxfId="14183" priority="14494" operator="containsText" text="Fallido">
      <formula>NOT(ISERROR(SEARCH("Fallido",O51)))</formula>
    </cfRule>
    <cfRule type="containsText" dxfId="14182" priority="14495" operator="containsText" text="Éxitoso">
      <formula>NOT(ISERROR(SEARCH("Éxitoso",O51)))</formula>
    </cfRule>
  </conditionalFormatting>
  <conditionalFormatting sqref="P51">
    <cfRule type="containsText" dxfId="14181" priority="14486" operator="containsText" text="No se pudo ejecutar">
      <formula>NOT(ISERROR(SEARCH("No se pudo ejecutar",P51)))</formula>
    </cfRule>
    <cfRule type="containsText" dxfId="14180" priority="14487" operator="containsText" text="Pendiente">
      <formula>NOT(ISERROR(SEARCH("Pendiente",P51)))</formula>
    </cfRule>
    <cfRule type="containsText" dxfId="14179" priority="14488" operator="containsText" text="No Aplica">
      <formula>NOT(ISERROR(SEARCH("No Aplica",P51)))</formula>
    </cfRule>
    <cfRule type="containsText" dxfId="14178" priority="14489" operator="containsText" text="Fallido">
      <formula>NOT(ISERROR(SEARCH("Fallido",P51)))</formula>
    </cfRule>
    <cfRule type="containsText" dxfId="14177" priority="14490" operator="containsText" text="Éxitoso">
      <formula>NOT(ISERROR(SEARCH("Éxitoso",P51)))</formula>
    </cfRule>
  </conditionalFormatting>
  <conditionalFormatting sqref="Q51">
    <cfRule type="containsText" dxfId="14176" priority="14481" operator="containsText" text="No se pudo ejecutar">
      <formula>NOT(ISERROR(SEARCH("No se pudo ejecutar",Q51)))</formula>
    </cfRule>
    <cfRule type="containsText" dxfId="14175" priority="14482" operator="containsText" text="Pendiente">
      <formula>NOT(ISERROR(SEARCH("Pendiente",Q51)))</formula>
    </cfRule>
    <cfRule type="containsText" dxfId="14174" priority="14483" operator="containsText" text="No Aplica">
      <formula>NOT(ISERROR(SEARCH("No Aplica",Q51)))</formula>
    </cfRule>
    <cfRule type="containsText" dxfId="14173" priority="14484" operator="containsText" text="Fallido">
      <formula>NOT(ISERROR(SEARCH("Fallido",Q51)))</formula>
    </cfRule>
    <cfRule type="containsText" dxfId="14172" priority="14485" operator="containsText" text="Éxitoso">
      <formula>NOT(ISERROR(SEARCH("Éxitoso",Q51)))</formula>
    </cfRule>
  </conditionalFormatting>
  <conditionalFormatting sqref="R51">
    <cfRule type="containsText" dxfId="14171" priority="14476" operator="containsText" text="No se pudo ejecutar">
      <formula>NOT(ISERROR(SEARCH("No se pudo ejecutar",R51)))</formula>
    </cfRule>
    <cfRule type="containsText" dxfId="14170" priority="14477" operator="containsText" text="Pendiente">
      <formula>NOT(ISERROR(SEARCH("Pendiente",R51)))</formula>
    </cfRule>
    <cfRule type="containsText" dxfId="14169" priority="14478" operator="containsText" text="No Aplica">
      <formula>NOT(ISERROR(SEARCH("No Aplica",R51)))</formula>
    </cfRule>
    <cfRule type="containsText" dxfId="14168" priority="14479" operator="containsText" text="Fallido">
      <formula>NOT(ISERROR(SEARCH("Fallido",R51)))</formula>
    </cfRule>
    <cfRule type="containsText" dxfId="14167" priority="14480" operator="containsText" text="Éxitoso">
      <formula>NOT(ISERROR(SEARCH("Éxitoso",R51)))</formula>
    </cfRule>
  </conditionalFormatting>
  <conditionalFormatting sqref="S51">
    <cfRule type="containsText" dxfId="14166" priority="14471" operator="containsText" text="No se pudo ejecutar">
      <formula>NOT(ISERROR(SEARCH("No se pudo ejecutar",S51)))</formula>
    </cfRule>
    <cfRule type="containsText" dxfId="14165" priority="14472" operator="containsText" text="Pendiente">
      <formula>NOT(ISERROR(SEARCH("Pendiente",S51)))</formula>
    </cfRule>
    <cfRule type="containsText" dxfId="14164" priority="14473" operator="containsText" text="No Aplica">
      <formula>NOT(ISERROR(SEARCH("No Aplica",S51)))</formula>
    </cfRule>
    <cfRule type="containsText" dxfId="14163" priority="14474" operator="containsText" text="Fallido">
      <formula>NOT(ISERROR(SEARCH("Fallido",S51)))</formula>
    </cfRule>
    <cfRule type="containsText" dxfId="14162" priority="14475" operator="containsText" text="Éxitoso">
      <formula>NOT(ISERROR(SEARCH("Éxitoso",S51)))</formula>
    </cfRule>
  </conditionalFormatting>
  <conditionalFormatting sqref="T51">
    <cfRule type="containsText" dxfId="14161" priority="14466" operator="containsText" text="No se pudo ejecutar">
      <formula>NOT(ISERROR(SEARCH("No se pudo ejecutar",T51)))</formula>
    </cfRule>
    <cfRule type="containsText" dxfId="14160" priority="14467" operator="containsText" text="Pendiente">
      <formula>NOT(ISERROR(SEARCH("Pendiente",T51)))</formula>
    </cfRule>
    <cfRule type="containsText" dxfId="14159" priority="14468" operator="containsText" text="No Aplica">
      <formula>NOT(ISERROR(SEARCH("No Aplica",T51)))</formula>
    </cfRule>
    <cfRule type="containsText" dxfId="14158" priority="14469" operator="containsText" text="Fallido">
      <formula>NOT(ISERROR(SEARCH("Fallido",T51)))</formula>
    </cfRule>
    <cfRule type="containsText" dxfId="14157" priority="14470" operator="containsText" text="Éxitoso">
      <formula>NOT(ISERROR(SEARCH("Éxitoso",T51)))</formula>
    </cfRule>
  </conditionalFormatting>
  <conditionalFormatting sqref="U51">
    <cfRule type="containsText" dxfId="14156" priority="14461" operator="containsText" text="No se pudo ejecutar">
      <formula>NOT(ISERROR(SEARCH("No se pudo ejecutar",U51)))</formula>
    </cfRule>
    <cfRule type="containsText" dxfId="14155" priority="14462" operator="containsText" text="Pendiente">
      <formula>NOT(ISERROR(SEARCH("Pendiente",U51)))</formula>
    </cfRule>
    <cfRule type="containsText" dxfId="14154" priority="14463" operator="containsText" text="No Aplica">
      <formula>NOT(ISERROR(SEARCH("No Aplica",U51)))</formula>
    </cfRule>
    <cfRule type="containsText" dxfId="14153" priority="14464" operator="containsText" text="Fallido">
      <formula>NOT(ISERROR(SEARCH("Fallido",U51)))</formula>
    </cfRule>
    <cfRule type="containsText" dxfId="14152" priority="14465" operator="containsText" text="Éxitoso">
      <formula>NOT(ISERROR(SEARCH("Éxitoso",U51)))</formula>
    </cfRule>
  </conditionalFormatting>
  <conditionalFormatting sqref="V51">
    <cfRule type="containsText" dxfId="14151" priority="14456" operator="containsText" text="No se pudo ejecutar">
      <formula>NOT(ISERROR(SEARCH("No se pudo ejecutar",V51)))</formula>
    </cfRule>
    <cfRule type="containsText" dxfId="14150" priority="14457" operator="containsText" text="Pendiente">
      <formula>NOT(ISERROR(SEARCH("Pendiente",V51)))</formula>
    </cfRule>
    <cfRule type="containsText" dxfId="14149" priority="14458" operator="containsText" text="No Aplica">
      <formula>NOT(ISERROR(SEARCH("No Aplica",V51)))</formula>
    </cfRule>
    <cfRule type="containsText" dxfId="14148" priority="14459" operator="containsText" text="Fallido">
      <formula>NOT(ISERROR(SEARCH("Fallido",V51)))</formula>
    </cfRule>
    <cfRule type="containsText" dxfId="14147" priority="14460" operator="containsText" text="Éxitoso">
      <formula>NOT(ISERROR(SEARCH("Éxitoso",V51)))</formula>
    </cfRule>
  </conditionalFormatting>
  <conditionalFormatting sqref="W51">
    <cfRule type="containsText" dxfId="14146" priority="14451" operator="containsText" text="No se pudo ejecutar">
      <formula>NOT(ISERROR(SEARCH("No se pudo ejecutar",W51)))</formula>
    </cfRule>
    <cfRule type="containsText" dxfId="14145" priority="14452" operator="containsText" text="Pendiente">
      <formula>NOT(ISERROR(SEARCH("Pendiente",W51)))</formula>
    </cfRule>
    <cfRule type="containsText" dxfId="14144" priority="14453" operator="containsText" text="No Aplica">
      <formula>NOT(ISERROR(SEARCH("No Aplica",W51)))</formula>
    </cfRule>
    <cfRule type="containsText" dxfId="14143" priority="14454" operator="containsText" text="Fallido">
      <formula>NOT(ISERROR(SEARCH("Fallido",W51)))</formula>
    </cfRule>
    <cfRule type="containsText" dxfId="14142" priority="14455" operator="containsText" text="Éxitoso">
      <formula>NOT(ISERROR(SEARCH("Éxitoso",W51)))</formula>
    </cfRule>
  </conditionalFormatting>
  <conditionalFormatting sqref="M51">
    <cfRule type="containsText" dxfId="14141" priority="14446" operator="containsText" text="No se pudo ejecutar">
      <formula>NOT(ISERROR(SEARCH("No se pudo ejecutar",M51)))</formula>
    </cfRule>
    <cfRule type="containsText" dxfId="14140" priority="14447" operator="containsText" text="Pendiente">
      <formula>NOT(ISERROR(SEARCH("Pendiente",M51)))</formula>
    </cfRule>
    <cfRule type="containsText" dxfId="14139" priority="14448" operator="containsText" text="No Aplica">
      <formula>NOT(ISERROR(SEARCH("No Aplica",M51)))</formula>
    </cfRule>
    <cfRule type="containsText" dxfId="14138" priority="14449" operator="containsText" text="Fallido">
      <formula>NOT(ISERROR(SEARCH("Fallido",M51)))</formula>
    </cfRule>
    <cfRule type="containsText" dxfId="14137" priority="14450" operator="containsText" text="Éxitoso">
      <formula>NOT(ISERROR(SEARCH("Éxitoso",M51)))</formula>
    </cfRule>
  </conditionalFormatting>
  <conditionalFormatting sqref="G51:G52">
    <cfRule type="containsText" dxfId="14136" priority="14443" operator="containsText" text="Bajo">
      <formula>NOT(ISERROR(SEARCH("Bajo",G51)))</formula>
    </cfRule>
    <cfRule type="containsText" dxfId="14135" priority="14444" operator="containsText" text="Medio">
      <formula>NOT(ISERROR(SEARCH("Medio",G51)))</formula>
    </cfRule>
    <cfRule type="containsText" dxfId="14134" priority="14445" operator="containsText" text="Alto">
      <formula>NOT(ISERROR(SEARCH("Alto",G51)))</formula>
    </cfRule>
  </conditionalFormatting>
  <conditionalFormatting sqref="N52">
    <cfRule type="containsText" dxfId="14133" priority="14438" operator="containsText" text="No se pudo ejecutar">
      <formula>NOT(ISERROR(SEARCH("No se pudo ejecutar",N52)))</formula>
    </cfRule>
    <cfRule type="containsText" dxfId="14132" priority="14439" operator="containsText" text="Pendiente">
      <formula>NOT(ISERROR(SEARCH("Pendiente",N52)))</formula>
    </cfRule>
    <cfRule type="containsText" dxfId="14131" priority="14440" operator="containsText" text="No Aplica">
      <formula>NOT(ISERROR(SEARCH("No Aplica",N52)))</formula>
    </cfRule>
    <cfRule type="containsText" dxfId="14130" priority="14441" operator="containsText" text="Fallido">
      <formula>NOT(ISERROR(SEARCH("Fallido",N52)))</formula>
    </cfRule>
    <cfRule type="containsText" dxfId="14129" priority="14442" operator="containsText" text="Éxitoso">
      <formula>NOT(ISERROR(SEARCH("Éxitoso",N52)))</formula>
    </cfRule>
  </conditionalFormatting>
  <conditionalFormatting sqref="O52">
    <cfRule type="containsText" dxfId="14128" priority="14433" operator="containsText" text="No se pudo ejecutar">
      <formula>NOT(ISERROR(SEARCH("No se pudo ejecutar",O52)))</formula>
    </cfRule>
    <cfRule type="containsText" dxfId="14127" priority="14434" operator="containsText" text="Pendiente">
      <formula>NOT(ISERROR(SEARCH("Pendiente",O52)))</formula>
    </cfRule>
    <cfRule type="containsText" dxfId="14126" priority="14435" operator="containsText" text="No Aplica">
      <formula>NOT(ISERROR(SEARCH("No Aplica",O52)))</formula>
    </cfRule>
    <cfRule type="containsText" dxfId="14125" priority="14436" operator="containsText" text="Fallido">
      <formula>NOT(ISERROR(SEARCH("Fallido",O52)))</formula>
    </cfRule>
    <cfRule type="containsText" dxfId="14124" priority="14437" operator="containsText" text="Éxitoso">
      <formula>NOT(ISERROR(SEARCH("Éxitoso",O52)))</formula>
    </cfRule>
  </conditionalFormatting>
  <conditionalFormatting sqref="P52">
    <cfRule type="containsText" dxfId="14123" priority="14428" operator="containsText" text="No se pudo ejecutar">
      <formula>NOT(ISERROR(SEARCH("No se pudo ejecutar",P52)))</formula>
    </cfRule>
    <cfRule type="containsText" dxfId="14122" priority="14429" operator="containsText" text="Pendiente">
      <formula>NOT(ISERROR(SEARCH("Pendiente",P52)))</formula>
    </cfRule>
    <cfRule type="containsText" dxfId="14121" priority="14430" operator="containsText" text="No Aplica">
      <formula>NOT(ISERROR(SEARCH("No Aplica",P52)))</formula>
    </cfRule>
    <cfRule type="containsText" dxfId="14120" priority="14431" operator="containsText" text="Fallido">
      <formula>NOT(ISERROR(SEARCH("Fallido",P52)))</formula>
    </cfRule>
    <cfRule type="containsText" dxfId="14119" priority="14432" operator="containsText" text="Éxitoso">
      <formula>NOT(ISERROR(SEARCH("Éxitoso",P52)))</formula>
    </cfRule>
  </conditionalFormatting>
  <conditionalFormatting sqref="Q52">
    <cfRule type="containsText" dxfId="14118" priority="14423" operator="containsText" text="No se pudo ejecutar">
      <formula>NOT(ISERROR(SEARCH("No se pudo ejecutar",Q52)))</formula>
    </cfRule>
    <cfRule type="containsText" dxfId="14117" priority="14424" operator="containsText" text="Pendiente">
      <formula>NOT(ISERROR(SEARCH("Pendiente",Q52)))</formula>
    </cfRule>
    <cfRule type="containsText" dxfId="14116" priority="14425" operator="containsText" text="No Aplica">
      <formula>NOT(ISERROR(SEARCH("No Aplica",Q52)))</formula>
    </cfRule>
    <cfRule type="containsText" dxfId="14115" priority="14426" operator="containsText" text="Fallido">
      <formula>NOT(ISERROR(SEARCH("Fallido",Q52)))</formula>
    </cfRule>
    <cfRule type="containsText" dxfId="14114" priority="14427" operator="containsText" text="Éxitoso">
      <formula>NOT(ISERROR(SEARCH("Éxitoso",Q52)))</formula>
    </cfRule>
  </conditionalFormatting>
  <conditionalFormatting sqref="R52">
    <cfRule type="containsText" dxfId="14113" priority="14418" operator="containsText" text="No se pudo ejecutar">
      <formula>NOT(ISERROR(SEARCH("No se pudo ejecutar",R52)))</formula>
    </cfRule>
    <cfRule type="containsText" dxfId="14112" priority="14419" operator="containsText" text="Pendiente">
      <formula>NOT(ISERROR(SEARCH("Pendiente",R52)))</formula>
    </cfRule>
    <cfRule type="containsText" dxfId="14111" priority="14420" operator="containsText" text="No Aplica">
      <formula>NOT(ISERROR(SEARCH("No Aplica",R52)))</formula>
    </cfRule>
    <cfRule type="containsText" dxfId="14110" priority="14421" operator="containsText" text="Fallido">
      <formula>NOT(ISERROR(SEARCH("Fallido",R52)))</formula>
    </cfRule>
    <cfRule type="containsText" dxfId="14109" priority="14422" operator="containsText" text="Éxitoso">
      <formula>NOT(ISERROR(SEARCH("Éxitoso",R52)))</formula>
    </cfRule>
  </conditionalFormatting>
  <conditionalFormatting sqref="S52">
    <cfRule type="containsText" dxfId="14108" priority="14413" operator="containsText" text="No se pudo ejecutar">
      <formula>NOT(ISERROR(SEARCH("No se pudo ejecutar",S52)))</formula>
    </cfRule>
    <cfRule type="containsText" dxfId="14107" priority="14414" operator="containsText" text="Pendiente">
      <formula>NOT(ISERROR(SEARCH("Pendiente",S52)))</formula>
    </cfRule>
    <cfRule type="containsText" dxfId="14106" priority="14415" operator="containsText" text="No Aplica">
      <formula>NOT(ISERROR(SEARCH("No Aplica",S52)))</formula>
    </cfRule>
    <cfRule type="containsText" dxfId="14105" priority="14416" operator="containsText" text="Fallido">
      <formula>NOT(ISERROR(SEARCH("Fallido",S52)))</formula>
    </cfRule>
    <cfRule type="containsText" dxfId="14104" priority="14417" operator="containsText" text="Éxitoso">
      <formula>NOT(ISERROR(SEARCH("Éxitoso",S52)))</formula>
    </cfRule>
  </conditionalFormatting>
  <conditionalFormatting sqref="T52">
    <cfRule type="containsText" dxfId="14103" priority="14408" operator="containsText" text="No se pudo ejecutar">
      <formula>NOT(ISERROR(SEARCH("No se pudo ejecutar",T52)))</formula>
    </cfRule>
    <cfRule type="containsText" dxfId="14102" priority="14409" operator="containsText" text="Pendiente">
      <formula>NOT(ISERROR(SEARCH("Pendiente",T52)))</formula>
    </cfRule>
    <cfRule type="containsText" dxfId="14101" priority="14410" operator="containsText" text="No Aplica">
      <formula>NOT(ISERROR(SEARCH("No Aplica",T52)))</formula>
    </cfRule>
    <cfRule type="containsText" dxfId="14100" priority="14411" operator="containsText" text="Fallido">
      <formula>NOT(ISERROR(SEARCH("Fallido",T52)))</formula>
    </cfRule>
    <cfRule type="containsText" dxfId="14099" priority="14412" operator="containsText" text="Éxitoso">
      <formula>NOT(ISERROR(SEARCH("Éxitoso",T52)))</formula>
    </cfRule>
  </conditionalFormatting>
  <conditionalFormatting sqref="U52">
    <cfRule type="containsText" dxfId="14098" priority="14403" operator="containsText" text="No se pudo ejecutar">
      <formula>NOT(ISERROR(SEARCH("No se pudo ejecutar",U52)))</formula>
    </cfRule>
    <cfRule type="containsText" dxfId="14097" priority="14404" operator="containsText" text="Pendiente">
      <formula>NOT(ISERROR(SEARCH("Pendiente",U52)))</formula>
    </cfRule>
    <cfRule type="containsText" dxfId="14096" priority="14405" operator="containsText" text="No Aplica">
      <formula>NOT(ISERROR(SEARCH("No Aplica",U52)))</formula>
    </cfRule>
    <cfRule type="containsText" dxfId="14095" priority="14406" operator="containsText" text="Fallido">
      <formula>NOT(ISERROR(SEARCH("Fallido",U52)))</formula>
    </cfRule>
    <cfRule type="containsText" dxfId="14094" priority="14407" operator="containsText" text="Éxitoso">
      <formula>NOT(ISERROR(SEARCH("Éxitoso",U52)))</formula>
    </cfRule>
  </conditionalFormatting>
  <conditionalFormatting sqref="V52">
    <cfRule type="containsText" dxfId="14093" priority="14398" operator="containsText" text="No se pudo ejecutar">
      <formula>NOT(ISERROR(SEARCH("No se pudo ejecutar",V52)))</formula>
    </cfRule>
    <cfRule type="containsText" dxfId="14092" priority="14399" operator="containsText" text="Pendiente">
      <formula>NOT(ISERROR(SEARCH("Pendiente",V52)))</formula>
    </cfRule>
    <cfRule type="containsText" dxfId="14091" priority="14400" operator="containsText" text="No Aplica">
      <formula>NOT(ISERROR(SEARCH("No Aplica",V52)))</formula>
    </cfRule>
    <cfRule type="containsText" dxfId="14090" priority="14401" operator="containsText" text="Fallido">
      <formula>NOT(ISERROR(SEARCH("Fallido",V52)))</formula>
    </cfRule>
    <cfRule type="containsText" dxfId="14089" priority="14402" operator="containsText" text="Éxitoso">
      <formula>NOT(ISERROR(SEARCH("Éxitoso",V52)))</formula>
    </cfRule>
  </conditionalFormatting>
  <conditionalFormatting sqref="W52">
    <cfRule type="containsText" dxfId="14088" priority="14393" operator="containsText" text="No se pudo ejecutar">
      <formula>NOT(ISERROR(SEARCH("No se pudo ejecutar",W52)))</formula>
    </cfRule>
    <cfRule type="containsText" dxfId="14087" priority="14394" operator="containsText" text="Pendiente">
      <formula>NOT(ISERROR(SEARCH("Pendiente",W52)))</formula>
    </cfRule>
    <cfRule type="containsText" dxfId="14086" priority="14395" operator="containsText" text="No Aplica">
      <formula>NOT(ISERROR(SEARCH("No Aplica",W52)))</formula>
    </cfRule>
    <cfRule type="containsText" dxfId="14085" priority="14396" operator="containsText" text="Fallido">
      <formula>NOT(ISERROR(SEARCH("Fallido",W52)))</formula>
    </cfRule>
    <cfRule type="containsText" dxfId="14084" priority="14397" operator="containsText" text="Éxitoso">
      <formula>NOT(ISERROR(SEARCH("Éxitoso",W52)))</formula>
    </cfRule>
  </conditionalFormatting>
  <conditionalFormatting sqref="M52">
    <cfRule type="containsText" dxfId="14083" priority="14388" operator="containsText" text="No se pudo ejecutar">
      <formula>NOT(ISERROR(SEARCH("No se pudo ejecutar",M52)))</formula>
    </cfRule>
    <cfRule type="containsText" dxfId="14082" priority="14389" operator="containsText" text="Pendiente">
      <formula>NOT(ISERROR(SEARCH("Pendiente",M52)))</formula>
    </cfRule>
    <cfRule type="containsText" dxfId="14081" priority="14390" operator="containsText" text="No Aplica">
      <formula>NOT(ISERROR(SEARCH("No Aplica",M52)))</formula>
    </cfRule>
    <cfRule type="containsText" dxfId="14080" priority="14391" operator="containsText" text="Fallido">
      <formula>NOT(ISERROR(SEARCH("Fallido",M52)))</formula>
    </cfRule>
    <cfRule type="containsText" dxfId="14079" priority="14392" operator="containsText" text="Éxitoso">
      <formula>NOT(ISERROR(SEARCH("Éxitoso",M52)))</formula>
    </cfRule>
  </conditionalFormatting>
  <conditionalFormatting sqref="N53">
    <cfRule type="containsText" dxfId="14078" priority="14380" operator="containsText" text="No se pudo ejecutar">
      <formula>NOT(ISERROR(SEARCH("No se pudo ejecutar",N53)))</formula>
    </cfRule>
    <cfRule type="containsText" dxfId="14077" priority="14381" operator="containsText" text="Pendiente">
      <formula>NOT(ISERROR(SEARCH("Pendiente",N53)))</formula>
    </cfRule>
    <cfRule type="containsText" dxfId="14076" priority="14382" operator="containsText" text="No Aplica">
      <formula>NOT(ISERROR(SEARCH("No Aplica",N53)))</formula>
    </cfRule>
    <cfRule type="containsText" dxfId="14075" priority="14383" operator="containsText" text="Fallido">
      <formula>NOT(ISERROR(SEARCH("Fallido",N53)))</formula>
    </cfRule>
    <cfRule type="containsText" dxfId="14074" priority="14384" operator="containsText" text="Éxitoso">
      <formula>NOT(ISERROR(SEARCH("Éxitoso",N53)))</formula>
    </cfRule>
  </conditionalFormatting>
  <conditionalFormatting sqref="O53">
    <cfRule type="containsText" dxfId="14073" priority="14375" operator="containsText" text="No se pudo ejecutar">
      <formula>NOT(ISERROR(SEARCH("No se pudo ejecutar",O53)))</formula>
    </cfRule>
    <cfRule type="containsText" dxfId="14072" priority="14376" operator="containsText" text="Pendiente">
      <formula>NOT(ISERROR(SEARCH("Pendiente",O53)))</formula>
    </cfRule>
    <cfRule type="containsText" dxfId="14071" priority="14377" operator="containsText" text="No Aplica">
      <formula>NOT(ISERROR(SEARCH("No Aplica",O53)))</formula>
    </cfRule>
    <cfRule type="containsText" dxfId="14070" priority="14378" operator="containsText" text="Fallido">
      <formula>NOT(ISERROR(SEARCH("Fallido",O53)))</formula>
    </cfRule>
    <cfRule type="containsText" dxfId="14069" priority="14379" operator="containsText" text="Éxitoso">
      <formula>NOT(ISERROR(SEARCH("Éxitoso",O53)))</formula>
    </cfRule>
  </conditionalFormatting>
  <conditionalFormatting sqref="P53">
    <cfRule type="containsText" dxfId="14068" priority="14370" operator="containsText" text="No se pudo ejecutar">
      <formula>NOT(ISERROR(SEARCH("No se pudo ejecutar",P53)))</formula>
    </cfRule>
    <cfRule type="containsText" dxfId="14067" priority="14371" operator="containsText" text="Pendiente">
      <formula>NOT(ISERROR(SEARCH("Pendiente",P53)))</formula>
    </cfRule>
    <cfRule type="containsText" dxfId="14066" priority="14372" operator="containsText" text="No Aplica">
      <formula>NOT(ISERROR(SEARCH("No Aplica",P53)))</formula>
    </cfRule>
    <cfRule type="containsText" dxfId="14065" priority="14373" operator="containsText" text="Fallido">
      <formula>NOT(ISERROR(SEARCH("Fallido",P53)))</formula>
    </cfRule>
    <cfRule type="containsText" dxfId="14064" priority="14374" operator="containsText" text="Éxitoso">
      <formula>NOT(ISERROR(SEARCH("Éxitoso",P53)))</formula>
    </cfRule>
  </conditionalFormatting>
  <conditionalFormatting sqref="Q53">
    <cfRule type="containsText" dxfId="14063" priority="14365" operator="containsText" text="No se pudo ejecutar">
      <formula>NOT(ISERROR(SEARCH("No se pudo ejecutar",Q53)))</formula>
    </cfRule>
    <cfRule type="containsText" dxfId="14062" priority="14366" operator="containsText" text="Pendiente">
      <formula>NOT(ISERROR(SEARCH("Pendiente",Q53)))</formula>
    </cfRule>
    <cfRule type="containsText" dxfId="14061" priority="14367" operator="containsText" text="No Aplica">
      <formula>NOT(ISERROR(SEARCH("No Aplica",Q53)))</formula>
    </cfRule>
    <cfRule type="containsText" dxfId="14060" priority="14368" operator="containsText" text="Fallido">
      <formula>NOT(ISERROR(SEARCH("Fallido",Q53)))</formula>
    </cfRule>
    <cfRule type="containsText" dxfId="14059" priority="14369" operator="containsText" text="Éxitoso">
      <formula>NOT(ISERROR(SEARCH("Éxitoso",Q53)))</formula>
    </cfRule>
  </conditionalFormatting>
  <conditionalFormatting sqref="R53">
    <cfRule type="containsText" dxfId="14058" priority="14360" operator="containsText" text="No se pudo ejecutar">
      <formula>NOT(ISERROR(SEARCH("No se pudo ejecutar",R53)))</formula>
    </cfRule>
    <cfRule type="containsText" dxfId="14057" priority="14361" operator="containsText" text="Pendiente">
      <formula>NOT(ISERROR(SEARCH("Pendiente",R53)))</formula>
    </cfRule>
    <cfRule type="containsText" dxfId="14056" priority="14362" operator="containsText" text="No Aplica">
      <formula>NOT(ISERROR(SEARCH("No Aplica",R53)))</formula>
    </cfRule>
    <cfRule type="containsText" dxfId="14055" priority="14363" operator="containsText" text="Fallido">
      <formula>NOT(ISERROR(SEARCH("Fallido",R53)))</formula>
    </cfRule>
    <cfRule type="containsText" dxfId="14054" priority="14364" operator="containsText" text="Éxitoso">
      <formula>NOT(ISERROR(SEARCH("Éxitoso",R53)))</formula>
    </cfRule>
  </conditionalFormatting>
  <conditionalFormatting sqref="S53">
    <cfRule type="containsText" dxfId="14053" priority="14355" operator="containsText" text="No se pudo ejecutar">
      <formula>NOT(ISERROR(SEARCH("No se pudo ejecutar",S53)))</formula>
    </cfRule>
    <cfRule type="containsText" dxfId="14052" priority="14356" operator="containsText" text="Pendiente">
      <formula>NOT(ISERROR(SEARCH("Pendiente",S53)))</formula>
    </cfRule>
    <cfRule type="containsText" dxfId="14051" priority="14357" operator="containsText" text="No Aplica">
      <formula>NOT(ISERROR(SEARCH("No Aplica",S53)))</formula>
    </cfRule>
    <cfRule type="containsText" dxfId="14050" priority="14358" operator="containsText" text="Fallido">
      <formula>NOT(ISERROR(SEARCH("Fallido",S53)))</formula>
    </cfRule>
    <cfRule type="containsText" dxfId="14049" priority="14359" operator="containsText" text="Éxitoso">
      <formula>NOT(ISERROR(SEARCH("Éxitoso",S53)))</formula>
    </cfRule>
  </conditionalFormatting>
  <conditionalFormatting sqref="T53">
    <cfRule type="containsText" dxfId="14048" priority="14350" operator="containsText" text="No se pudo ejecutar">
      <formula>NOT(ISERROR(SEARCH("No se pudo ejecutar",T53)))</formula>
    </cfRule>
    <cfRule type="containsText" dxfId="14047" priority="14351" operator="containsText" text="Pendiente">
      <formula>NOT(ISERROR(SEARCH("Pendiente",T53)))</formula>
    </cfRule>
    <cfRule type="containsText" dxfId="14046" priority="14352" operator="containsText" text="No Aplica">
      <formula>NOT(ISERROR(SEARCH("No Aplica",T53)))</formula>
    </cfRule>
    <cfRule type="containsText" dxfId="14045" priority="14353" operator="containsText" text="Fallido">
      <formula>NOT(ISERROR(SEARCH("Fallido",T53)))</formula>
    </cfRule>
    <cfRule type="containsText" dxfId="14044" priority="14354" operator="containsText" text="Éxitoso">
      <formula>NOT(ISERROR(SEARCH("Éxitoso",T53)))</formula>
    </cfRule>
  </conditionalFormatting>
  <conditionalFormatting sqref="U53">
    <cfRule type="containsText" dxfId="14043" priority="14345" operator="containsText" text="No se pudo ejecutar">
      <formula>NOT(ISERROR(SEARCH("No se pudo ejecutar",U53)))</formula>
    </cfRule>
    <cfRule type="containsText" dxfId="14042" priority="14346" operator="containsText" text="Pendiente">
      <formula>NOT(ISERROR(SEARCH("Pendiente",U53)))</formula>
    </cfRule>
    <cfRule type="containsText" dxfId="14041" priority="14347" operator="containsText" text="No Aplica">
      <formula>NOT(ISERROR(SEARCH("No Aplica",U53)))</formula>
    </cfRule>
    <cfRule type="containsText" dxfId="14040" priority="14348" operator="containsText" text="Fallido">
      <formula>NOT(ISERROR(SEARCH("Fallido",U53)))</formula>
    </cfRule>
    <cfRule type="containsText" dxfId="14039" priority="14349" operator="containsText" text="Éxitoso">
      <formula>NOT(ISERROR(SEARCH("Éxitoso",U53)))</formula>
    </cfRule>
  </conditionalFormatting>
  <conditionalFormatting sqref="V53">
    <cfRule type="containsText" dxfId="14038" priority="14340" operator="containsText" text="No se pudo ejecutar">
      <formula>NOT(ISERROR(SEARCH("No se pudo ejecutar",V53)))</formula>
    </cfRule>
    <cfRule type="containsText" dxfId="14037" priority="14341" operator="containsText" text="Pendiente">
      <formula>NOT(ISERROR(SEARCH("Pendiente",V53)))</formula>
    </cfRule>
    <cfRule type="containsText" dxfId="14036" priority="14342" operator="containsText" text="No Aplica">
      <formula>NOT(ISERROR(SEARCH("No Aplica",V53)))</formula>
    </cfRule>
    <cfRule type="containsText" dxfId="14035" priority="14343" operator="containsText" text="Fallido">
      <formula>NOT(ISERROR(SEARCH("Fallido",V53)))</formula>
    </cfRule>
    <cfRule type="containsText" dxfId="14034" priority="14344" operator="containsText" text="Éxitoso">
      <formula>NOT(ISERROR(SEARCH("Éxitoso",V53)))</formula>
    </cfRule>
  </conditionalFormatting>
  <conditionalFormatting sqref="W53">
    <cfRule type="containsText" dxfId="14033" priority="14335" operator="containsText" text="No se pudo ejecutar">
      <formula>NOT(ISERROR(SEARCH("No se pudo ejecutar",W53)))</formula>
    </cfRule>
    <cfRule type="containsText" dxfId="14032" priority="14336" operator="containsText" text="Pendiente">
      <formula>NOT(ISERROR(SEARCH("Pendiente",W53)))</formula>
    </cfRule>
    <cfRule type="containsText" dxfId="14031" priority="14337" operator="containsText" text="No Aplica">
      <formula>NOT(ISERROR(SEARCH("No Aplica",W53)))</formula>
    </cfRule>
    <cfRule type="containsText" dxfId="14030" priority="14338" operator="containsText" text="Fallido">
      <formula>NOT(ISERROR(SEARCH("Fallido",W53)))</formula>
    </cfRule>
    <cfRule type="containsText" dxfId="14029" priority="14339" operator="containsText" text="Éxitoso">
      <formula>NOT(ISERROR(SEARCH("Éxitoso",W53)))</formula>
    </cfRule>
  </conditionalFormatting>
  <conditionalFormatting sqref="M53">
    <cfRule type="containsText" dxfId="14028" priority="14330" operator="containsText" text="No se pudo ejecutar">
      <formula>NOT(ISERROR(SEARCH("No se pudo ejecutar",M53)))</formula>
    </cfRule>
    <cfRule type="containsText" dxfId="14027" priority="14331" operator="containsText" text="Pendiente">
      <formula>NOT(ISERROR(SEARCH("Pendiente",M53)))</formula>
    </cfRule>
    <cfRule type="containsText" dxfId="14026" priority="14332" operator="containsText" text="No Aplica">
      <formula>NOT(ISERROR(SEARCH("No Aplica",M53)))</formula>
    </cfRule>
    <cfRule type="containsText" dxfId="14025" priority="14333" operator="containsText" text="Fallido">
      <formula>NOT(ISERROR(SEARCH("Fallido",M53)))</formula>
    </cfRule>
    <cfRule type="containsText" dxfId="14024" priority="14334" operator="containsText" text="Éxitoso">
      <formula>NOT(ISERROR(SEARCH("Éxitoso",M53)))</formula>
    </cfRule>
  </conditionalFormatting>
  <conditionalFormatting sqref="G53">
    <cfRule type="containsText" dxfId="14023" priority="14327" operator="containsText" text="Bajo">
      <formula>NOT(ISERROR(SEARCH("Bajo",G53)))</formula>
    </cfRule>
    <cfRule type="containsText" dxfId="14022" priority="14328" operator="containsText" text="Medio">
      <formula>NOT(ISERROR(SEARCH("Medio",G53)))</formula>
    </cfRule>
    <cfRule type="containsText" dxfId="14021" priority="14329" operator="containsText" text="Alto">
      <formula>NOT(ISERROR(SEARCH("Alto",G53)))</formula>
    </cfRule>
  </conditionalFormatting>
  <conditionalFormatting sqref="N54">
    <cfRule type="containsText" dxfId="14020" priority="14322" operator="containsText" text="No se pudo ejecutar">
      <formula>NOT(ISERROR(SEARCH("No se pudo ejecutar",N54)))</formula>
    </cfRule>
    <cfRule type="containsText" dxfId="14019" priority="14323" operator="containsText" text="Pendiente">
      <formula>NOT(ISERROR(SEARCH("Pendiente",N54)))</formula>
    </cfRule>
    <cfRule type="containsText" dxfId="14018" priority="14324" operator="containsText" text="No Aplica">
      <formula>NOT(ISERROR(SEARCH("No Aplica",N54)))</formula>
    </cfRule>
    <cfRule type="containsText" dxfId="14017" priority="14325" operator="containsText" text="Fallido">
      <formula>NOT(ISERROR(SEARCH("Fallido",N54)))</formula>
    </cfRule>
    <cfRule type="containsText" dxfId="14016" priority="14326" operator="containsText" text="Éxitoso">
      <formula>NOT(ISERROR(SEARCH("Éxitoso",N54)))</formula>
    </cfRule>
  </conditionalFormatting>
  <conditionalFormatting sqref="O54">
    <cfRule type="containsText" dxfId="14015" priority="14317" operator="containsText" text="No se pudo ejecutar">
      <formula>NOT(ISERROR(SEARCH("No se pudo ejecutar",O54)))</formula>
    </cfRule>
    <cfRule type="containsText" dxfId="14014" priority="14318" operator="containsText" text="Pendiente">
      <formula>NOT(ISERROR(SEARCH("Pendiente",O54)))</formula>
    </cfRule>
    <cfRule type="containsText" dxfId="14013" priority="14319" operator="containsText" text="No Aplica">
      <formula>NOT(ISERROR(SEARCH("No Aplica",O54)))</formula>
    </cfRule>
    <cfRule type="containsText" dxfId="14012" priority="14320" operator="containsText" text="Fallido">
      <formula>NOT(ISERROR(SEARCH("Fallido",O54)))</formula>
    </cfRule>
    <cfRule type="containsText" dxfId="14011" priority="14321" operator="containsText" text="Éxitoso">
      <formula>NOT(ISERROR(SEARCH("Éxitoso",O54)))</formula>
    </cfRule>
  </conditionalFormatting>
  <conditionalFormatting sqref="P54">
    <cfRule type="containsText" dxfId="14010" priority="14312" operator="containsText" text="No se pudo ejecutar">
      <formula>NOT(ISERROR(SEARCH("No se pudo ejecutar",P54)))</formula>
    </cfRule>
    <cfRule type="containsText" dxfId="14009" priority="14313" operator="containsText" text="Pendiente">
      <formula>NOT(ISERROR(SEARCH("Pendiente",P54)))</formula>
    </cfRule>
    <cfRule type="containsText" dxfId="14008" priority="14314" operator="containsText" text="No Aplica">
      <formula>NOT(ISERROR(SEARCH("No Aplica",P54)))</formula>
    </cfRule>
    <cfRule type="containsText" dxfId="14007" priority="14315" operator="containsText" text="Fallido">
      <formula>NOT(ISERROR(SEARCH("Fallido",P54)))</formula>
    </cfRule>
    <cfRule type="containsText" dxfId="14006" priority="14316" operator="containsText" text="Éxitoso">
      <formula>NOT(ISERROR(SEARCH("Éxitoso",P54)))</formula>
    </cfRule>
  </conditionalFormatting>
  <conditionalFormatting sqref="Q54">
    <cfRule type="containsText" dxfId="14005" priority="14307" operator="containsText" text="No se pudo ejecutar">
      <formula>NOT(ISERROR(SEARCH("No se pudo ejecutar",Q54)))</formula>
    </cfRule>
    <cfRule type="containsText" dxfId="14004" priority="14308" operator="containsText" text="Pendiente">
      <formula>NOT(ISERROR(SEARCH("Pendiente",Q54)))</formula>
    </cfRule>
    <cfRule type="containsText" dxfId="14003" priority="14309" operator="containsText" text="No Aplica">
      <formula>NOT(ISERROR(SEARCH("No Aplica",Q54)))</formula>
    </cfRule>
    <cfRule type="containsText" dxfId="14002" priority="14310" operator="containsText" text="Fallido">
      <formula>NOT(ISERROR(SEARCH("Fallido",Q54)))</formula>
    </cfRule>
    <cfRule type="containsText" dxfId="14001" priority="14311" operator="containsText" text="Éxitoso">
      <formula>NOT(ISERROR(SEARCH("Éxitoso",Q54)))</formula>
    </cfRule>
  </conditionalFormatting>
  <conditionalFormatting sqref="R54">
    <cfRule type="containsText" dxfId="14000" priority="14302" operator="containsText" text="No se pudo ejecutar">
      <formula>NOT(ISERROR(SEARCH("No se pudo ejecutar",R54)))</formula>
    </cfRule>
    <cfRule type="containsText" dxfId="13999" priority="14303" operator="containsText" text="Pendiente">
      <formula>NOT(ISERROR(SEARCH("Pendiente",R54)))</formula>
    </cfRule>
    <cfRule type="containsText" dxfId="13998" priority="14304" operator="containsText" text="No Aplica">
      <formula>NOT(ISERROR(SEARCH("No Aplica",R54)))</formula>
    </cfRule>
    <cfRule type="containsText" dxfId="13997" priority="14305" operator="containsText" text="Fallido">
      <formula>NOT(ISERROR(SEARCH("Fallido",R54)))</formula>
    </cfRule>
    <cfRule type="containsText" dxfId="13996" priority="14306" operator="containsText" text="Éxitoso">
      <formula>NOT(ISERROR(SEARCH("Éxitoso",R54)))</formula>
    </cfRule>
  </conditionalFormatting>
  <conditionalFormatting sqref="S54">
    <cfRule type="containsText" dxfId="13995" priority="14297" operator="containsText" text="No se pudo ejecutar">
      <formula>NOT(ISERROR(SEARCH("No se pudo ejecutar",S54)))</formula>
    </cfRule>
    <cfRule type="containsText" dxfId="13994" priority="14298" operator="containsText" text="Pendiente">
      <formula>NOT(ISERROR(SEARCH("Pendiente",S54)))</formula>
    </cfRule>
    <cfRule type="containsText" dxfId="13993" priority="14299" operator="containsText" text="No Aplica">
      <formula>NOT(ISERROR(SEARCH("No Aplica",S54)))</formula>
    </cfRule>
    <cfRule type="containsText" dxfId="13992" priority="14300" operator="containsText" text="Fallido">
      <formula>NOT(ISERROR(SEARCH("Fallido",S54)))</formula>
    </cfRule>
    <cfRule type="containsText" dxfId="13991" priority="14301" operator="containsText" text="Éxitoso">
      <formula>NOT(ISERROR(SEARCH("Éxitoso",S54)))</formula>
    </cfRule>
  </conditionalFormatting>
  <conditionalFormatting sqref="T54">
    <cfRule type="containsText" dxfId="13990" priority="14292" operator="containsText" text="No se pudo ejecutar">
      <formula>NOT(ISERROR(SEARCH("No se pudo ejecutar",T54)))</formula>
    </cfRule>
    <cfRule type="containsText" dxfId="13989" priority="14293" operator="containsText" text="Pendiente">
      <formula>NOT(ISERROR(SEARCH("Pendiente",T54)))</formula>
    </cfRule>
    <cfRule type="containsText" dxfId="13988" priority="14294" operator="containsText" text="No Aplica">
      <formula>NOT(ISERROR(SEARCH("No Aplica",T54)))</formula>
    </cfRule>
    <cfRule type="containsText" dxfId="13987" priority="14295" operator="containsText" text="Fallido">
      <formula>NOT(ISERROR(SEARCH("Fallido",T54)))</formula>
    </cfRule>
    <cfRule type="containsText" dxfId="13986" priority="14296" operator="containsText" text="Éxitoso">
      <formula>NOT(ISERROR(SEARCH("Éxitoso",T54)))</formula>
    </cfRule>
  </conditionalFormatting>
  <conditionalFormatting sqref="U54">
    <cfRule type="containsText" dxfId="13985" priority="14287" operator="containsText" text="No se pudo ejecutar">
      <formula>NOT(ISERROR(SEARCH("No se pudo ejecutar",U54)))</formula>
    </cfRule>
    <cfRule type="containsText" dxfId="13984" priority="14288" operator="containsText" text="Pendiente">
      <formula>NOT(ISERROR(SEARCH("Pendiente",U54)))</formula>
    </cfRule>
    <cfRule type="containsText" dxfId="13983" priority="14289" operator="containsText" text="No Aplica">
      <formula>NOT(ISERROR(SEARCH("No Aplica",U54)))</formula>
    </cfRule>
    <cfRule type="containsText" dxfId="13982" priority="14290" operator="containsText" text="Fallido">
      <formula>NOT(ISERROR(SEARCH("Fallido",U54)))</formula>
    </cfRule>
    <cfRule type="containsText" dxfId="13981" priority="14291" operator="containsText" text="Éxitoso">
      <formula>NOT(ISERROR(SEARCH("Éxitoso",U54)))</formula>
    </cfRule>
  </conditionalFormatting>
  <conditionalFormatting sqref="V54">
    <cfRule type="containsText" dxfId="13980" priority="14282" operator="containsText" text="No se pudo ejecutar">
      <formula>NOT(ISERROR(SEARCH("No se pudo ejecutar",V54)))</formula>
    </cfRule>
    <cfRule type="containsText" dxfId="13979" priority="14283" operator="containsText" text="Pendiente">
      <formula>NOT(ISERROR(SEARCH("Pendiente",V54)))</formula>
    </cfRule>
    <cfRule type="containsText" dxfId="13978" priority="14284" operator="containsText" text="No Aplica">
      <formula>NOT(ISERROR(SEARCH("No Aplica",V54)))</formula>
    </cfRule>
    <cfRule type="containsText" dxfId="13977" priority="14285" operator="containsText" text="Fallido">
      <formula>NOT(ISERROR(SEARCH("Fallido",V54)))</formula>
    </cfRule>
    <cfRule type="containsText" dxfId="13976" priority="14286" operator="containsText" text="Éxitoso">
      <formula>NOT(ISERROR(SEARCH("Éxitoso",V54)))</formula>
    </cfRule>
  </conditionalFormatting>
  <conditionalFormatting sqref="W54">
    <cfRule type="containsText" dxfId="13975" priority="14277" operator="containsText" text="No se pudo ejecutar">
      <formula>NOT(ISERROR(SEARCH("No se pudo ejecutar",W54)))</formula>
    </cfRule>
    <cfRule type="containsText" dxfId="13974" priority="14278" operator="containsText" text="Pendiente">
      <formula>NOT(ISERROR(SEARCH("Pendiente",W54)))</formula>
    </cfRule>
    <cfRule type="containsText" dxfId="13973" priority="14279" operator="containsText" text="No Aplica">
      <formula>NOT(ISERROR(SEARCH("No Aplica",W54)))</formula>
    </cfRule>
    <cfRule type="containsText" dxfId="13972" priority="14280" operator="containsText" text="Fallido">
      <formula>NOT(ISERROR(SEARCH("Fallido",W54)))</formula>
    </cfRule>
    <cfRule type="containsText" dxfId="13971" priority="14281" operator="containsText" text="Éxitoso">
      <formula>NOT(ISERROR(SEARCH("Éxitoso",W54)))</formula>
    </cfRule>
  </conditionalFormatting>
  <conditionalFormatting sqref="M54">
    <cfRule type="containsText" dxfId="13970" priority="14272" operator="containsText" text="No se pudo ejecutar">
      <formula>NOT(ISERROR(SEARCH("No se pudo ejecutar",M54)))</formula>
    </cfRule>
    <cfRule type="containsText" dxfId="13969" priority="14273" operator="containsText" text="Pendiente">
      <formula>NOT(ISERROR(SEARCH("Pendiente",M54)))</formula>
    </cfRule>
    <cfRule type="containsText" dxfId="13968" priority="14274" operator="containsText" text="No Aplica">
      <formula>NOT(ISERROR(SEARCH("No Aplica",M54)))</formula>
    </cfRule>
    <cfRule type="containsText" dxfId="13967" priority="14275" operator="containsText" text="Fallido">
      <formula>NOT(ISERROR(SEARCH("Fallido",M54)))</formula>
    </cfRule>
    <cfRule type="containsText" dxfId="13966" priority="14276" operator="containsText" text="Éxitoso">
      <formula>NOT(ISERROR(SEARCH("Éxitoso",M54)))</formula>
    </cfRule>
  </conditionalFormatting>
  <conditionalFormatting sqref="G54">
    <cfRule type="containsText" dxfId="13965" priority="14269" operator="containsText" text="Bajo">
      <formula>NOT(ISERROR(SEARCH("Bajo",G54)))</formula>
    </cfRule>
    <cfRule type="containsText" dxfId="13964" priority="14270" operator="containsText" text="Medio">
      <formula>NOT(ISERROR(SEARCH("Medio",G54)))</formula>
    </cfRule>
    <cfRule type="containsText" dxfId="13963" priority="14271" operator="containsText" text="Alto">
      <formula>NOT(ISERROR(SEARCH("Alto",G54)))</formula>
    </cfRule>
  </conditionalFormatting>
  <conditionalFormatting sqref="N55">
    <cfRule type="containsText" dxfId="13962" priority="14264" operator="containsText" text="No se pudo ejecutar">
      <formula>NOT(ISERROR(SEARCH("No se pudo ejecutar",N55)))</formula>
    </cfRule>
    <cfRule type="containsText" dxfId="13961" priority="14265" operator="containsText" text="Pendiente">
      <formula>NOT(ISERROR(SEARCH("Pendiente",N55)))</formula>
    </cfRule>
    <cfRule type="containsText" dxfId="13960" priority="14266" operator="containsText" text="No Aplica">
      <formula>NOT(ISERROR(SEARCH("No Aplica",N55)))</formula>
    </cfRule>
    <cfRule type="containsText" dxfId="13959" priority="14267" operator="containsText" text="Fallido">
      <formula>NOT(ISERROR(SEARCH("Fallido",N55)))</formula>
    </cfRule>
    <cfRule type="containsText" dxfId="13958" priority="14268" operator="containsText" text="Éxitoso">
      <formula>NOT(ISERROR(SEARCH("Éxitoso",N55)))</formula>
    </cfRule>
  </conditionalFormatting>
  <conditionalFormatting sqref="O55">
    <cfRule type="containsText" dxfId="13957" priority="14259" operator="containsText" text="No se pudo ejecutar">
      <formula>NOT(ISERROR(SEARCH("No se pudo ejecutar",O55)))</formula>
    </cfRule>
    <cfRule type="containsText" dxfId="13956" priority="14260" operator="containsText" text="Pendiente">
      <formula>NOT(ISERROR(SEARCH("Pendiente",O55)))</formula>
    </cfRule>
    <cfRule type="containsText" dxfId="13955" priority="14261" operator="containsText" text="No Aplica">
      <formula>NOT(ISERROR(SEARCH("No Aplica",O55)))</formula>
    </cfRule>
    <cfRule type="containsText" dxfId="13954" priority="14262" operator="containsText" text="Fallido">
      <formula>NOT(ISERROR(SEARCH("Fallido",O55)))</formula>
    </cfRule>
    <cfRule type="containsText" dxfId="13953" priority="14263" operator="containsText" text="Éxitoso">
      <formula>NOT(ISERROR(SEARCH("Éxitoso",O55)))</formula>
    </cfRule>
  </conditionalFormatting>
  <conditionalFormatting sqref="P55">
    <cfRule type="containsText" dxfId="13952" priority="14254" operator="containsText" text="No se pudo ejecutar">
      <formula>NOT(ISERROR(SEARCH("No se pudo ejecutar",P55)))</formula>
    </cfRule>
    <cfRule type="containsText" dxfId="13951" priority="14255" operator="containsText" text="Pendiente">
      <formula>NOT(ISERROR(SEARCH("Pendiente",P55)))</formula>
    </cfRule>
    <cfRule type="containsText" dxfId="13950" priority="14256" operator="containsText" text="No Aplica">
      <formula>NOT(ISERROR(SEARCH("No Aplica",P55)))</formula>
    </cfRule>
    <cfRule type="containsText" dxfId="13949" priority="14257" operator="containsText" text="Fallido">
      <formula>NOT(ISERROR(SEARCH("Fallido",P55)))</formula>
    </cfRule>
    <cfRule type="containsText" dxfId="13948" priority="14258" operator="containsText" text="Éxitoso">
      <formula>NOT(ISERROR(SEARCH("Éxitoso",P55)))</formula>
    </cfRule>
  </conditionalFormatting>
  <conditionalFormatting sqref="Q55">
    <cfRule type="containsText" dxfId="13947" priority="14249" operator="containsText" text="No se pudo ejecutar">
      <formula>NOT(ISERROR(SEARCH("No se pudo ejecutar",Q55)))</formula>
    </cfRule>
    <cfRule type="containsText" dxfId="13946" priority="14250" operator="containsText" text="Pendiente">
      <formula>NOT(ISERROR(SEARCH("Pendiente",Q55)))</formula>
    </cfRule>
    <cfRule type="containsText" dxfId="13945" priority="14251" operator="containsText" text="No Aplica">
      <formula>NOT(ISERROR(SEARCH("No Aplica",Q55)))</formula>
    </cfRule>
    <cfRule type="containsText" dxfId="13944" priority="14252" operator="containsText" text="Fallido">
      <formula>NOT(ISERROR(SEARCH("Fallido",Q55)))</formula>
    </cfRule>
    <cfRule type="containsText" dxfId="13943" priority="14253" operator="containsText" text="Éxitoso">
      <formula>NOT(ISERROR(SEARCH("Éxitoso",Q55)))</formula>
    </cfRule>
  </conditionalFormatting>
  <conditionalFormatting sqref="R55">
    <cfRule type="containsText" dxfId="13942" priority="14244" operator="containsText" text="No se pudo ejecutar">
      <formula>NOT(ISERROR(SEARCH("No se pudo ejecutar",R55)))</formula>
    </cfRule>
    <cfRule type="containsText" dxfId="13941" priority="14245" operator="containsText" text="Pendiente">
      <formula>NOT(ISERROR(SEARCH("Pendiente",R55)))</formula>
    </cfRule>
    <cfRule type="containsText" dxfId="13940" priority="14246" operator="containsText" text="No Aplica">
      <formula>NOT(ISERROR(SEARCH("No Aplica",R55)))</formula>
    </cfRule>
    <cfRule type="containsText" dxfId="13939" priority="14247" operator="containsText" text="Fallido">
      <formula>NOT(ISERROR(SEARCH("Fallido",R55)))</formula>
    </cfRule>
    <cfRule type="containsText" dxfId="13938" priority="14248" operator="containsText" text="Éxitoso">
      <formula>NOT(ISERROR(SEARCH("Éxitoso",R55)))</formula>
    </cfRule>
  </conditionalFormatting>
  <conditionalFormatting sqref="S55">
    <cfRule type="containsText" dxfId="13937" priority="14239" operator="containsText" text="No se pudo ejecutar">
      <formula>NOT(ISERROR(SEARCH("No se pudo ejecutar",S55)))</formula>
    </cfRule>
    <cfRule type="containsText" dxfId="13936" priority="14240" operator="containsText" text="Pendiente">
      <formula>NOT(ISERROR(SEARCH("Pendiente",S55)))</formula>
    </cfRule>
    <cfRule type="containsText" dxfId="13935" priority="14241" operator="containsText" text="No Aplica">
      <formula>NOT(ISERROR(SEARCH("No Aplica",S55)))</formula>
    </cfRule>
    <cfRule type="containsText" dxfId="13934" priority="14242" operator="containsText" text="Fallido">
      <formula>NOT(ISERROR(SEARCH("Fallido",S55)))</formula>
    </cfRule>
    <cfRule type="containsText" dxfId="13933" priority="14243" operator="containsText" text="Éxitoso">
      <formula>NOT(ISERROR(SEARCH("Éxitoso",S55)))</formula>
    </cfRule>
  </conditionalFormatting>
  <conditionalFormatting sqref="T55">
    <cfRule type="containsText" dxfId="13932" priority="14234" operator="containsText" text="No se pudo ejecutar">
      <formula>NOT(ISERROR(SEARCH("No se pudo ejecutar",T55)))</formula>
    </cfRule>
    <cfRule type="containsText" dxfId="13931" priority="14235" operator="containsText" text="Pendiente">
      <formula>NOT(ISERROR(SEARCH("Pendiente",T55)))</formula>
    </cfRule>
    <cfRule type="containsText" dxfId="13930" priority="14236" operator="containsText" text="No Aplica">
      <formula>NOT(ISERROR(SEARCH("No Aplica",T55)))</formula>
    </cfRule>
    <cfRule type="containsText" dxfId="13929" priority="14237" operator="containsText" text="Fallido">
      <formula>NOT(ISERROR(SEARCH("Fallido",T55)))</formula>
    </cfRule>
    <cfRule type="containsText" dxfId="13928" priority="14238" operator="containsText" text="Éxitoso">
      <formula>NOT(ISERROR(SEARCH("Éxitoso",T55)))</formula>
    </cfRule>
  </conditionalFormatting>
  <conditionalFormatting sqref="U55">
    <cfRule type="containsText" dxfId="13927" priority="14229" operator="containsText" text="No se pudo ejecutar">
      <formula>NOT(ISERROR(SEARCH("No se pudo ejecutar",U55)))</formula>
    </cfRule>
    <cfRule type="containsText" dxfId="13926" priority="14230" operator="containsText" text="Pendiente">
      <formula>NOT(ISERROR(SEARCH("Pendiente",U55)))</formula>
    </cfRule>
    <cfRule type="containsText" dxfId="13925" priority="14231" operator="containsText" text="No Aplica">
      <formula>NOT(ISERROR(SEARCH("No Aplica",U55)))</formula>
    </cfRule>
    <cfRule type="containsText" dxfId="13924" priority="14232" operator="containsText" text="Fallido">
      <formula>NOT(ISERROR(SEARCH("Fallido",U55)))</formula>
    </cfRule>
    <cfRule type="containsText" dxfId="13923" priority="14233" operator="containsText" text="Éxitoso">
      <formula>NOT(ISERROR(SEARCH("Éxitoso",U55)))</formula>
    </cfRule>
  </conditionalFormatting>
  <conditionalFormatting sqref="V55">
    <cfRule type="containsText" dxfId="13922" priority="14224" operator="containsText" text="No se pudo ejecutar">
      <formula>NOT(ISERROR(SEARCH("No se pudo ejecutar",V55)))</formula>
    </cfRule>
    <cfRule type="containsText" dxfId="13921" priority="14225" operator="containsText" text="Pendiente">
      <formula>NOT(ISERROR(SEARCH("Pendiente",V55)))</formula>
    </cfRule>
    <cfRule type="containsText" dxfId="13920" priority="14226" operator="containsText" text="No Aplica">
      <formula>NOT(ISERROR(SEARCH("No Aplica",V55)))</formula>
    </cfRule>
    <cfRule type="containsText" dxfId="13919" priority="14227" operator="containsText" text="Fallido">
      <formula>NOT(ISERROR(SEARCH("Fallido",V55)))</formula>
    </cfRule>
    <cfRule type="containsText" dxfId="13918" priority="14228" operator="containsText" text="Éxitoso">
      <formula>NOT(ISERROR(SEARCH("Éxitoso",V55)))</formula>
    </cfRule>
  </conditionalFormatting>
  <conditionalFormatting sqref="W55">
    <cfRule type="containsText" dxfId="13917" priority="14219" operator="containsText" text="No se pudo ejecutar">
      <formula>NOT(ISERROR(SEARCH("No se pudo ejecutar",W55)))</formula>
    </cfRule>
    <cfRule type="containsText" dxfId="13916" priority="14220" operator="containsText" text="Pendiente">
      <formula>NOT(ISERROR(SEARCH("Pendiente",W55)))</formula>
    </cfRule>
    <cfRule type="containsText" dxfId="13915" priority="14221" operator="containsText" text="No Aplica">
      <formula>NOT(ISERROR(SEARCH("No Aplica",W55)))</formula>
    </cfRule>
    <cfRule type="containsText" dxfId="13914" priority="14222" operator="containsText" text="Fallido">
      <formula>NOT(ISERROR(SEARCH("Fallido",W55)))</formula>
    </cfRule>
    <cfRule type="containsText" dxfId="13913" priority="14223" operator="containsText" text="Éxitoso">
      <formula>NOT(ISERROR(SEARCH("Éxitoso",W55)))</formula>
    </cfRule>
  </conditionalFormatting>
  <conditionalFormatting sqref="M55">
    <cfRule type="containsText" dxfId="13912" priority="14214" operator="containsText" text="No se pudo ejecutar">
      <formula>NOT(ISERROR(SEARCH("No se pudo ejecutar",M55)))</formula>
    </cfRule>
    <cfRule type="containsText" dxfId="13911" priority="14215" operator="containsText" text="Pendiente">
      <formula>NOT(ISERROR(SEARCH("Pendiente",M55)))</formula>
    </cfRule>
    <cfRule type="containsText" dxfId="13910" priority="14216" operator="containsText" text="No Aplica">
      <formula>NOT(ISERROR(SEARCH("No Aplica",M55)))</formula>
    </cfRule>
    <cfRule type="containsText" dxfId="13909" priority="14217" operator="containsText" text="Fallido">
      <formula>NOT(ISERROR(SEARCH("Fallido",M55)))</formula>
    </cfRule>
    <cfRule type="containsText" dxfId="13908" priority="14218" operator="containsText" text="Éxitoso">
      <formula>NOT(ISERROR(SEARCH("Éxitoso",M55)))</formula>
    </cfRule>
  </conditionalFormatting>
  <conditionalFormatting sqref="G55">
    <cfRule type="containsText" dxfId="13907" priority="14211" operator="containsText" text="Bajo">
      <formula>NOT(ISERROR(SEARCH("Bajo",G55)))</formula>
    </cfRule>
    <cfRule type="containsText" dxfId="13906" priority="14212" operator="containsText" text="Medio">
      <formula>NOT(ISERROR(SEARCH("Medio",G55)))</formula>
    </cfRule>
    <cfRule type="containsText" dxfId="13905" priority="14213" operator="containsText" text="Alto">
      <formula>NOT(ISERROR(SEARCH("Alto",G55)))</formula>
    </cfRule>
  </conditionalFormatting>
  <conditionalFormatting sqref="N56">
    <cfRule type="containsText" dxfId="13904" priority="14206" operator="containsText" text="No se pudo ejecutar">
      <formula>NOT(ISERROR(SEARCH("No se pudo ejecutar",N56)))</formula>
    </cfRule>
    <cfRule type="containsText" dxfId="13903" priority="14207" operator="containsText" text="Pendiente">
      <formula>NOT(ISERROR(SEARCH("Pendiente",N56)))</formula>
    </cfRule>
    <cfRule type="containsText" dxfId="13902" priority="14208" operator="containsText" text="No Aplica">
      <formula>NOT(ISERROR(SEARCH("No Aplica",N56)))</formula>
    </cfRule>
    <cfRule type="containsText" dxfId="13901" priority="14209" operator="containsText" text="Fallido">
      <formula>NOT(ISERROR(SEARCH("Fallido",N56)))</formula>
    </cfRule>
    <cfRule type="containsText" dxfId="13900" priority="14210" operator="containsText" text="Éxitoso">
      <formula>NOT(ISERROR(SEARCH("Éxitoso",N56)))</formula>
    </cfRule>
  </conditionalFormatting>
  <conditionalFormatting sqref="O56">
    <cfRule type="containsText" dxfId="13899" priority="14201" operator="containsText" text="No se pudo ejecutar">
      <formula>NOT(ISERROR(SEARCH("No se pudo ejecutar",O56)))</formula>
    </cfRule>
    <cfRule type="containsText" dxfId="13898" priority="14202" operator="containsText" text="Pendiente">
      <formula>NOT(ISERROR(SEARCH("Pendiente",O56)))</formula>
    </cfRule>
    <cfRule type="containsText" dxfId="13897" priority="14203" operator="containsText" text="No Aplica">
      <formula>NOT(ISERROR(SEARCH("No Aplica",O56)))</formula>
    </cfRule>
    <cfRule type="containsText" dxfId="13896" priority="14204" operator="containsText" text="Fallido">
      <formula>NOT(ISERROR(SEARCH("Fallido",O56)))</formula>
    </cfRule>
    <cfRule type="containsText" dxfId="13895" priority="14205" operator="containsText" text="Éxitoso">
      <formula>NOT(ISERROR(SEARCH("Éxitoso",O56)))</formula>
    </cfRule>
  </conditionalFormatting>
  <conditionalFormatting sqref="P56">
    <cfRule type="containsText" dxfId="13894" priority="14196" operator="containsText" text="No se pudo ejecutar">
      <formula>NOT(ISERROR(SEARCH("No se pudo ejecutar",P56)))</formula>
    </cfRule>
    <cfRule type="containsText" dxfId="13893" priority="14197" operator="containsText" text="Pendiente">
      <formula>NOT(ISERROR(SEARCH("Pendiente",P56)))</formula>
    </cfRule>
    <cfRule type="containsText" dxfId="13892" priority="14198" operator="containsText" text="No Aplica">
      <formula>NOT(ISERROR(SEARCH("No Aplica",P56)))</formula>
    </cfRule>
    <cfRule type="containsText" dxfId="13891" priority="14199" operator="containsText" text="Fallido">
      <formula>NOT(ISERROR(SEARCH("Fallido",P56)))</formula>
    </cfRule>
    <cfRule type="containsText" dxfId="13890" priority="14200" operator="containsText" text="Éxitoso">
      <formula>NOT(ISERROR(SEARCH("Éxitoso",P56)))</formula>
    </cfRule>
  </conditionalFormatting>
  <conditionalFormatting sqref="Q56">
    <cfRule type="containsText" dxfId="13889" priority="14191" operator="containsText" text="No se pudo ejecutar">
      <formula>NOT(ISERROR(SEARCH("No se pudo ejecutar",Q56)))</formula>
    </cfRule>
    <cfRule type="containsText" dxfId="13888" priority="14192" operator="containsText" text="Pendiente">
      <formula>NOT(ISERROR(SEARCH("Pendiente",Q56)))</formula>
    </cfRule>
    <cfRule type="containsText" dxfId="13887" priority="14193" operator="containsText" text="No Aplica">
      <formula>NOT(ISERROR(SEARCH("No Aplica",Q56)))</formula>
    </cfRule>
    <cfRule type="containsText" dxfId="13886" priority="14194" operator="containsText" text="Fallido">
      <formula>NOT(ISERROR(SEARCH("Fallido",Q56)))</formula>
    </cfRule>
    <cfRule type="containsText" dxfId="13885" priority="14195" operator="containsText" text="Éxitoso">
      <formula>NOT(ISERROR(SEARCH("Éxitoso",Q56)))</formula>
    </cfRule>
  </conditionalFormatting>
  <conditionalFormatting sqref="R56">
    <cfRule type="containsText" dxfId="13884" priority="14186" operator="containsText" text="No se pudo ejecutar">
      <formula>NOT(ISERROR(SEARCH("No se pudo ejecutar",R56)))</formula>
    </cfRule>
    <cfRule type="containsText" dxfId="13883" priority="14187" operator="containsText" text="Pendiente">
      <formula>NOT(ISERROR(SEARCH("Pendiente",R56)))</formula>
    </cfRule>
    <cfRule type="containsText" dxfId="13882" priority="14188" operator="containsText" text="No Aplica">
      <formula>NOT(ISERROR(SEARCH("No Aplica",R56)))</formula>
    </cfRule>
    <cfRule type="containsText" dxfId="13881" priority="14189" operator="containsText" text="Fallido">
      <formula>NOT(ISERROR(SEARCH("Fallido",R56)))</formula>
    </cfRule>
    <cfRule type="containsText" dxfId="13880" priority="14190" operator="containsText" text="Éxitoso">
      <formula>NOT(ISERROR(SEARCH("Éxitoso",R56)))</formula>
    </cfRule>
  </conditionalFormatting>
  <conditionalFormatting sqref="S56">
    <cfRule type="containsText" dxfId="13879" priority="14181" operator="containsText" text="No se pudo ejecutar">
      <formula>NOT(ISERROR(SEARCH("No se pudo ejecutar",S56)))</formula>
    </cfRule>
    <cfRule type="containsText" dxfId="13878" priority="14182" operator="containsText" text="Pendiente">
      <formula>NOT(ISERROR(SEARCH("Pendiente",S56)))</formula>
    </cfRule>
    <cfRule type="containsText" dxfId="13877" priority="14183" operator="containsText" text="No Aplica">
      <formula>NOT(ISERROR(SEARCH("No Aplica",S56)))</formula>
    </cfRule>
    <cfRule type="containsText" dxfId="13876" priority="14184" operator="containsText" text="Fallido">
      <formula>NOT(ISERROR(SEARCH("Fallido",S56)))</formula>
    </cfRule>
    <cfRule type="containsText" dxfId="13875" priority="14185" operator="containsText" text="Éxitoso">
      <formula>NOT(ISERROR(SEARCH("Éxitoso",S56)))</formula>
    </cfRule>
  </conditionalFormatting>
  <conditionalFormatting sqref="T56">
    <cfRule type="containsText" dxfId="13874" priority="14176" operator="containsText" text="No se pudo ejecutar">
      <formula>NOT(ISERROR(SEARCH("No se pudo ejecutar",T56)))</formula>
    </cfRule>
    <cfRule type="containsText" dxfId="13873" priority="14177" operator="containsText" text="Pendiente">
      <formula>NOT(ISERROR(SEARCH("Pendiente",T56)))</formula>
    </cfRule>
    <cfRule type="containsText" dxfId="13872" priority="14178" operator="containsText" text="No Aplica">
      <formula>NOT(ISERROR(SEARCH("No Aplica",T56)))</formula>
    </cfRule>
    <cfRule type="containsText" dxfId="13871" priority="14179" operator="containsText" text="Fallido">
      <formula>NOT(ISERROR(SEARCH("Fallido",T56)))</formula>
    </cfRule>
    <cfRule type="containsText" dxfId="13870" priority="14180" operator="containsText" text="Éxitoso">
      <formula>NOT(ISERROR(SEARCH("Éxitoso",T56)))</formula>
    </cfRule>
  </conditionalFormatting>
  <conditionalFormatting sqref="U56">
    <cfRule type="containsText" dxfId="13869" priority="14171" operator="containsText" text="No se pudo ejecutar">
      <formula>NOT(ISERROR(SEARCH("No se pudo ejecutar",U56)))</formula>
    </cfRule>
    <cfRule type="containsText" dxfId="13868" priority="14172" operator="containsText" text="Pendiente">
      <formula>NOT(ISERROR(SEARCH("Pendiente",U56)))</formula>
    </cfRule>
    <cfRule type="containsText" dxfId="13867" priority="14173" operator="containsText" text="No Aplica">
      <formula>NOT(ISERROR(SEARCH("No Aplica",U56)))</formula>
    </cfRule>
    <cfRule type="containsText" dxfId="13866" priority="14174" operator="containsText" text="Fallido">
      <formula>NOT(ISERROR(SEARCH("Fallido",U56)))</formula>
    </cfRule>
    <cfRule type="containsText" dxfId="13865" priority="14175" operator="containsText" text="Éxitoso">
      <formula>NOT(ISERROR(SEARCH("Éxitoso",U56)))</formula>
    </cfRule>
  </conditionalFormatting>
  <conditionalFormatting sqref="V56">
    <cfRule type="containsText" dxfId="13864" priority="14166" operator="containsText" text="No se pudo ejecutar">
      <formula>NOT(ISERROR(SEARCH("No se pudo ejecutar",V56)))</formula>
    </cfRule>
    <cfRule type="containsText" dxfId="13863" priority="14167" operator="containsText" text="Pendiente">
      <formula>NOT(ISERROR(SEARCH("Pendiente",V56)))</formula>
    </cfRule>
    <cfRule type="containsText" dxfId="13862" priority="14168" operator="containsText" text="No Aplica">
      <formula>NOT(ISERROR(SEARCH("No Aplica",V56)))</formula>
    </cfRule>
    <cfRule type="containsText" dxfId="13861" priority="14169" operator="containsText" text="Fallido">
      <formula>NOT(ISERROR(SEARCH("Fallido",V56)))</formula>
    </cfRule>
    <cfRule type="containsText" dxfId="13860" priority="14170" operator="containsText" text="Éxitoso">
      <formula>NOT(ISERROR(SEARCH("Éxitoso",V56)))</formula>
    </cfRule>
  </conditionalFormatting>
  <conditionalFormatting sqref="W56">
    <cfRule type="containsText" dxfId="13859" priority="14161" operator="containsText" text="No se pudo ejecutar">
      <formula>NOT(ISERROR(SEARCH("No se pudo ejecutar",W56)))</formula>
    </cfRule>
    <cfRule type="containsText" dxfId="13858" priority="14162" operator="containsText" text="Pendiente">
      <formula>NOT(ISERROR(SEARCH("Pendiente",W56)))</formula>
    </cfRule>
    <cfRule type="containsText" dxfId="13857" priority="14163" operator="containsText" text="No Aplica">
      <formula>NOT(ISERROR(SEARCH("No Aplica",W56)))</formula>
    </cfRule>
    <cfRule type="containsText" dxfId="13856" priority="14164" operator="containsText" text="Fallido">
      <formula>NOT(ISERROR(SEARCH("Fallido",W56)))</formula>
    </cfRule>
    <cfRule type="containsText" dxfId="13855" priority="14165" operator="containsText" text="Éxitoso">
      <formula>NOT(ISERROR(SEARCH("Éxitoso",W56)))</formula>
    </cfRule>
  </conditionalFormatting>
  <conditionalFormatting sqref="M56">
    <cfRule type="containsText" dxfId="13854" priority="14156" operator="containsText" text="No se pudo ejecutar">
      <formula>NOT(ISERROR(SEARCH("No se pudo ejecutar",M56)))</formula>
    </cfRule>
    <cfRule type="containsText" dxfId="13853" priority="14157" operator="containsText" text="Pendiente">
      <formula>NOT(ISERROR(SEARCH("Pendiente",M56)))</formula>
    </cfRule>
    <cfRule type="containsText" dxfId="13852" priority="14158" operator="containsText" text="No Aplica">
      <formula>NOT(ISERROR(SEARCH("No Aplica",M56)))</formula>
    </cfRule>
    <cfRule type="containsText" dxfId="13851" priority="14159" operator="containsText" text="Fallido">
      <formula>NOT(ISERROR(SEARCH("Fallido",M56)))</formula>
    </cfRule>
    <cfRule type="containsText" dxfId="13850" priority="14160" operator="containsText" text="Éxitoso">
      <formula>NOT(ISERROR(SEARCH("Éxitoso",M56)))</formula>
    </cfRule>
  </conditionalFormatting>
  <conditionalFormatting sqref="G56">
    <cfRule type="containsText" dxfId="13849" priority="14153" operator="containsText" text="Bajo">
      <formula>NOT(ISERROR(SEARCH("Bajo",G56)))</formula>
    </cfRule>
    <cfRule type="containsText" dxfId="13848" priority="14154" operator="containsText" text="Medio">
      <formula>NOT(ISERROR(SEARCH("Medio",G56)))</formula>
    </cfRule>
    <cfRule type="containsText" dxfId="13847" priority="14155" operator="containsText" text="Alto">
      <formula>NOT(ISERROR(SEARCH("Alto",G56)))</formula>
    </cfRule>
  </conditionalFormatting>
  <conditionalFormatting sqref="N57">
    <cfRule type="containsText" dxfId="13846" priority="14148" operator="containsText" text="No se pudo ejecutar">
      <formula>NOT(ISERROR(SEARCH("No se pudo ejecutar",N57)))</formula>
    </cfRule>
    <cfRule type="containsText" dxfId="13845" priority="14149" operator="containsText" text="Pendiente">
      <formula>NOT(ISERROR(SEARCH("Pendiente",N57)))</formula>
    </cfRule>
    <cfRule type="containsText" dxfId="13844" priority="14150" operator="containsText" text="No Aplica">
      <formula>NOT(ISERROR(SEARCH("No Aplica",N57)))</formula>
    </cfRule>
    <cfRule type="containsText" dxfId="13843" priority="14151" operator="containsText" text="Fallido">
      <formula>NOT(ISERROR(SEARCH("Fallido",N57)))</formula>
    </cfRule>
    <cfRule type="containsText" dxfId="13842" priority="14152" operator="containsText" text="Éxitoso">
      <formula>NOT(ISERROR(SEARCH("Éxitoso",N57)))</formula>
    </cfRule>
  </conditionalFormatting>
  <conditionalFormatting sqref="O57">
    <cfRule type="containsText" dxfId="13841" priority="14143" operator="containsText" text="No se pudo ejecutar">
      <formula>NOT(ISERROR(SEARCH("No se pudo ejecutar",O57)))</formula>
    </cfRule>
    <cfRule type="containsText" dxfId="13840" priority="14144" operator="containsText" text="Pendiente">
      <formula>NOT(ISERROR(SEARCH("Pendiente",O57)))</formula>
    </cfRule>
    <cfRule type="containsText" dxfId="13839" priority="14145" operator="containsText" text="No Aplica">
      <formula>NOT(ISERROR(SEARCH("No Aplica",O57)))</formula>
    </cfRule>
    <cfRule type="containsText" dxfId="13838" priority="14146" operator="containsText" text="Fallido">
      <formula>NOT(ISERROR(SEARCH("Fallido",O57)))</formula>
    </cfRule>
    <cfRule type="containsText" dxfId="13837" priority="14147" operator="containsText" text="Éxitoso">
      <formula>NOT(ISERROR(SEARCH("Éxitoso",O57)))</formula>
    </cfRule>
  </conditionalFormatting>
  <conditionalFormatting sqref="P57">
    <cfRule type="containsText" dxfId="13836" priority="14138" operator="containsText" text="No se pudo ejecutar">
      <formula>NOT(ISERROR(SEARCH("No se pudo ejecutar",P57)))</formula>
    </cfRule>
    <cfRule type="containsText" dxfId="13835" priority="14139" operator="containsText" text="Pendiente">
      <formula>NOT(ISERROR(SEARCH("Pendiente",P57)))</formula>
    </cfRule>
    <cfRule type="containsText" dxfId="13834" priority="14140" operator="containsText" text="No Aplica">
      <formula>NOT(ISERROR(SEARCH("No Aplica",P57)))</formula>
    </cfRule>
    <cfRule type="containsText" dxfId="13833" priority="14141" operator="containsText" text="Fallido">
      <formula>NOT(ISERROR(SEARCH("Fallido",P57)))</formula>
    </cfRule>
    <cfRule type="containsText" dxfId="13832" priority="14142" operator="containsText" text="Éxitoso">
      <formula>NOT(ISERROR(SEARCH("Éxitoso",P57)))</formula>
    </cfRule>
  </conditionalFormatting>
  <conditionalFormatting sqref="Q57">
    <cfRule type="containsText" dxfId="13831" priority="14133" operator="containsText" text="No se pudo ejecutar">
      <formula>NOT(ISERROR(SEARCH("No se pudo ejecutar",Q57)))</formula>
    </cfRule>
    <cfRule type="containsText" dxfId="13830" priority="14134" operator="containsText" text="Pendiente">
      <formula>NOT(ISERROR(SEARCH("Pendiente",Q57)))</formula>
    </cfRule>
    <cfRule type="containsText" dxfId="13829" priority="14135" operator="containsText" text="No Aplica">
      <formula>NOT(ISERROR(SEARCH("No Aplica",Q57)))</formula>
    </cfRule>
    <cfRule type="containsText" dxfId="13828" priority="14136" operator="containsText" text="Fallido">
      <formula>NOT(ISERROR(SEARCH("Fallido",Q57)))</formula>
    </cfRule>
    <cfRule type="containsText" dxfId="13827" priority="14137" operator="containsText" text="Éxitoso">
      <formula>NOT(ISERROR(SEARCH("Éxitoso",Q57)))</formula>
    </cfRule>
  </conditionalFormatting>
  <conditionalFormatting sqref="R57">
    <cfRule type="containsText" dxfId="13826" priority="14128" operator="containsText" text="No se pudo ejecutar">
      <formula>NOT(ISERROR(SEARCH("No se pudo ejecutar",R57)))</formula>
    </cfRule>
    <cfRule type="containsText" dxfId="13825" priority="14129" operator="containsText" text="Pendiente">
      <formula>NOT(ISERROR(SEARCH("Pendiente",R57)))</formula>
    </cfRule>
    <cfRule type="containsText" dxfId="13824" priority="14130" operator="containsText" text="No Aplica">
      <formula>NOT(ISERROR(SEARCH("No Aplica",R57)))</formula>
    </cfRule>
    <cfRule type="containsText" dxfId="13823" priority="14131" operator="containsText" text="Fallido">
      <formula>NOT(ISERROR(SEARCH("Fallido",R57)))</formula>
    </cfRule>
    <cfRule type="containsText" dxfId="13822" priority="14132" operator="containsText" text="Éxitoso">
      <formula>NOT(ISERROR(SEARCH("Éxitoso",R57)))</formula>
    </cfRule>
  </conditionalFormatting>
  <conditionalFormatting sqref="S57">
    <cfRule type="containsText" dxfId="13821" priority="14123" operator="containsText" text="No se pudo ejecutar">
      <formula>NOT(ISERROR(SEARCH("No se pudo ejecutar",S57)))</formula>
    </cfRule>
    <cfRule type="containsText" dxfId="13820" priority="14124" operator="containsText" text="Pendiente">
      <formula>NOT(ISERROR(SEARCH("Pendiente",S57)))</formula>
    </cfRule>
    <cfRule type="containsText" dxfId="13819" priority="14125" operator="containsText" text="No Aplica">
      <formula>NOT(ISERROR(SEARCH("No Aplica",S57)))</formula>
    </cfRule>
    <cfRule type="containsText" dxfId="13818" priority="14126" operator="containsText" text="Fallido">
      <formula>NOT(ISERROR(SEARCH("Fallido",S57)))</formula>
    </cfRule>
    <cfRule type="containsText" dxfId="13817" priority="14127" operator="containsText" text="Éxitoso">
      <formula>NOT(ISERROR(SEARCH("Éxitoso",S57)))</formula>
    </cfRule>
  </conditionalFormatting>
  <conditionalFormatting sqref="T57">
    <cfRule type="containsText" dxfId="13816" priority="14118" operator="containsText" text="No se pudo ejecutar">
      <formula>NOT(ISERROR(SEARCH("No se pudo ejecutar",T57)))</formula>
    </cfRule>
    <cfRule type="containsText" dxfId="13815" priority="14119" operator="containsText" text="Pendiente">
      <formula>NOT(ISERROR(SEARCH("Pendiente",T57)))</formula>
    </cfRule>
    <cfRule type="containsText" dxfId="13814" priority="14120" operator="containsText" text="No Aplica">
      <formula>NOT(ISERROR(SEARCH("No Aplica",T57)))</formula>
    </cfRule>
    <cfRule type="containsText" dxfId="13813" priority="14121" operator="containsText" text="Fallido">
      <formula>NOT(ISERROR(SEARCH("Fallido",T57)))</formula>
    </cfRule>
    <cfRule type="containsText" dxfId="13812" priority="14122" operator="containsText" text="Éxitoso">
      <formula>NOT(ISERROR(SEARCH("Éxitoso",T57)))</formula>
    </cfRule>
  </conditionalFormatting>
  <conditionalFormatting sqref="U57">
    <cfRule type="containsText" dxfId="13811" priority="14113" operator="containsText" text="No se pudo ejecutar">
      <formula>NOT(ISERROR(SEARCH("No se pudo ejecutar",U57)))</formula>
    </cfRule>
    <cfRule type="containsText" dxfId="13810" priority="14114" operator="containsText" text="Pendiente">
      <formula>NOT(ISERROR(SEARCH("Pendiente",U57)))</formula>
    </cfRule>
    <cfRule type="containsText" dxfId="13809" priority="14115" operator="containsText" text="No Aplica">
      <formula>NOT(ISERROR(SEARCH("No Aplica",U57)))</formula>
    </cfRule>
    <cfRule type="containsText" dxfId="13808" priority="14116" operator="containsText" text="Fallido">
      <formula>NOT(ISERROR(SEARCH("Fallido",U57)))</formula>
    </cfRule>
    <cfRule type="containsText" dxfId="13807" priority="14117" operator="containsText" text="Éxitoso">
      <formula>NOT(ISERROR(SEARCH("Éxitoso",U57)))</formula>
    </cfRule>
  </conditionalFormatting>
  <conditionalFormatting sqref="V57">
    <cfRule type="containsText" dxfId="13806" priority="14108" operator="containsText" text="No se pudo ejecutar">
      <formula>NOT(ISERROR(SEARCH("No se pudo ejecutar",V57)))</formula>
    </cfRule>
    <cfRule type="containsText" dxfId="13805" priority="14109" operator="containsText" text="Pendiente">
      <formula>NOT(ISERROR(SEARCH("Pendiente",V57)))</formula>
    </cfRule>
    <cfRule type="containsText" dxfId="13804" priority="14110" operator="containsText" text="No Aplica">
      <formula>NOT(ISERROR(SEARCH("No Aplica",V57)))</formula>
    </cfRule>
    <cfRule type="containsText" dxfId="13803" priority="14111" operator="containsText" text="Fallido">
      <formula>NOT(ISERROR(SEARCH("Fallido",V57)))</formula>
    </cfRule>
    <cfRule type="containsText" dxfId="13802" priority="14112" operator="containsText" text="Éxitoso">
      <formula>NOT(ISERROR(SEARCH("Éxitoso",V57)))</formula>
    </cfRule>
  </conditionalFormatting>
  <conditionalFormatting sqref="W57">
    <cfRule type="containsText" dxfId="13801" priority="14103" operator="containsText" text="No se pudo ejecutar">
      <formula>NOT(ISERROR(SEARCH("No se pudo ejecutar",W57)))</formula>
    </cfRule>
    <cfRule type="containsText" dxfId="13800" priority="14104" operator="containsText" text="Pendiente">
      <formula>NOT(ISERROR(SEARCH("Pendiente",W57)))</formula>
    </cfRule>
    <cfRule type="containsText" dxfId="13799" priority="14105" operator="containsText" text="No Aplica">
      <formula>NOT(ISERROR(SEARCH("No Aplica",W57)))</formula>
    </cfRule>
    <cfRule type="containsText" dxfId="13798" priority="14106" operator="containsText" text="Fallido">
      <formula>NOT(ISERROR(SEARCH("Fallido",W57)))</formula>
    </cfRule>
    <cfRule type="containsText" dxfId="13797" priority="14107" operator="containsText" text="Éxitoso">
      <formula>NOT(ISERROR(SEARCH("Éxitoso",W57)))</formula>
    </cfRule>
  </conditionalFormatting>
  <conditionalFormatting sqref="M57">
    <cfRule type="containsText" dxfId="13796" priority="14098" operator="containsText" text="No se pudo ejecutar">
      <formula>NOT(ISERROR(SEARCH("No se pudo ejecutar",M57)))</formula>
    </cfRule>
    <cfRule type="containsText" dxfId="13795" priority="14099" operator="containsText" text="Pendiente">
      <formula>NOT(ISERROR(SEARCH("Pendiente",M57)))</formula>
    </cfRule>
    <cfRule type="containsText" dxfId="13794" priority="14100" operator="containsText" text="No Aplica">
      <formula>NOT(ISERROR(SEARCH("No Aplica",M57)))</formula>
    </cfRule>
    <cfRule type="containsText" dxfId="13793" priority="14101" operator="containsText" text="Fallido">
      <formula>NOT(ISERROR(SEARCH("Fallido",M57)))</formula>
    </cfRule>
    <cfRule type="containsText" dxfId="13792" priority="14102" operator="containsText" text="Éxitoso">
      <formula>NOT(ISERROR(SEARCH("Éxitoso",M57)))</formula>
    </cfRule>
  </conditionalFormatting>
  <conditionalFormatting sqref="G57:G59">
    <cfRule type="containsText" dxfId="13791" priority="14095" operator="containsText" text="Bajo">
      <formula>NOT(ISERROR(SEARCH("Bajo",G57)))</formula>
    </cfRule>
    <cfRule type="containsText" dxfId="13790" priority="14096" operator="containsText" text="Medio">
      <formula>NOT(ISERROR(SEARCH("Medio",G57)))</formula>
    </cfRule>
    <cfRule type="containsText" dxfId="13789" priority="14097" operator="containsText" text="Alto">
      <formula>NOT(ISERROR(SEARCH("Alto",G57)))</formula>
    </cfRule>
  </conditionalFormatting>
  <conditionalFormatting sqref="N58">
    <cfRule type="containsText" dxfId="13788" priority="14090" operator="containsText" text="No se pudo ejecutar">
      <formula>NOT(ISERROR(SEARCH("No se pudo ejecutar",N58)))</formula>
    </cfRule>
    <cfRule type="containsText" dxfId="13787" priority="14091" operator="containsText" text="Pendiente">
      <formula>NOT(ISERROR(SEARCH("Pendiente",N58)))</formula>
    </cfRule>
    <cfRule type="containsText" dxfId="13786" priority="14092" operator="containsText" text="No Aplica">
      <formula>NOT(ISERROR(SEARCH("No Aplica",N58)))</formula>
    </cfRule>
    <cfRule type="containsText" dxfId="13785" priority="14093" operator="containsText" text="Fallido">
      <formula>NOT(ISERROR(SEARCH("Fallido",N58)))</formula>
    </cfRule>
    <cfRule type="containsText" dxfId="13784" priority="14094" operator="containsText" text="Éxitoso">
      <formula>NOT(ISERROR(SEARCH("Éxitoso",N58)))</formula>
    </cfRule>
  </conditionalFormatting>
  <conditionalFormatting sqref="O58">
    <cfRule type="containsText" dxfId="13783" priority="14085" operator="containsText" text="No se pudo ejecutar">
      <formula>NOT(ISERROR(SEARCH("No se pudo ejecutar",O58)))</formula>
    </cfRule>
    <cfRule type="containsText" dxfId="13782" priority="14086" operator="containsText" text="Pendiente">
      <formula>NOT(ISERROR(SEARCH("Pendiente",O58)))</formula>
    </cfRule>
    <cfRule type="containsText" dxfId="13781" priority="14087" operator="containsText" text="No Aplica">
      <formula>NOT(ISERROR(SEARCH("No Aplica",O58)))</formula>
    </cfRule>
    <cfRule type="containsText" dxfId="13780" priority="14088" operator="containsText" text="Fallido">
      <formula>NOT(ISERROR(SEARCH("Fallido",O58)))</formula>
    </cfRule>
    <cfRule type="containsText" dxfId="13779" priority="14089" operator="containsText" text="Éxitoso">
      <formula>NOT(ISERROR(SEARCH("Éxitoso",O58)))</formula>
    </cfRule>
  </conditionalFormatting>
  <conditionalFormatting sqref="P58">
    <cfRule type="containsText" dxfId="13778" priority="14080" operator="containsText" text="No se pudo ejecutar">
      <formula>NOT(ISERROR(SEARCH("No se pudo ejecutar",P58)))</formula>
    </cfRule>
    <cfRule type="containsText" dxfId="13777" priority="14081" operator="containsText" text="Pendiente">
      <formula>NOT(ISERROR(SEARCH("Pendiente",P58)))</formula>
    </cfRule>
    <cfRule type="containsText" dxfId="13776" priority="14082" operator="containsText" text="No Aplica">
      <formula>NOT(ISERROR(SEARCH("No Aplica",P58)))</formula>
    </cfRule>
    <cfRule type="containsText" dxfId="13775" priority="14083" operator="containsText" text="Fallido">
      <formula>NOT(ISERROR(SEARCH("Fallido",P58)))</formula>
    </cfRule>
    <cfRule type="containsText" dxfId="13774" priority="14084" operator="containsText" text="Éxitoso">
      <formula>NOT(ISERROR(SEARCH("Éxitoso",P58)))</formula>
    </cfRule>
  </conditionalFormatting>
  <conditionalFormatting sqref="Q58">
    <cfRule type="containsText" dxfId="13773" priority="14075" operator="containsText" text="No se pudo ejecutar">
      <formula>NOT(ISERROR(SEARCH("No se pudo ejecutar",Q58)))</formula>
    </cfRule>
    <cfRule type="containsText" dxfId="13772" priority="14076" operator="containsText" text="Pendiente">
      <formula>NOT(ISERROR(SEARCH("Pendiente",Q58)))</formula>
    </cfRule>
    <cfRule type="containsText" dxfId="13771" priority="14077" operator="containsText" text="No Aplica">
      <formula>NOT(ISERROR(SEARCH("No Aplica",Q58)))</formula>
    </cfRule>
    <cfRule type="containsText" dxfId="13770" priority="14078" operator="containsText" text="Fallido">
      <formula>NOT(ISERROR(SEARCH("Fallido",Q58)))</formula>
    </cfRule>
    <cfRule type="containsText" dxfId="13769" priority="14079" operator="containsText" text="Éxitoso">
      <formula>NOT(ISERROR(SEARCH("Éxitoso",Q58)))</formula>
    </cfRule>
  </conditionalFormatting>
  <conditionalFormatting sqref="R58">
    <cfRule type="containsText" dxfId="13768" priority="14070" operator="containsText" text="No se pudo ejecutar">
      <formula>NOT(ISERROR(SEARCH("No se pudo ejecutar",R58)))</formula>
    </cfRule>
    <cfRule type="containsText" dxfId="13767" priority="14071" operator="containsText" text="Pendiente">
      <formula>NOT(ISERROR(SEARCH("Pendiente",R58)))</formula>
    </cfRule>
    <cfRule type="containsText" dxfId="13766" priority="14072" operator="containsText" text="No Aplica">
      <formula>NOT(ISERROR(SEARCH("No Aplica",R58)))</formula>
    </cfRule>
    <cfRule type="containsText" dxfId="13765" priority="14073" operator="containsText" text="Fallido">
      <formula>NOT(ISERROR(SEARCH("Fallido",R58)))</formula>
    </cfRule>
    <cfRule type="containsText" dxfId="13764" priority="14074" operator="containsText" text="Éxitoso">
      <formula>NOT(ISERROR(SEARCH("Éxitoso",R58)))</formula>
    </cfRule>
  </conditionalFormatting>
  <conditionalFormatting sqref="S58">
    <cfRule type="containsText" dxfId="13763" priority="14065" operator="containsText" text="No se pudo ejecutar">
      <formula>NOT(ISERROR(SEARCH("No se pudo ejecutar",S58)))</formula>
    </cfRule>
    <cfRule type="containsText" dxfId="13762" priority="14066" operator="containsText" text="Pendiente">
      <formula>NOT(ISERROR(SEARCH("Pendiente",S58)))</formula>
    </cfRule>
    <cfRule type="containsText" dxfId="13761" priority="14067" operator="containsText" text="No Aplica">
      <formula>NOT(ISERROR(SEARCH("No Aplica",S58)))</formula>
    </cfRule>
    <cfRule type="containsText" dxfId="13760" priority="14068" operator="containsText" text="Fallido">
      <formula>NOT(ISERROR(SEARCH("Fallido",S58)))</formula>
    </cfRule>
    <cfRule type="containsText" dxfId="13759" priority="14069" operator="containsText" text="Éxitoso">
      <formula>NOT(ISERROR(SEARCH("Éxitoso",S58)))</formula>
    </cfRule>
  </conditionalFormatting>
  <conditionalFormatting sqref="T58">
    <cfRule type="containsText" dxfId="13758" priority="14060" operator="containsText" text="No se pudo ejecutar">
      <formula>NOT(ISERROR(SEARCH("No se pudo ejecutar",T58)))</formula>
    </cfRule>
    <cfRule type="containsText" dxfId="13757" priority="14061" operator="containsText" text="Pendiente">
      <formula>NOT(ISERROR(SEARCH("Pendiente",T58)))</formula>
    </cfRule>
    <cfRule type="containsText" dxfId="13756" priority="14062" operator="containsText" text="No Aplica">
      <formula>NOT(ISERROR(SEARCH("No Aplica",T58)))</formula>
    </cfRule>
    <cfRule type="containsText" dxfId="13755" priority="14063" operator="containsText" text="Fallido">
      <formula>NOT(ISERROR(SEARCH("Fallido",T58)))</formula>
    </cfRule>
    <cfRule type="containsText" dxfId="13754" priority="14064" operator="containsText" text="Éxitoso">
      <formula>NOT(ISERROR(SEARCH("Éxitoso",T58)))</formula>
    </cfRule>
  </conditionalFormatting>
  <conditionalFormatting sqref="U58">
    <cfRule type="containsText" dxfId="13753" priority="14055" operator="containsText" text="No se pudo ejecutar">
      <formula>NOT(ISERROR(SEARCH("No se pudo ejecutar",U58)))</formula>
    </cfRule>
    <cfRule type="containsText" dxfId="13752" priority="14056" operator="containsText" text="Pendiente">
      <formula>NOT(ISERROR(SEARCH("Pendiente",U58)))</formula>
    </cfRule>
    <cfRule type="containsText" dxfId="13751" priority="14057" operator="containsText" text="No Aplica">
      <formula>NOT(ISERROR(SEARCH("No Aplica",U58)))</formula>
    </cfRule>
    <cfRule type="containsText" dxfId="13750" priority="14058" operator="containsText" text="Fallido">
      <formula>NOT(ISERROR(SEARCH("Fallido",U58)))</formula>
    </cfRule>
    <cfRule type="containsText" dxfId="13749" priority="14059" operator="containsText" text="Éxitoso">
      <formula>NOT(ISERROR(SEARCH("Éxitoso",U58)))</formula>
    </cfRule>
  </conditionalFormatting>
  <conditionalFormatting sqref="V58">
    <cfRule type="containsText" dxfId="13748" priority="14050" operator="containsText" text="No se pudo ejecutar">
      <formula>NOT(ISERROR(SEARCH("No se pudo ejecutar",V58)))</formula>
    </cfRule>
    <cfRule type="containsText" dxfId="13747" priority="14051" operator="containsText" text="Pendiente">
      <formula>NOT(ISERROR(SEARCH("Pendiente",V58)))</formula>
    </cfRule>
    <cfRule type="containsText" dxfId="13746" priority="14052" operator="containsText" text="No Aplica">
      <formula>NOT(ISERROR(SEARCH("No Aplica",V58)))</formula>
    </cfRule>
    <cfRule type="containsText" dxfId="13745" priority="14053" operator="containsText" text="Fallido">
      <formula>NOT(ISERROR(SEARCH("Fallido",V58)))</formula>
    </cfRule>
    <cfRule type="containsText" dxfId="13744" priority="14054" operator="containsText" text="Éxitoso">
      <formula>NOT(ISERROR(SEARCH("Éxitoso",V58)))</formula>
    </cfRule>
  </conditionalFormatting>
  <conditionalFormatting sqref="W58">
    <cfRule type="containsText" dxfId="13743" priority="14045" operator="containsText" text="No se pudo ejecutar">
      <formula>NOT(ISERROR(SEARCH("No se pudo ejecutar",W58)))</formula>
    </cfRule>
    <cfRule type="containsText" dxfId="13742" priority="14046" operator="containsText" text="Pendiente">
      <formula>NOT(ISERROR(SEARCH("Pendiente",W58)))</formula>
    </cfRule>
    <cfRule type="containsText" dxfId="13741" priority="14047" operator="containsText" text="No Aplica">
      <formula>NOT(ISERROR(SEARCH("No Aplica",W58)))</formula>
    </cfRule>
    <cfRule type="containsText" dxfId="13740" priority="14048" operator="containsText" text="Fallido">
      <formula>NOT(ISERROR(SEARCH("Fallido",W58)))</formula>
    </cfRule>
    <cfRule type="containsText" dxfId="13739" priority="14049" operator="containsText" text="Éxitoso">
      <formula>NOT(ISERROR(SEARCH("Éxitoso",W58)))</formula>
    </cfRule>
  </conditionalFormatting>
  <conditionalFormatting sqref="M58">
    <cfRule type="containsText" dxfId="13738" priority="14040" operator="containsText" text="No se pudo ejecutar">
      <formula>NOT(ISERROR(SEARCH("No se pudo ejecutar",M58)))</formula>
    </cfRule>
    <cfRule type="containsText" dxfId="13737" priority="14041" operator="containsText" text="Pendiente">
      <formula>NOT(ISERROR(SEARCH("Pendiente",M58)))</formula>
    </cfRule>
    <cfRule type="containsText" dxfId="13736" priority="14042" operator="containsText" text="No Aplica">
      <formula>NOT(ISERROR(SEARCH("No Aplica",M58)))</formula>
    </cfRule>
    <cfRule type="containsText" dxfId="13735" priority="14043" operator="containsText" text="Fallido">
      <formula>NOT(ISERROR(SEARCH("Fallido",M58)))</formula>
    </cfRule>
    <cfRule type="containsText" dxfId="13734" priority="14044" operator="containsText" text="Éxitoso">
      <formula>NOT(ISERROR(SEARCH("Éxitoso",M58)))</formula>
    </cfRule>
  </conditionalFormatting>
  <conditionalFormatting sqref="N59">
    <cfRule type="containsText" dxfId="13733" priority="14032" operator="containsText" text="No se pudo ejecutar">
      <formula>NOT(ISERROR(SEARCH("No se pudo ejecutar",N59)))</formula>
    </cfRule>
    <cfRule type="containsText" dxfId="13732" priority="14033" operator="containsText" text="Pendiente">
      <formula>NOT(ISERROR(SEARCH("Pendiente",N59)))</formula>
    </cfRule>
    <cfRule type="containsText" dxfId="13731" priority="14034" operator="containsText" text="No Aplica">
      <formula>NOT(ISERROR(SEARCH("No Aplica",N59)))</formula>
    </cfRule>
    <cfRule type="containsText" dxfId="13730" priority="14035" operator="containsText" text="Fallido">
      <formula>NOT(ISERROR(SEARCH("Fallido",N59)))</formula>
    </cfRule>
    <cfRule type="containsText" dxfId="13729" priority="14036" operator="containsText" text="Éxitoso">
      <formula>NOT(ISERROR(SEARCH("Éxitoso",N59)))</formula>
    </cfRule>
  </conditionalFormatting>
  <conditionalFormatting sqref="O59">
    <cfRule type="containsText" dxfId="13728" priority="14027" operator="containsText" text="No se pudo ejecutar">
      <formula>NOT(ISERROR(SEARCH("No se pudo ejecutar",O59)))</formula>
    </cfRule>
    <cfRule type="containsText" dxfId="13727" priority="14028" operator="containsText" text="Pendiente">
      <formula>NOT(ISERROR(SEARCH("Pendiente",O59)))</formula>
    </cfRule>
    <cfRule type="containsText" dxfId="13726" priority="14029" operator="containsText" text="No Aplica">
      <formula>NOT(ISERROR(SEARCH("No Aplica",O59)))</formula>
    </cfRule>
    <cfRule type="containsText" dxfId="13725" priority="14030" operator="containsText" text="Fallido">
      <formula>NOT(ISERROR(SEARCH("Fallido",O59)))</formula>
    </cfRule>
    <cfRule type="containsText" dxfId="13724" priority="14031" operator="containsText" text="Éxitoso">
      <formula>NOT(ISERROR(SEARCH("Éxitoso",O59)))</formula>
    </cfRule>
  </conditionalFormatting>
  <conditionalFormatting sqref="P59">
    <cfRule type="containsText" dxfId="13723" priority="14022" operator="containsText" text="No se pudo ejecutar">
      <formula>NOT(ISERROR(SEARCH("No se pudo ejecutar",P59)))</formula>
    </cfRule>
    <cfRule type="containsText" dxfId="13722" priority="14023" operator="containsText" text="Pendiente">
      <formula>NOT(ISERROR(SEARCH("Pendiente",P59)))</formula>
    </cfRule>
    <cfRule type="containsText" dxfId="13721" priority="14024" operator="containsText" text="No Aplica">
      <formula>NOT(ISERROR(SEARCH("No Aplica",P59)))</formula>
    </cfRule>
    <cfRule type="containsText" dxfId="13720" priority="14025" operator="containsText" text="Fallido">
      <formula>NOT(ISERROR(SEARCH("Fallido",P59)))</formula>
    </cfRule>
    <cfRule type="containsText" dxfId="13719" priority="14026" operator="containsText" text="Éxitoso">
      <formula>NOT(ISERROR(SEARCH("Éxitoso",P59)))</formula>
    </cfRule>
  </conditionalFormatting>
  <conditionalFormatting sqref="Q59">
    <cfRule type="containsText" dxfId="13718" priority="14017" operator="containsText" text="No se pudo ejecutar">
      <formula>NOT(ISERROR(SEARCH("No se pudo ejecutar",Q59)))</formula>
    </cfRule>
    <cfRule type="containsText" dxfId="13717" priority="14018" operator="containsText" text="Pendiente">
      <formula>NOT(ISERROR(SEARCH("Pendiente",Q59)))</formula>
    </cfRule>
    <cfRule type="containsText" dxfId="13716" priority="14019" operator="containsText" text="No Aplica">
      <formula>NOT(ISERROR(SEARCH("No Aplica",Q59)))</formula>
    </cfRule>
    <cfRule type="containsText" dxfId="13715" priority="14020" operator="containsText" text="Fallido">
      <formula>NOT(ISERROR(SEARCH("Fallido",Q59)))</formula>
    </cfRule>
    <cfRule type="containsText" dxfId="13714" priority="14021" operator="containsText" text="Éxitoso">
      <formula>NOT(ISERROR(SEARCH("Éxitoso",Q59)))</formula>
    </cfRule>
  </conditionalFormatting>
  <conditionalFormatting sqref="R59">
    <cfRule type="containsText" dxfId="13713" priority="14012" operator="containsText" text="No se pudo ejecutar">
      <formula>NOT(ISERROR(SEARCH("No se pudo ejecutar",R59)))</formula>
    </cfRule>
    <cfRule type="containsText" dxfId="13712" priority="14013" operator="containsText" text="Pendiente">
      <formula>NOT(ISERROR(SEARCH("Pendiente",R59)))</formula>
    </cfRule>
    <cfRule type="containsText" dxfId="13711" priority="14014" operator="containsText" text="No Aplica">
      <formula>NOT(ISERROR(SEARCH("No Aplica",R59)))</formula>
    </cfRule>
    <cfRule type="containsText" dxfId="13710" priority="14015" operator="containsText" text="Fallido">
      <formula>NOT(ISERROR(SEARCH("Fallido",R59)))</formula>
    </cfRule>
    <cfRule type="containsText" dxfId="13709" priority="14016" operator="containsText" text="Éxitoso">
      <formula>NOT(ISERROR(SEARCH("Éxitoso",R59)))</formula>
    </cfRule>
  </conditionalFormatting>
  <conditionalFormatting sqref="S59">
    <cfRule type="containsText" dxfId="13708" priority="14007" operator="containsText" text="No se pudo ejecutar">
      <formula>NOT(ISERROR(SEARCH("No se pudo ejecutar",S59)))</formula>
    </cfRule>
    <cfRule type="containsText" dxfId="13707" priority="14008" operator="containsText" text="Pendiente">
      <formula>NOT(ISERROR(SEARCH("Pendiente",S59)))</formula>
    </cfRule>
    <cfRule type="containsText" dxfId="13706" priority="14009" operator="containsText" text="No Aplica">
      <formula>NOT(ISERROR(SEARCH("No Aplica",S59)))</formula>
    </cfRule>
    <cfRule type="containsText" dxfId="13705" priority="14010" operator="containsText" text="Fallido">
      <formula>NOT(ISERROR(SEARCH("Fallido",S59)))</formula>
    </cfRule>
    <cfRule type="containsText" dxfId="13704" priority="14011" operator="containsText" text="Éxitoso">
      <formula>NOT(ISERROR(SEARCH("Éxitoso",S59)))</formula>
    </cfRule>
  </conditionalFormatting>
  <conditionalFormatting sqref="T59">
    <cfRule type="containsText" dxfId="13703" priority="14002" operator="containsText" text="No se pudo ejecutar">
      <formula>NOT(ISERROR(SEARCH("No se pudo ejecutar",T59)))</formula>
    </cfRule>
    <cfRule type="containsText" dxfId="13702" priority="14003" operator="containsText" text="Pendiente">
      <formula>NOT(ISERROR(SEARCH("Pendiente",T59)))</formula>
    </cfRule>
    <cfRule type="containsText" dxfId="13701" priority="14004" operator="containsText" text="No Aplica">
      <formula>NOT(ISERROR(SEARCH("No Aplica",T59)))</formula>
    </cfRule>
    <cfRule type="containsText" dxfId="13700" priority="14005" operator="containsText" text="Fallido">
      <formula>NOT(ISERROR(SEARCH("Fallido",T59)))</formula>
    </cfRule>
    <cfRule type="containsText" dxfId="13699" priority="14006" operator="containsText" text="Éxitoso">
      <formula>NOT(ISERROR(SEARCH("Éxitoso",T59)))</formula>
    </cfRule>
  </conditionalFormatting>
  <conditionalFormatting sqref="U59">
    <cfRule type="containsText" dxfId="13698" priority="13997" operator="containsText" text="No se pudo ejecutar">
      <formula>NOT(ISERROR(SEARCH("No se pudo ejecutar",U59)))</formula>
    </cfRule>
    <cfRule type="containsText" dxfId="13697" priority="13998" operator="containsText" text="Pendiente">
      <formula>NOT(ISERROR(SEARCH("Pendiente",U59)))</formula>
    </cfRule>
    <cfRule type="containsText" dxfId="13696" priority="13999" operator="containsText" text="No Aplica">
      <formula>NOT(ISERROR(SEARCH("No Aplica",U59)))</formula>
    </cfRule>
    <cfRule type="containsText" dxfId="13695" priority="14000" operator="containsText" text="Fallido">
      <formula>NOT(ISERROR(SEARCH("Fallido",U59)))</formula>
    </cfRule>
    <cfRule type="containsText" dxfId="13694" priority="14001" operator="containsText" text="Éxitoso">
      <formula>NOT(ISERROR(SEARCH("Éxitoso",U59)))</formula>
    </cfRule>
  </conditionalFormatting>
  <conditionalFormatting sqref="V59">
    <cfRule type="containsText" dxfId="13693" priority="13992" operator="containsText" text="No se pudo ejecutar">
      <formula>NOT(ISERROR(SEARCH("No se pudo ejecutar",V59)))</formula>
    </cfRule>
    <cfRule type="containsText" dxfId="13692" priority="13993" operator="containsText" text="Pendiente">
      <formula>NOT(ISERROR(SEARCH("Pendiente",V59)))</formula>
    </cfRule>
    <cfRule type="containsText" dxfId="13691" priority="13994" operator="containsText" text="No Aplica">
      <formula>NOT(ISERROR(SEARCH("No Aplica",V59)))</formula>
    </cfRule>
    <cfRule type="containsText" dxfId="13690" priority="13995" operator="containsText" text="Fallido">
      <formula>NOT(ISERROR(SEARCH("Fallido",V59)))</formula>
    </cfRule>
    <cfRule type="containsText" dxfId="13689" priority="13996" operator="containsText" text="Éxitoso">
      <formula>NOT(ISERROR(SEARCH("Éxitoso",V59)))</formula>
    </cfRule>
  </conditionalFormatting>
  <conditionalFormatting sqref="W59">
    <cfRule type="containsText" dxfId="13688" priority="13987" operator="containsText" text="No se pudo ejecutar">
      <formula>NOT(ISERROR(SEARCH("No se pudo ejecutar",W59)))</formula>
    </cfRule>
    <cfRule type="containsText" dxfId="13687" priority="13988" operator="containsText" text="Pendiente">
      <formula>NOT(ISERROR(SEARCH("Pendiente",W59)))</formula>
    </cfRule>
    <cfRule type="containsText" dxfId="13686" priority="13989" operator="containsText" text="No Aplica">
      <formula>NOT(ISERROR(SEARCH("No Aplica",W59)))</formula>
    </cfRule>
    <cfRule type="containsText" dxfId="13685" priority="13990" operator="containsText" text="Fallido">
      <formula>NOT(ISERROR(SEARCH("Fallido",W59)))</formula>
    </cfRule>
    <cfRule type="containsText" dxfId="13684" priority="13991" operator="containsText" text="Éxitoso">
      <formula>NOT(ISERROR(SEARCH("Éxitoso",W59)))</formula>
    </cfRule>
  </conditionalFormatting>
  <conditionalFormatting sqref="M59">
    <cfRule type="containsText" dxfId="13683" priority="13982" operator="containsText" text="No se pudo ejecutar">
      <formula>NOT(ISERROR(SEARCH("No se pudo ejecutar",M59)))</formula>
    </cfRule>
    <cfRule type="containsText" dxfId="13682" priority="13983" operator="containsText" text="Pendiente">
      <formula>NOT(ISERROR(SEARCH("Pendiente",M59)))</formula>
    </cfRule>
    <cfRule type="containsText" dxfId="13681" priority="13984" operator="containsText" text="No Aplica">
      <formula>NOT(ISERROR(SEARCH("No Aplica",M59)))</formula>
    </cfRule>
    <cfRule type="containsText" dxfId="13680" priority="13985" operator="containsText" text="Fallido">
      <formula>NOT(ISERROR(SEARCH("Fallido",M59)))</formula>
    </cfRule>
    <cfRule type="containsText" dxfId="13679" priority="13986" operator="containsText" text="Éxitoso">
      <formula>NOT(ISERROR(SEARCH("Éxitoso",M59)))</formula>
    </cfRule>
  </conditionalFormatting>
  <conditionalFormatting sqref="N60">
    <cfRule type="containsText" dxfId="13678" priority="13974" operator="containsText" text="No se pudo ejecutar">
      <formula>NOT(ISERROR(SEARCH("No se pudo ejecutar",N60)))</formula>
    </cfRule>
    <cfRule type="containsText" dxfId="13677" priority="13975" operator="containsText" text="Pendiente">
      <formula>NOT(ISERROR(SEARCH("Pendiente",N60)))</formula>
    </cfRule>
    <cfRule type="containsText" dxfId="13676" priority="13976" operator="containsText" text="No Aplica">
      <formula>NOT(ISERROR(SEARCH("No Aplica",N60)))</formula>
    </cfRule>
    <cfRule type="containsText" dxfId="13675" priority="13977" operator="containsText" text="Fallido">
      <formula>NOT(ISERROR(SEARCH("Fallido",N60)))</formula>
    </cfRule>
    <cfRule type="containsText" dxfId="13674" priority="13978" operator="containsText" text="Éxitoso">
      <formula>NOT(ISERROR(SEARCH("Éxitoso",N60)))</formula>
    </cfRule>
  </conditionalFormatting>
  <conditionalFormatting sqref="O60">
    <cfRule type="containsText" dxfId="13673" priority="13969" operator="containsText" text="No se pudo ejecutar">
      <formula>NOT(ISERROR(SEARCH("No se pudo ejecutar",O60)))</formula>
    </cfRule>
    <cfRule type="containsText" dxfId="13672" priority="13970" operator="containsText" text="Pendiente">
      <formula>NOT(ISERROR(SEARCH("Pendiente",O60)))</formula>
    </cfRule>
    <cfRule type="containsText" dxfId="13671" priority="13971" operator="containsText" text="No Aplica">
      <formula>NOT(ISERROR(SEARCH("No Aplica",O60)))</formula>
    </cfRule>
    <cfRule type="containsText" dxfId="13670" priority="13972" operator="containsText" text="Fallido">
      <formula>NOT(ISERROR(SEARCH("Fallido",O60)))</formula>
    </cfRule>
    <cfRule type="containsText" dxfId="13669" priority="13973" operator="containsText" text="Éxitoso">
      <formula>NOT(ISERROR(SEARCH("Éxitoso",O60)))</formula>
    </cfRule>
  </conditionalFormatting>
  <conditionalFormatting sqref="P60">
    <cfRule type="containsText" dxfId="13668" priority="13964" operator="containsText" text="No se pudo ejecutar">
      <formula>NOT(ISERROR(SEARCH("No se pudo ejecutar",P60)))</formula>
    </cfRule>
    <cfRule type="containsText" dxfId="13667" priority="13965" operator="containsText" text="Pendiente">
      <formula>NOT(ISERROR(SEARCH("Pendiente",P60)))</formula>
    </cfRule>
    <cfRule type="containsText" dxfId="13666" priority="13966" operator="containsText" text="No Aplica">
      <formula>NOT(ISERROR(SEARCH("No Aplica",P60)))</formula>
    </cfRule>
    <cfRule type="containsText" dxfId="13665" priority="13967" operator="containsText" text="Fallido">
      <formula>NOT(ISERROR(SEARCH("Fallido",P60)))</formula>
    </cfRule>
    <cfRule type="containsText" dxfId="13664" priority="13968" operator="containsText" text="Éxitoso">
      <formula>NOT(ISERROR(SEARCH("Éxitoso",P60)))</formula>
    </cfRule>
  </conditionalFormatting>
  <conditionalFormatting sqref="Q60">
    <cfRule type="containsText" dxfId="13663" priority="13959" operator="containsText" text="No se pudo ejecutar">
      <formula>NOT(ISERROR(SEARCH("No se pudo ejecutar",Q60)))</formula>
    </cfRule>
    <cfRule type="containsText" dxfId="13662" priority="13960" operator="containsText" text="Pendiente">
      <formula>NOT(ISERROR(SEARCH("Pendiente",Q60)))</formula>
    </cfRule>
    <cfRule type="containsText" dxfId="13661" priority="13961" operator="containsText" text="No Aplica">
      <formula>NOT(ISERROR(SEARCH("No Aplica",Q60)))</formula>
    </cfRule>
    <cfRule type="containsText" dxfId="13660" priority="13962" operator="containsText" text="Fallido">
      <formula>NOT(ISERROR(SEARCH("Fallido",Q60)))</formula>
    </cfRule>
    <cfRule type="containsText" dxfId="13659" priority="13963" operator="containsText" text="Éxitoso">
      <formula>NOT(ISERROR(SEARCH("Éxitoso",Q60)))</formula>
    </cfRule>
  </conditionalFormatting>
  <conditionalFormatting sqref="R60">
    <cfRule type="containsText" dxfId="13658" priority="13954" operator="containsText" text="No se pudo ejecutar">
      <formula>NOT(ISERROR(SEARCH("No se pudo ejecutar",R60)))</formula>
    </cfRule>
    <cfRule type="containsText" dxfId="13657" priority="13955" operator="containsText" text="Pendiente">
      <formula>NOT(ISERROR(SEARCH("Pendiente",R60)))</formula>
    </cfRule>
    <cfRule type="containsText" dxfId="13656" priority="13956" operator="containsText" text="No Aplica">
      <formula>NOT(ISERROR(SEARCH("No Aplica",R60)))</formula>
    </cfRule>
    <cfRule type="containsText" dxfId="13655" priority="13957" operator="containsText" text="Fallido">
      <formula>NOT(ISERROR(SEARCH("Fallido",R60)))</formula>
    </cfRule>
    <cfRule type="containsText" dxfId="13654" priority="13958" operator="containsText" text="Éxitoso">
      <formula>NOT(ISERROR(SEARCH("Éxitoso",R60)))</formula>
    </cfRule>
  </conditionalFormatting>
  <conditionalFormatting sqref="S60">
    <cfRule type="containsText" dxfId="13653" priority="13949" operator="containsText" text="No se pudo ejecutar">
      <formula>NOT(ISERROR(SEARCH("No se pudo ejecutar",S60)))</formula>
    </cfRule>
    <cfRule type="containsText" dxfId="13652" priority="13950" operator="containsText" text="Pendiente">
      <formula>NOT(ISERROR(SEARCH("Pendiente",S60)))</formula>
    </cfRule>
    <cfRule type="containsText" dxfId="13651" priority="13951" operator="containsText" text="No Aplica">
      <formula>NOT(ISERROR(SEARCH("No Aplica",S60)))</formula>
    </cfRule>
    <cfRule type="containsText" dxfId="13650" priority="13952" operator="containsText" text="Fallido">
      <formula>NOT(ISERROR(SEARCH("Fallido",S60)))</formula>
    </cfRule>
    <cfRule type="containsText" dxfId="13649" priority="13953" operator="containsText" text="Éxitoso">
      <formula>NOT(ISERROR(SEARCH("Éxitoso",S60)))</formula>
    </cfRule>
  </conditionalFormatting>
  <conditionalFormatting sqref="T60">
    <cfRule type="containsText" dxfId="13648" priority="13944" operator="containsText" text="No se pudo ejecutar">
      <formula>NOT(ISERROR(SEARCH("No se pudo ejecutar",T60)))</formula>
    </cfRule>
    <cfRule type="containsText" dxfId="13647" priority="13945" operator="containsText" text="Pendiente">
      <formula>NOT(ISERROR(SEARCH("Pendiente",T60)))</formula>
    </cfRule>
    <cfRule type="containsText" dxfId="13646" priority="13946" operator="containsText" text="No Aplica">
      <formula>NOT(ISERROR(SEARCH("No Aplica",T60)))</formula>
    </cfRule>
    <cfRule type="containsText" dxfId="13645" priority="13947" operator="containsText" text="Fallido">
      <formula>NOT(ISERROR(SEARCH("Fallido",T60)))</formula>
    </cfRule>
    <cfRule type="containsText" dxfId="13644" priority="13948" operator="containsText" text="Éxitoso">
      <formula>NOT(ISERROR(SEARCH("Éxitoso",T60)))</formula>
    </cfRule>
  </conditionalFormatting>
  <conditionalFormatting sqref="U60">
    <cfRule type="containsText" dxfId="13643" priority="13939" operator="containsText" text="No se pudo ejecutar">
      <formula>NOT(ISERROR(SEARCH("No se pudo ejecutar",U60)))</formula>
    </cfRule>
    <cfRule type="containsText" dxfId="13642" priority="13940" operator="containsText" text="Pendiente">
      <formula>NOT(ISERROR(SEARCH("Pendiente",U60)))</formula>
    </cfRule>
    <cfRule type="containsText" dxfId="13641" priority="13941" operator="containsText" text="No Aplica">
      <formula>NOT(ISERROR(SEARCH("No Aplica",U60)))</formula>
    </cfRule>
    <cfRule type="containsText" dxfId="13640" priority="13942" operator="containsText" text="Fallido">
      <formula>NOT(ISERROR(SEARCH("Fallido",U60)))</formula>
    </cfRule>
    <cfRule type="containsText" dxfId="13639" priority="13943" operator="containsText" text="Éxitoso">
      <formula>NOT(ISERROR(SEARCH("Éxitoso",U60)))</formula>
    </cfRule>
  </conditionalFormatting>
  <conditionalFormatting sqref="V60">
    <cfRule type="containsText" dxfId="13638" priority="13934" operator="containsText" text="No se pudo ejecutar">
      <formula>NOT(ISERROR(SEARCH("No se pudo ejecutar",V60)))</formula>
    </cfRule>
    <cfRule type="containsText" dxfId="13637" priority="13935" operator="containsText" text="Pendiente">
      <formula>NOT(ISERROR(SEARCH("Pendiente",V60)))</formula>
    </cfRule>
    <cfRule type="containsText" dxfId="13636" priority="13936" operator="containsText" text="No Aplica">
      <formula>NOT(ISERROR(SEARCH("No Aplica",V60)))</formula>
    </cfRule>
    <cfRule type="containsText" dxfId="13635" priority="13937" operator="containsText" text="Fallido">
      <formula>NOT(ISERROR(SEARCH("Fallido",V60)))</formula>
    </cfRule>
    <cfRule type="containsText" dxfId="13634" priority="13938" operator="containsText" text="Éxitoso">
      <formula>NOT(ISERROR(SEARCH("Éxitoso",V60)))</formula>
    </cfRule>
  </conditionalFormatting>
  <conditionalFormatting sqref="W60">
    <cfRule type="containsText" dxfId="13633" priority="13929" operator="containsText" text="No se pudo ejecutar">
      <formula>NOT(ISERROR(SEARCH("No se pudo ejecutar",W60)))</formula>
    </cfRule>
    <cfRule type="containsText" dxfId="13632" priority="13930" operator="containsText" text="Pendiente">
      <formula>NOT(ISERROR(SEARCH("Pendiente",W60)))</formula>
    </cfRule>
    <cfRule type="containsText" dxfId="13631" priority="13931" operator="containsText" text="No Aplica">
      <formula>NOT(ISERROR(SEARCH("No Aplica",W60)))</formula>
    </cfRule>
    <cfRule type="containsText" dxfId="13630" priority="13932" operator="containsText" text="Fallido">
      <formula>NOT(ISERROR(SEARCH("Fallido",W60)))</formula>
    </cfRule>
    <cfRule type="containsText" dxfId="13629" priority="13933" operator="containsText" text="Éxitoso">
      <formula>NOT(ISERROR(SEARCH("Éxitoso",W60)))</formula>
    </cfRule>
  </conditionalFormatting>
  <conditionalFormatting sqref="M60">
    <cfRule type="containsText" dxfId="13628" priority="13924" operator="containsText" text="No se pudo ejecutar">
      <formula>NOT(ISERROR(SEARCH("No se pudo ejecutar",M60)))</formula>
    </cfRule>
    <cfRule type="containsText" dxfId="13627" priority="13925" operator="containsText" text="Pendiente">
      <formula>NOT(ISERROR(SEARCH("Pendiente",M60)))</formula>
    </cfRule>
    <cfRule type="containsText" dxfId="13626" priority="13926" operator="containsText" text="No Aplica">
      <formula>NOT(ISERROR(SEARCH("No Aplica",M60)))</formula>
    </cfRule>
    <cfRule type="containsText" dxfId="13625" priority="13927" operator="containsText" text="Fallido">
      <formula>NOT(ISERROR(SEARCH("Fallido",M60)))</formula>
    </cfRule>
    <cfRule type="containsText" dxfId="13624" priority="13928" operator="containsText" text="Éxitoso">
      <formula>NOT(ISERROR(SEARCH("Éxitoso",M60)))</formula>
    </cfRule>
  </conditionalFormatting>
  <conditionalFormatting sqref="G60">
    <cfRule type="containsText" dxfId="13623" priority="13921" operator="containsText" text="Bajo">
      <formula>NOT(ISERROR(SEARCH("Bajo",G60)))</formula>
    </cfRule>
    <cfRule type="containsText" dxfId="13622" priority="13922" operator="containsText" text="Medio">
      <formula>NOT(ISERROR(SEARCH("Medio",G60)))</formula>
    </cfRule>
    <cfRule type="containsText" dxfId="13621" priority="13923" operator="containsText" text="Alto">
      <formula>NOT(ISERROR(SEARCH("Alto",G60)))</formula>
    </cfRule>
  </conditionalFormatting>
  <conditionalFormatting sqref="N61">
    <cfRule type="containsText" dxfId="13620" priority="13916" operator="containsText" text="No se pudo ejecutar">
      <formula>NOT(ISERROR(SEARCH("No se pudo ejecutar",N61)))</formula>
    </cfRule>
    <cfRule type="containsText" dxfId="13619" priority="13917" operator="containsText" text="Pendiente">
      <formula>NOT(ISERROR(SEARCH("Pendiente",N61)))</formula>
    </cfRule>
    <cfRule type="containsText" dxfId="13618" priority="13918" operator="containsText" text="No Aplica">
      <formula>NOT(ISERROR(SEARCH("No Aplica",N61)))</formula>
    </cfRule>
    <cfRule type="containsText" dxfId="13617" priority="13919" operator="containsText" text="Fallido">
      <formula>NOT(ISERROR(SEARCH("Fallido",N61)))</formula>
    </cfRule>
    <cfRule type="containsText" dxfId="13616" priority="13920" operator="containsText" text="Éxitoso">
      <formula>NOT(ISERROR(SEARCH("Éxitoso",N61)))</formula>
    </cfRule>
  </conditionalFormatting>
  <conditionalFormatting sqref="O61">
    <cfRule type="containsText" dxfId="13615" priority="13911" operator="containsText" text="No se pudo ejecutar">
      <formula>NOT(ISERROR(SEARCH("No se pudo ejecutar",O61)))</formula>
    </cfRule>
    <cfRule type="containsText" dxfId="13614" priority="13912" operator="containsText" text="Pendiente">
      <formula>NOT(ISERROR(SEARCH("Pendiente",O61)))</formula>
    </cfRule>
    <cfRule type="containsText" dxfId="13613" priority="13913" operator="containsText" text="No Aplica">
      <formula>NOT(ISERROR(SEARCH("No Aplica",O61)))</formula>
    </cfRule>
    <cfRule type="containsText" dxfId="13612" priority="13914" operator="containsText" text="Fallido">
      <formula>NOT(ISERROR(SEARCH("Fallido",O61)))</formula>
    </cfRule>
    <cfRule type="containsText" dxfId="13611" priority="13915" operator="containsText" text="Éxitoso">
      <formula>NOT(ISERROR(SEARCH("Éxitoso",O61)))</formula>
    </cfRule>
  </conditionalFormatting>
  <conditionalFormatting sqref="P61">
    <cfRule type="containsText" dxfId="13610" priority="13906" operator="containsText" text="No se pudo ejecutar">
      <formula>NOT(ISERROR(SEARCH("No se pudo ejecutar",P61)))</formula>
    </cfRule>
    <cfRule type="containsText" dxfId="13609" priority="13907" operator="containsText" text="Pendiente">
      <formula>NOT(ISERROR(SEARCH("Pendiente",P61)))</formula>
    </cfRule>
    <cfRule type="containsText" dxfId="13608" priority="13908" operator="containsText" text="No Aplica">
      <formula>NOT(ISERROR(SEARCH("No Aplica",P61)))</formula>
    </cfRule>
    <cfRule type="containsText" dxfId="13607" priority="13909" operator="containsText" text="Fallido">
      <formula>NOT(ISERROR(SEARCH("Fallido",P61)))</formula>
    </cfRule>
    <cfRule type="containsText" dxfId="13606" priority="13910" operator="containsText" text="Éxitoso">
      <formula>NOT(ISERROR(SEARCH("Éxitoso",P61)))</formula>
    </cfRule>
  </conditionalFormatting>
  <conditionalFormatting sqref="Q61">
    <cfRule type="containsText" dxfId="13605" priority="13901" operator="containsText" text="No se pudo ejecutar">
      <formula>NOT(ISERROR(SEARCH("No se pudo ejecutar",Q61)))</formula>
    </cfRule>
    <cfRule type="containsText" dxfId="13604" priority="13902" operator="containsText" text="Pendiente">
      <formula>NOT(ISERROR(SEARCH("Pendiente",Q61)))</formula>
    </cfRule>
    <cfRule type="containsText" dxfId="13603" priority="13903" operator="containsText" text="No Aplica">
      <formula>NOT(ISERROR(SEARCH("No Aplica",Q61)))</formula>
    </cfRule>
    <cfRule type="containsText" dxfId="13602" priority="13904" operator="containsText" text="Fallido">
      <formula>NOT(ISERROR(SEARCH("Fallido",Q61)))</formula>
    </cfRule>
    <cfRule type="containsText" dxfId="13601" priority="13905" operator="containsText" text="Éxitoso">
      <formula>NOT(ISERROR(SEARCH("Éxitoso",Q61)))</formula>
    </cfRule>
  </conditionalFormatting>
  <conditionalFormatting sqref="R61">
    <cfRule type="containsText" dxfId="13600" priority="13896" operator="containsText" text="No se pudo ejecutar">
      <formula>NOT(ISERROR(SEARCH("No se pudo ejecutar",R61)))</formula>
    </cfRule>
    <cfRule type="containsText" dxfId="13599" priority="13897" operator="containsText" text="Pendiente">
      <formula>NOT(ISERROR(SEARCH("Pendiente",R61)))</formula>
    </cfRule>
    <cfRule type="containsText" dxfId="13598" priority="13898" operator="containsText" text="No Aplica">
      <formula>NOT(ISERROR(SEARCH("No Aplica",R61)))</formula>
    </cfRule>
    <cfRule type="containsText" dxfId="13597" priority="13899" operator="containsText" text="Fallido">
      <formula>NOT(ISERROR(SEARCH("Fallido",R61)))</formula>
    </cfRule>
    <cfRule type="containsText" dxfId="13596" priority="13900" operator="containsText" text="Éxitoso">
      <formula>NOT(ISERROR(SEARCH("Éxitoso",R61)))</formula>
    </cfRule>
  </conditionalFormatting>
  <conditionalFormatting sqref="S61">
    <cfRule type="containsText" dxfId="13595" priority="13891" operator="containsText" text="No se pudo ejecutar">
      <formula>NOT(ISERROR(SEARCH("No se pudo ejecutar",S61)))</formula>
    </cfRule>
    <cfRule type="containsText" dxfId="13594" priority="13892" operator="containsText" text="Pendiente">
      <formula>NOT(ISERROR(SEARCH("Pendiente",S61)))</formula>
    </cfRule>
    <cfRule type="containsText" dxfId="13593" priority="13893" operator="containsText" text="No Aplica">
      <formula>NOT(ISERROR(SEARCH("No Aplica",S61)))</formula>
    </cfRule>
    <cfRule type="containsText" dxfId="13592" priority="13894" operator="containsText" text="Fallido">
      <formula>NOT(ISERROR(SEARCH("Fallido",S61)))</formula>
    </cfRule>
    <cfRule type="containsText" dxfId="13591" priority="13895" operator="containsText" text="Éxitoso">
      <formula>NOT(ISERROR(SEARCH("Éxitoso",S61)))</formula>
    </cfRule>
  </conditionalFormatting>
  <conditionalFormatting sqref="T61">
    <cfRule type="containsText" dxfId="13590" priority="13886" operator="containsText" text="No se pudo ejecutar">
      <formula>NOT(ISERROR(SEARCH("No se pudo ejecutar",T61)))</formula>
    </cfRule>
    <cfRule type="containsText" dxfId="13589" priority="13887" operator="containsText" text="Pendiente">
      <formula>NOT(ISERROR(SEARCH("Pendiente",T61)))</formula>
    </cfRule>
    <cfRule type="containsText" dxfId="13588" priority="13888" operator="containsText" text="No Aplica">
      <formula>NOT(ISERROR(SEARCH("No Aplica",T61)))</formula>
    </cfRule>
    <cfRule type="containsText" dxfId="13587" priority="13889" operator="containsText" text="Fallido">
      <formula>NOT(ISERROR(SEARCH("Fallido",T61)))</formula>
    </cfRule>
    <cfRule type="containsText" dxfId="13586" priority="13890" operator="containsText" text="Éxitoso">
      <formula>NOT(ISERROR(SEARCH("Éxitoso",T61)))</formula>
    </cfRule>
  </conditionalFormatting>
  <conditionalFormatting sqref="U61">
    <cfRule type="containsText" dxfId="13585" priority="13881" operator="containsText" text="No se pudo ejecutar">
      <formula>NOT(ISERROR(SEARCH("No se pudo ejecutar",U61)))</formula>
    </cfRule>
    <cfRule type="containsText" dxfId="13584" priority="13882" operator="containsText" text="Pendiente">
      <formula>NOT(ISERROR(SEARCH("Pendiente",U61)))</formula>
    </cfRule>
    <cfRule type="containsText" dxfId="13583" priority="13883" operator="containsText" text="No Aplica">
      <formula>NOT(ISERROR(SEARCH("No Aplica",U61)))</formula>
    </cfRule>
    <cfRule type="containsText" dxfId="13582" priority="13884" operator="containsText" text="Fallido">
      <formula>NOT(ISERROR(SEARCH("Fallido",U61)))</formula>
    </cfRule>
    <cfRule type="containsText" dxfId="13581" priority="13885" operator="containsText" text="Éxitoso">
      <formula>NOT(ISERROR(SEARCH("Éxitoso",U61)))</formula>
    </cfRule>
  </conditionalFormatting>
  <conditionalFormatting sqref="V61">
    <cfRule type="containsText" dxfId="13580" priority="13876" operator="containsText" text="No se pudo ejecutar">
      <formula>NOT(ISERROR(SEARCH("No se pudo ejecutar",V61)))</formula>
    </cfRule>
    <cfRule type="containsText" dxfId="13579" priority="13877" operator="containsText" text="Pendiente">
      <formula>NOT(ISERROR(SEARCH("Pendiente",V61)))</formula>
    </cfRule>
    <cfRule type="containsText" dxfId="13578" priority="13878" operator="containsText" text="No Aplica">
      <formula>NOT(ISERROR(SEARCH("No Aplica",V61)))</formula>
    </cfRule>
    <cfRule type="containsText" dxfId="13577" priority="13879" operator="containsText" text="Fallido">
      <formula>NOT(ISERROR(SEARCH("Fallido",V61)))</formula>
    </cfRule>
    <cfRule type="containsText" dxfId="13576" priority="13880" operator="containsText" text="Éxitoso">
      <formula>NOT(ISERROR(SEARCH("Éxitoso",V61)))</formula>
    </cfRule>
  </conditionalFormatting>
  <conditionalFormatting sqref="W61">
    <cfRule type="containsText" dxfId="13575" priority="13871" operator="containsText" text="No se pudo ejecutar">
      <formula>NOT(ISERROR(SEARCH("No se pudo ejecutar",W61)))</formula>
    </cfRule>
    <cfRule type="containsText" dxfId="13574" priority="13872" operator="containsText" text="Pendiente">
      <formula>NOT(ISERROR(SEARCH("Pendiente",W61)))</formula>
    </cfRule>
    <cfRule type="containsText" dxfId="13573" priority="13873" operator="containsText" text="No Aplica">
      <formula>NOT(ISERROR(SEARCH("No Aplica",W61)))</formula>
    </cfRule>
    <cfRule type="containsText" dxfId="13572" priority="13874" operator="containsText" text="Fallido">
      <formula>NOT(ISERROR(SEARCH("Fallido",W61)))</formula>
    </cfRule>
    <cfRule type="containsText" dxfId="13571" priority="13875" operator="containsText" text="Éxitoso">
      <formula>NOT(ISERROR(SEARCH("Éxitoso",W61)))</formula>
    </cfRule>
  </conditionalFormatting>
  <conditionalFormatting sqref="M61">
    <cfRule type="containsText" dxfId="13570" priority="13866" operator="containsText" text="No se pudo ejecutar">
      <formula>NOT(ISERROR(SEARCH("No se pudo ejecutar",M61)))</formula>
    </cfRule>
    <cfRule type="containsText" dxfId="13569" priority="13867" operator="containsText" text="Pendiente">
      <formula>NOT(ISERROR(SEARCH("Pendiente",M61)))</formula>
    </cfRule>
    <cfRule type="containsText" dxfId="13568" priority="13868" operator="containsText" text="No Aplica">
      <formula>NOT(ISERROR(SEARCH("No Aplica",M61)))</formula>
    </cfRule>
    <cfRule type="containsText" dxfId="13567" priority="13869" operator="containsText" text="Fallido">
      <formula>NOT(ISERROR(SEARCH("Fallido",M61)))</formula>
    </cfRule>
    <cfRule type="containsText" dxfId="13566" priority="13870" operator="containsText" text="Éxitoso">
      <formula>NOT(ISERROR(SEARCH("Éxitoso",M61)))</formula>
    </cfRule>
  </conditionalFormatting>
  <conditionalFormatting sqref="G61:G62">
    <cfRule type="containsText" dxfId="13565" priority="13863" operator="containsText" text="Bajo">
      <formula>NOT(ISERROR(SEARCH("Bajo",G61)))</formula>
    </cfRule>
    <cfRule type="containsText" dxfId="13564" priority="13864" operator="containsText" text="Medio">
      <formula>NOT(ISERROR(SEARCH("Medio",G61)))</formula>
    </cfRule>
    <cfRule type="containsText" dxfId="13563" priority="13865" operator="containsText" text="Alto">
      <formula>NOT(ISERROR(SEARCH("Alto",G61)))</formula>
    </cfRule>
  </conditionalFormatting>
  <conditionalFormatting sqref="N62">
    <cfRule type="containsText" dxfId="13562" priority="13858" operator="containsText" text="No se pudo ejecutar">
      <formula>NOT(ISERROR(SEARCH("No se pudo ejecutar",N62)))</formula>
    </cfRule>
    <cfRule type="containsText" dxfId="13561" priority="13859" operator="containsText" text="Pendiente">
      <formula>NOT(ISERROR(SEARCH("Pendiente",N62)))</formula>
    </cfRule>
    <cfRule type="containsText" dxfId="13560" priority="13860" operator="containsText" text="No Aplica">
      <formula>NOT(ISERROR(SEARCH("No Aplica",N62)))</formula>
    </cfRule>
    <cfRule type="containsText" dxfId="13559" priority="13861" operator="containsText" text="Fallido">
      <formula>NOT(ISERROR(SEARCH("Fallido",N62)))</formula>
    </cfRule>
    <cfRule type="containsText" dxfId="13558" priority="13862" operator="containsText" text="Éxitoso">
      <formula>NOT(ISERROR(SEARCH("Éxitoso",N62)))</formula>
    </cfRule>
  </conditionalFormatting>
  <conditionalFormatting sqref="O62">
    <cfRule type="containsText" dxfId="13557" priority="13853" operator="containsText" text="No se pudo ejecutar">
      <formula>NOT(ISERROR(SEARCH("No se pudo ejecutar",O62)))</formula>
    </cfRule>
    <cfRule type="containsText" dxfId="13556" priority="13854" operator="containsText" text="Pendiente">
      <formula>NOT(ISERROR(SEARCH("Pendiente",O62)))</formula>
    </cfRule>
    <cfRule type="containsText" dxfId="13555" priority="13855" operator="containsText" text="No Aplica">
      <formula>NOT(ISERROR(SEARCH("No Aplica",O62)))</formula>
    </cfRule>
    <cfRule type="containsText" dxfId="13554" priority="13856" operator="containsText" text="Fallido">
      <formula>NOT(ISERROR(SEARCH("Fallido",O62)))</formula>
    </cfRule>
    <cfRule type="containsText" dxfId="13553" priority="13857" operator="containsText" text="Éxitoso">
      <formula>NOT(ISERROR(SEARCH("Éxitoso",O62)))</formula>
    </cfRule>
  </conditionalFormatting>
  <conditionalFormatting sqref="P62">
    <cfRule type="containsText" dxfId="13552" priority="13848" operator="containsText" text="No se pudo ejecutar">
      <formula>NOT(ISERROR(SEARCH("No se pudo ejecutar",P62)))</formula>
    </cfRule>
    <cfRule type="containsText" dxfId="13551" priority="13849" operator="containsText" text="Pendiente">
      <formula>NOT(ISERROR(SEARCH("Pendiente",P62)))</formula>
    </cfRule>
    <cfRule type="containsText" dxfId="13550" priority="13850" operator="containsText" text="No Aplica">
      <formula>NOT(ISERROR(SEARCH("No Aplica",P62)))</formula>
    </cfRule>
    <cfRule type="containsText" dxfId="13549" priority="13851" operator="containsText" text="Fallido">
      <formula>NOT(ISERROR(SEARCH("Fallido",P62)))</formula>
    </cfRule>
    <cfRule type="containsText" dxfId="13548" priority="13852" operator="containsText" text="Éxitoso">
      <formula>NOT(ISERROR(SEARCH("Éxitoso",P62)))</formula>
    </cfRule>
  </conditionalFormatting>
  <conditionalFormatting sqref="Q62">
    <cfRule type="containsText" dxfId="13547" priority="13843" operator="containsText" text="No se pudo ejecutar">
      <formula>NOT(ISERROR(SEARCH("No se pudo ejecutar",Q62)))</formula>
    </cfRule>
    <cfRule type="containsText" dxfId="13546" priority="13844" operator="containsText" text="Pendiente">
      <formula>NOT(ISERROR(SEARCH("Pendiente",Q62)))</formula>
    </cfRule>
    <cfRule type="containsText" dxfId="13545" priority="13845" operator="containsText" text="No Aplica">
      <formula>NOT(ISERROR(SEARCH("No Aplica",Q62)))</formula>
    </cfRule>
    <cfRule type="containsText" dxfId="13544" priority="13846" operator="containsText" text="Fallido">
      <formula>NOT(ISERROR(SEARCH("Fallido",Q62)))</formula>
    </cfRule>
    <cfRule type="containsText" dxfId="13543" priority="13847" operator="containsText" text="Éxitoso">
      <formula>NOT(ISERROR(SEARCH("Éxitoso",Q62)))</formula>
    </cfRule>
  </conditionalFormatting>
  <conditionalFormatting sqref="R62">
    <cfRule type="containsText" dxfId="13542" priority="13838" operator="containsText" text="No se pudo ejecutar">
      <formula>NOT(ISERROR(SEARCH("No se pudo ejecutar",R62)))</formula>
    </cfRule>
    <cfRule type="containsText" dxfId="13541" priority="13839" operator="containsText" text="Pendiente">
      <formula>NOT(ISERROR(SEARCH("Pendiente",R62)))</formula>
    </cfRule>
    <cfRule type="containsText" dxfId="13540" priority="13840" operator="containsText" text="No Aplica">
      <formula>NOT(ISERROR(SEARCH("No Aplica",R62)))</formula>
    </cfRule>
    <cfRule type="containsText" dxfId="13539" priority="13841" operator="containsText" text="Fallido">
      <formula>NOT(ISERROR(SEARCH("Fallido",R62)))</formula>
    </cfRule>
    <cfRule type="containsText" dxfId="13538" priority="13842" operator="containsText" text="Éxitoso">
      <formula>NOT(ISERROR(SEARCH("Éxitoso",R62)))</formula>
    </cfRule>
  </conditionalFormatting>
  <conditionalFormatting sqref="S62">
    <cfRule type="containsText" dxfId="13537" priority="13833" operator="containsText" text="No se pudo ejecutar">
      <formula>NOT(ISERROR(SEARCH("No se pudo ejecutar",S62)))</formula>
    </cfRule>
    <cfRule type="containsText" dxfId="13536" priority="13834" operator="containsText" text="Pendiente">
      <formula>NOT(ISERROR(SEARCH("Pendiente",S62)))</formula>
    </cfRule>
    <cfRule type="containsText" dxfId="13535" priority="13835" operator="containsText" text="No Aplica">
      <formula>NOT(ISERROR(SEARCH("No Aplica",S62)))</formula>
    </cfRule>
    <cfRule type="containsText" dxfId="13534" priority="13836" operator="containsText" text="Fallido">
      <formula>NOT(ISERROR(SEARCH("Fallido",S62)))</formula>
    </cfRule>
    <cfRule type="containsText" dxfId="13533" priority="13837" operator="containsText" text="Éxitoso">
      <formula>NOT(ISERROR(SEARCH("Éxitoso",S62)))</formula>
    </cfRule>
  </conditionalFormatting>
  <conditionalFormatting sqref="T62">
    <cfRule type="containsText" dxfId="13532" priority="13828" operator="containsText" text="No se pudo ejecutar">
      <formula>NOT(ISERROR(SEARCH("No se pudo ejecutar",T62)))</formula>
    </cfRule>
    <cfRule type="containsText" dxfId="13531" priority="13829" operator="containsText" text="Pendiente">
      <formula>NOT(ISERROR(SEARCH("Pendiente",T62)))</formula>
    </cfRule>
    <cfRule type="containsText" dxfId="13530" priority="13830" operator="containsText" text="No Aplica">
      <formula>NOT(ISERROR(SEARCH("No Aplica",T62)))</formula>
    </cfRule>
    <cfRule type="containsText" dxfId="13529" priority="13831" operator="containsText" text="Fallido">
      <formula>NOT(ISERROR(SEARCH("Fallido",T62)))</formula>
    </cfRule>
    <cfRule type="containsText" dxfId="13528" priority="13832" operator="containsText" text="Éxitoso">
      <formula>NOT(ISERROR(SEARCH("Éxitoso",T62)))</formula>
    </cfRule>
  </conditionalFormatting>
  <conditionalFormatting sqref="U62">
    <cfRule type="containsText" dxfId="13527" priority="13823" operator="containsText" text="No se pudo ejecutar">
      <formula>NOT(ISERROR(SEARCH("No se pudo ejecutar",U62)))</formula>
    </cfRule>
    <cfRule type="containsText" dxfId="13526" priority="13824" operator="containsText" text="Pendiente">
      <formula>NOT(ISERROR(SEARCH("Pendiente",U62)))</formula>
    </cfRule>
    <cfRule type="containsText" dxfId="13525" priority="13825" operator="containsText" text="No Aplica">
      <formula>NOT(ISERROR(SEARCH("No Aplica",U62)))</formula>
    </cfRule>
    <cfRule type="containsText" dxfId="13524" priority="13826" operator="containsText" text="Fallido">
      <formula>NOT(ISERROR(SEARCH("Fallido",U62)))</formula>
    </cfRule>
    <cfRule type="containsText" dxfId="13523" priority="13827" operator="containsText" text="Éxitoso">
      <formula>NOT(ISERROR(SEARCH("Éxitoso",U62)))</formula>
    </cfRule>
  </conditionalFormatting>
  <conditionalFormatting sqref="V62">
    <cfRule type="containsText" dxfId="13522" priority="13818" operator="containsText" text="No se pudo ejecutar">
      <formula>NOT(ISERROR(SEARCH("No se pudo ejecutar",V62)))</formula>
    </cfRule>
    <cfRule type="containsText" dxfId="13521" priority="13819" operator="containsText" text="Pendiente">
      <formula>NOT(ISERROR(SEARCH("Pendiente",V62)))</formula>
    </cfRule>
    <cfRule type="containsText" dxfId="13520" priority="13820" operator="containsText" text="No Aplica">
      <formula>NOT(ISERROR(SEARCH("No Aplica",V62)))</formula>
    </cfRule>
    <cfRule type="containsText" dxfId="13519" priority="13821" operator="containsText" text="Fallido">
      <formula>NOT(ISERROR(SEARCH("Fallido",V62)))</formula>
    </cfRule>
    <cfRule type="containsText" dxfId="13518" priority="13822" operator="containsText" text="Éxitoso">
      <formula>NOT(ISERROR(SEARCH("Éxitoso",V62)))</formula>
    </cfRule>
  </conditionalFormatting>
  <conditionalFormatting sqref="W62">
    <cfRule type="containsText" dxfId="13517" priority="13813" operator="containsText" text="No se pudo ejecutar">
      <formula>NOT(ISERROR(SEARCH("No se pudo ejecutar",W62)))</formula>
    </cfRule>
    <cfRule type="containsText" dxfId="13516" priority="13814" operator="containsText" text="Pendiente">
      <formula>NOT(ISERROR(SEARCH("Pendiente",W62)))</formula>
    </cfRule>
    <cfRule type="containsText" dxfId="13515" priority="13815" operator="containsText" text="No Aplica">
      <formula>NOT(ISERROR(SEARCH("No Aplica",W62)))</formula>
    </cfRule>
    <cfRule type="containsText" dxfId="13514" priority="13816" operator="containsText" text="Fallido">
      <formula>NOT(ISERROR(SEARCH("Fallido",W62)))</formula>
    </cfRule>
    <cfRule type="containsText" dxfId="13513" priority="13817" operator="containsText" text="Éxitoso">
      <formula>NOT(ISERROR(SEARCH("Éxitoso",W62)))</formula>
    </cfRule>
  </conditionalFormatting>
  <conditionalFormatting sqref="M62">
    <cfRule type="containsText" dxfId="13512" priority="13808" operator="containsText" text="No se pudo ejecutar">
      <formula>NOT(ISERROR(SEARCH("No se pudo ejecutar",M62)))</formula>
    </cfRule>
    <cfRule type="containsText" dxfId="13511" priority="13809" operator="containsText" text="Pendiente">
      <formula>NOT(ISERROR(SEARCH("Pendiente",M62)))</formula>
    </cfRule>
    <cfRule type="containsText" dxfId="13510" priority="13810" operator="containsText" text="No Aplica">
      <formula>NOT(ISERROR(SEARCH("No Aplica",M62)))</formula>
    </cfRule>
    <cfRule type="containsText" dxfId="13509" priority="13811" operator="containsText" text="Fallido">
      <formula>NOT(ISERROR(SEARCH("Fallido",M62)))</formula>
    </cfRule>
    <cfRule type="containsText" dxfId="13508" priority="13812" operator="containsText" text="Éxitoso">
      <formula>NOT(ISERROR(SEARCH("Éxitoso",M62)))</formula>
    </cfRule>
  </conditionalFormatting>
  <conditionalFormatting sqref="N63">
    <cfRule type="containsText" dxfId="13507" priority="13800" operator="containsText" text="No se pudo ejecutar">
      <formula>NOT(ISERROR(SEARCH("No se pudo ejecutar",N63)))</formula>
    </cfRule>
    <cfRule type="containsText" dxfId="13506" priority="13801" operator="containsText" text="Pendiente">
      <formula>NOT(ISERROR(SEARCH("Pendiente",N63)))</formula>
    </cfRule>
    <cfRule type="containsText" dxfId="13505" priority="13802" operator="containsText" text="No Aplica">
      <formula>NOT(ISERROR(SEARCH("No Aplica",N63)))</formula>
    </cfRule>
    <cfRule type="containsText" dxfId="13504" priority="13803" operator="containsText" text="Fallido">
      <formula>NOT(ISERROR(SEARCH("Fallido",N63)))</formula>
    </cfRule>
    <cfRule type="containsText" dxfId="13503" priority="13804" operator="containsText" text="Éxitoso">
      <formula>NOT(ISERROR(SEARCH("Éxitoso",N63)))</formula>
    </cfRule>
  </conditionalFormatting>
  <conditionalFormatting sqref="O63">
    <cfRule type="containsText" dxfId="13502" priority="13795" operator="containsText" text="No se pudo ejecutar">
      <formula>NOT(ISERROR(SEARCH("No se pudo ejecutar",O63)))</formula>
    </cfRule>
    <cfRule type="containsText" dxfId="13501" priority="13796" operator="containsText" text="Pendiente">
      <formula>NOT(ISERROR(SEARCH("Pendiente",O63)))</formula>
    </cfRule>
    <cfRule type="containsText" dxfId="13500" priority="13797" operator="containsText" text="No Aplica">
      <formula>NOT(ISERROR(SEARCH("No Aplica",O63)))</formula>
    </cfRule>
    <cfRule type="containsText" dxfId="13499" priority="13798" operator="containsText" text="Fallido">
      <formula>NOT(ISERROR(SEARCH("Fallido",O63)))</formula>
    </cfRule>
    <cfRule type="containsText" dxfId="13498" priority="13799" operator="containsText" text="Éxitoso">
      <formula>NOT(ISERROR(SEARCH("Éxitoso",O63)))</formula>
    </cfRule>
  </conditionalFormatting>
  <conditionalFormatting sqref="P63">
    <cfRule type="containsText" dxfId="13497" priority="13790" operator="containsText" text="No se pudo ejecutar">
      <formula>NOT(ISERROR(SEARCH("No se pudo ejecutar",P63)))</formula>
    </cfRule>
    <cfRule type="containsText" dxfId="13496" priority="13791" operator="containsText" text="Pendiente">
      <formula>NOT(ISERROR(SEARCH("Pendiente",P63)))</formula>
    </cfRule>
    <cfRule type="containsText" dxfId="13495" priority="13792" operator="containsText" text="No Aplica">
      <formula>NOT(ISERROR(SEARCH("No Aplica",P63)))</formula>
    </cfRule>
    <cfRule type="containsText" dxfId="13494" priority="13793" operator="containsText" text="Fallido">
      <formula>NOT(ISERROR(SEARCH("Fallido",P63)))</formula>
    </cfRule>
    <cfRule type="containsText" dxfId="13493" priority="13794" operator="containsText" text="Éxitoso">
      <formula>NOT(ISERROR(SEARCH("Éxitoso",P63)))</formula>
    </cfRule>
  </conditionalFormatting>
  <conditionalFormatting sqref="Q63">
    <cfRule type="containsText" dxfId="13492" priority="13785" operator="containsText" text="No se pudo ejecutar">
      <formula>NOT(ISERROR(SEARCH("No se pudo ejecutar",Q63)))</formula>
    </cfRule>
    <cfRule type="containsText" dxfId="13491" priority="13786" operator="containsText" text="Pendiente">
      <formula>NOT(ISERROR(SEARCH("Pendiente",Q63)))</formula>
    </cfRule>
    <cfRule type="containsText" dxfId="13490" priority="13787" operator="containsText" text="No Aplica">
      <formula>NOT(ISERROR(SEARCH("No Aplica",Q63)))</formula>
    </cfRule>
    <cfRule type="containsText" dxfId="13489" priority="13788" operator="containsText" text="Fallido">
      <formula>NOT(ISERROR(SEARCH("Fallido",Q63)))</formula>
    </cfRule>
    <cfRule type="containsText" dxfId="13488" priority="13789" operator="containsText" text="Éxitoso">
      <formula>NOT(ISERROR(SEARCH("Éxitoso",Q63)))</formula>
    </cfRule>
  </conditionalFormatting>
  <conditionalFormatting sqref="R63">
    <cfRule type="containsText" dxfId="13487" priority="13780" operator="containsText" text="No se pudo ejecutar">
      <formula>NOT(ISERROR(SEARCH("No se pudo ejecutar",R63)))</formula>
    </cfRule>
    <cfRule type="containsText" dxfId="13486" priority="13781" operator="containsText" text="Pendiente">
      <formula>NOT(ISERROR(SEARCH("Pendiente",R63)))</formula>
    </cfRule>
    <cfRule type="containsText" dxfId="13485" priority="13782" operator="containsText" text="No Aplica">
      <formula>NOT(ISERROR(SEARCH("No Aplica",R63)))</formula>
    </cfRule>
    <cfRule type="containsText" dxfId="13484" priority="13783" operator="containsText" text="Fallido">
      <formula>NOT(ISERROR(SEARCH("Fallido",R63)))</formula>
    </cfRule>
    <cfRule type="containsText" dxfId="13483" priority="13784" operator="containsText" text="Éxitoso">
      <formula>NOT(ISERROR(SEARCH("Éxitoso",R63)))</formula>
    </cfRule>
  </conditionalFormatting>
  <conditionalFormatting sqref="S63">
    <cfRule type="containsText" dxfId="13482" priority="13775" operator="containsText" text="No se pudo ejecutar">
      <formula>NOT(ISERROR(SEARCH("No se pudo ejecutar",S63)))</formula>
    </cfRule>
    <cfRule type="containsText" dxfId="13481" priority="13776" operator="containsText" text="Pendiente">
      <formula>NOT(ISERROR(SEARCH("Pendiente",S63)))</formula>
    </cfRule>
    <cfRule type="containsText" dxfId="13480" priority="13777" operator="containsText" text="No Aplica">
      <formula>NOT(ISERROR(SEARCH("No Aplica",S63)))</formula>
    </cfRule>
    <cfRule type="containsText" dxfId="13479" priority="13778" operator="containsText" text="Fallido">
      <formula>NOT(ISERROR(SEARCH("Fallido",S63)))</formula>
    </cfRule>
    <cfRule type="containsText" dxfId="13478" priority="13779" operator="containsText" text="Éxitoso">
      <formula>NOT(ISERROR(SEARCH("Éxitoso",S63)))</formula>
    </cfRule>
  </conditionalFormatting>
  <conditionalFormatting sqref="T63">
    <cfRule type="containsText" dxfId="13477" priority="13770" operator="containsText" text="No se pudo ejecutar">
      <formula>NOT(ISERROR(SEARCH("No se pudo ejecutar",T63)))</formula>
    </cfRule>
    <cfRule type="containsText" dxfId="13476" priority="13771" operator="containsText" text="Pendiente">
      <formula>NOT(ISERROR(SEARCH("Pendiente",T63)))</formula>
    </cfRule>
    <cfRule type="containsText" dxfId="13475" priority="13772" operator="containsText" text="No Aplica">
      <formula>NOT(ISERROR(SEARCH("No Aplica",T63)))</formula>
    </cfRule>
    <cfRule type="containsText" dxfId="13474" priority="13773" operator="containsText" text="Fallido">
      <formula>NOT(ISERROR(SEARCH("Fallido",T63)))</formula>
    </cfRule>
    <cfRule type="containsText" dxfId="13473" priority="13774" operator="containsText" text="Éxitoso">
      <formula>NOT(ISERROR(SEARCH("Éxitoso",T63)))</formula>
    </cfRule>
  </conditionalFormatting>
  <conditionalFormatting sqref="U63">
    <cfRule type="containsText" dxfId="13472" priority="13765" operator="containsText" text="No se pudo ejecutar">
      <formula>NOT(ISERROR(SEARCH("No se pudo ejecutar",U63)))</formula>
    </cfRule>
    <cfRule type="containsText" dxfId="13471" priority="13766" operator="containsText" text="Pendiente">
      <formula>NOT(ISERROR(SEARCH("Pendiente",U63)))</formula>
    </cfRule>
    <cfRule type="containsText" dxfId="13470" priority="13767" operator="containsText" text="No Aplica">
      <formula>NOT(ISERROR(SEARCH("No Aplica",U63)))</formula>
    </cfRule>
    <cfRule type="containsText" dxfId="13469" priority="13768" operator="containsText" text="Fallido">
      <formula>NOT(ISERROR(SEARCH("Fallido",U63)))</formula>
    </cfRule>
    <cfRule type="containsText" dxfId="13468" priority="13769" operator="containsText" text="Éxitoso">
      <formula>NOT(ISERROR(SEARCH("Éxitoso",U63)))</formula>
    </cfRule>
  </conditionalFormatting>
  <conditionalFormatting sqref="V63">
    <cfRule type="containsText" dxfId="13467" priority="13760" operator="containsText" text="No se pudo ejecutar">
      <formula>NOT(ISERROR(SEARCH("No se pudo ejecutar",V63)))</formula>
    </cfRule>
    <cfRule type="containsText" dxfId="13466" priority="13761" operator="containsText" text="Pendiente">
      <formula>NOT(ISERROR(SEARCH("Pendiente",V63)))</formula>
    </cfRule>
    <cfRule type="containsText" dxfId="13465" priority="13762" operator="containsText" text="No Aplica">
      <formula>NOT(ISERROR(SEARCH("No Aplica",V63)))</formula>
    </cfRule>
    <cfRule type="containsText" dxfId="13464" priority="13763" operator="containsText" text="Fallido">
      <formula>NOT(ISERROR(SEARCH("Fallido",V63)))</formula>
    </cfRule>
    <cfRule type="containsText" dxfId="13463" priority="13764" operator="containsText" text="Éxitoso">
      <formula>NOT(ISERROR(SEARCH("Éxitoso",V63)))</formula>
    </cfRule>
  </conditionalFormatting>
  <conditionalFormatting sqref="W63">
    <cfRule type="containsText" dxfId="13462" priority="13755" operator="containsText" text="No se pudo ejecutar">
      <formula>NOT(ISERROR(SEARCH("No se pudo ejecutar",W63)))</formula>
    </cfRule>
    <cfRule type="containsText" dxfId="13461" priority="13756" operator="containsText" text="Pendiente">
      <formula>NOT(ISERROR(SEARCH("Pendiente",W63)))</formula>
    </cfRule>
    <cfRule type="containsText" dxfId="13460" priority="13757" operator="containsText" text="No Aplica">
      <formula>NOT(ISERROR(SEARCH("No Aplica",W63)))</formula>
    </cfRule>
    <cfRule type="containsText" dxfId="13459" priority="13758" operator="containsText" text="Fallido">
      <formula>NOT(ISERROR(SEARCH("Fallido",W63)))</formula>
    </cfRule>
    <cfRule type="containsText" dxfId="13458" priority="13759" operator="containsText" text="Éxitoso">
      <formula>NOT(ISERROR(SEARCH("Éxitoso",W63)))</formula>
    </cfRule>
  </conditionalFormatting>
  <conditionalFormatting sqref="M63">
    <cfRule type="containsText" dxfId="13457" priority="13750" operator="containsText" text="No se pudo ejecutar">
      <formula>NOT(ISERROR(SEARCH("No se pudo ejecutar",M63)))</formula>
    </cfRule>
    <cfRule type="containsText" dxfId="13456" priority="13751" operator="containsText" text="Pendiente">
      <formula>NOT(ISERROR(SEARCH("Pendiente",M63)))</formula>
    </cfRule>
    <cfRule type="containsText" dxfId="13455" priority="13752" operator="containsText" text="No Aplica">
      <formula>NOT(ISERROR(SEARCH("No Aplica",M63)))</formula>
    </cfRule>
    <cfRule type="containsText" dxfId="13454" priority="13753" operator="containsText" text="Fallido">
      <formula>NOT(ISERROR(SEARCH("Fallido",M63)))</formula>
    </cfRule>
    <cfRule type="containsText" dxfId="13453" priority="13754" operator="containsText" text="Éxitoso">
      <formula>NOT(ISERROR(SEARCH("Éxitoso",M63)))</formula>
    </cfRule>
  </conditionalFormatting>
  <conditionalFormatting sqref="G63:G64">
    <cfRule type="containsText" dxfId="13452" priority="13747" operator="containsText" text="Bajo">
      <formula>NOT(ISERROR(SEARCH("Bajo",G63)))</formula>
    </cfRule>
    <cfRule type="containsText" dxfId="13451" priority="13748" operator="containsText" text="Medio">
      <formula>NOT(ISERROR(SEARCH("Medio",G63)))</formula>
    </cfRule>
    <cfRule type="containsText" dxfId="13450" priority="13749" operator="containsText" text="Alto">
      <formula>NOT(ISERROR(SEARCH("Alto",G63)))</formula>
    </cfRule>
  </conditionalFormatting>
  <conditionalFormatting sqref="N64">
    <cfRule type="containsText" dxfId="13449" priority="13742" operator="containsText" text="No se pudo ejecutar">
      <formula>NOT(ISERROR(SEARCH("No se pudo ejecutar",N64)))</formula>
    </cfRule>
    <cfRule type="containsText" dxfId="13448" priority="13743" operator="containsText" text="Pendiente">
      <formula>NOT(ISERROR(SEARCH("Pendiente",N64)))</formula>
    </cfRule>
    <cfRule type="containsText" dxfId="13447" priority="13744" operator="containsText" text="No Aplica">
      <formula>NOT(ISERROR(SEARCH("No Aplica",N64)))</formula>
    </cfRule>
    <cfRule type="containsText" dxfId="13446" priority="13745" operator="containsText" text="Fallido">
      <formula>NOT(ISERROR(SEARCH("Fallido",N64)))</formula>
    </cfRule>
    <cfRule type="containsText" dxfId="13445" priority="13746" operator="containsText" text="Éxitoso">
      <formula>NOT(ISERROR(SEARCH("Éxitoso",N64)))</formula>
    </cfRule>
  </conditionalFormatting>
  <conditionalFormatting sqref="O64">
    <cfRule type="containsText" dxfId="13444" priority="13737" operator="containsText" text="No se pudo ejecutar">
      <formula>NOT(ISERROR(SEARCH("No se pudo ejecutar",O64)))</formula>
    </cfRule>
    <cfRule type="containsText" dxfId="13443" priority="13738" operator="containsText" text="Pendiente">
      <formula>NOT(ISERROR(SEARCH("Pendiente",O64)))</formula>
    </cfRule>
    <cfRule type="containsText" dxfId="13442" priority="13739" operator="containsText" text="No Aplica">
      <formula>NOT(ISERROR(SEARCH("No Aplica",O64)))</formula>
    </cfRule>
    <cfRule type="containsText" dxfId="13441" priority="13740" operator="containsText" text="Fallido">
      <formula>NOT(ISERROR(SEARCH("Fallido",O64)))</formula>
    </cfRule>
    <cfRule type="containsText" dxfId="13440" priority="13741" operator="containsText" text="Éxitoso">
      <formula>NOT(ISERROR(SEARCH("Éxitoso",O64)))</formula>
    </cfRule>
  </conditionalFormatting>
  <conditionalFormatting sqref="P64">
    <cfRule type="containsText" dxfId="13439" priority="13732" operator="containsText" text="No se pudo ejecutar">
      <formula>NOT(ISERROR(SEARCH("No se pudo ejecutar",P64)))</formula>
    </cfRule>
    <cfRule type="containsText" dxfId="13438" priority="13733" operator="containsText" text="Pendiente">
      <formula>NOT(ISERROR(SEARCH("Pendiente",P64)))</formula>
    </cfRule>
    <cfRule type="containsText" dxfId="13437" priority="13734" operator="containsText" text="No Aplica">
      <formula>NOT(ISERROR(SEARCH("No Aplica",P64)))</formula>
    </cfRule>
    <cfRule type="containsText" dxfId="13436" priority="13735" operator="containsText" text="Fallido">
      <formula>NOT(ISERROR(SEARCH("Fallido",P64)))</formula>
    </cfRule>
    <cfRule type="containsText" dxfId="13435" priority="13736" operator="containsText" text="Éxitoso">
      <formula>NOT(ISERROR(SEARCH("Éxitoso",P64)))</formula>
    </cfRule>
  </conditionalFormatting>
  <conditionalFormatting sqref="Q64">
    <cfRule type="containsText" dxfId="13434" priority="13727" operator="containsText" text="No se pudo ejecutar">
      <formula>NOT(ISERROR(SEARCH("No se pudo ejecutar",Q64)))</formula>
    </cfRule>
    <cfRule type="containsText" dxfId="13433" priority="13728" operator="containsText" text="Pendiente">
      <formula>NOT(ISERROR(SEARCH("Pendiente",Q64)))</formula>
    </cfRule>
    <cfRule type="containsText" dxfId="13432" priority="13729" operator="containsText" text="No Aplica">
      <formula>NOT(ISERROR(SEARCH("No Aplica",Q64)))</formula>
    </cfRule>
    <cfRule type="containsText" dxfId="13431" priority="13730" operator="containsText" text="Fallido">
      <formula>NOT(ISERROR(SEARCH("Fallido",Q64)))</formula>
    </cfRule>
    <cfRule type="containsText" dxfId="13430" priority="13731" operator="containsText" text="Éxitoso">
      <formula>NOT(ISERROR(SEARCH("Éxitoso",Q64)))</formula>
    </cfRule>
  </conditionalFormatting>
  <conditionalFormatting sqref="R64">
    <cfRule type="containsText" dxfId="13429" priority="13722" operator="containsText" text="No se pudo ejecutar">
      <formula>NOT(ISERROR(SEARCH("No se pudo ejecutar",R64)))</formula>
    </cfRule>
    <cfRule type="containsText" dxfId="13428" priority="13723" operator="containsText" text="Pendiente">
      <formula>NOT(ISERROR(SEARCH("Pendiente",R64)))</formula>
    </cfRule>
    <cfRule type="containsText" dxfId="13427" priority="13724" operator="containsText" text="No Aplica">
      <formula>NOT(ISERROR(SEARCH("No Aplica",R64)))</formula>
    </cfRule>
    <cfRule type="containsText" dxfId="13426" priority="13725" operator="containsText" text="Fallido">
      <formula>NOT(ISERROR(SEARCH("Fallido",R64)))</formula>
    </cfRule>
    <cfRule type="containsText" dxfId="13425" priority="13726" operator="containsText" text="Éxitoso">
      <formula>NOT(ISERROR(SEARCH("Éxitoso",R64)))</formula>
    </cfRule>
  </conditionalFormatting>
  <conditionalFormatting sqref="S64">
    <cfRule type="containsText" dxfId="13424" priority="13717" operator="containsText" text="No se pudo ejecutar">
      <formula>NOT(ISERROR(SEARCH("No se pudo ejecutar",S64)))</formula>
    </cfRule>
    <cfRule type="containsText" dxfId="13423" priority="13718" operator="containsText" text="Pendiente">
      <formula>NOT(ISERROR(SEARCH("Pendiente",S64)))</formula>
    </cfRule>
    <cfRule type="containsText" dxfId="13422" priority="13719" operator="containsText" text="No Aplica">
      <formula>NOT(ISERROR(SEARCH("No Aplica",S64)))</formula>
    </cfRule>
    <cfRule type="containsText" dxfId="13421" priority="13720" operator="containsText" text="Fallido">
      <formula>NOT(ISERROR(SEARCH("Fallido",S64)))</formula>
    </cfRule>
    <cfRule type="containsText" dxfId="13420" priority="13721" operator="containsText" text="Éxitoso">
      <formula>NOT(ISERROR(SEARCH("Éxitoso",S64)))</formula>
    </cfRule>
  </conditionalFormatting>
  <conditionalFormatting sqref="T64">
    <cfRule type="containsText" dxfId="13419" priority="13712" operator="containsText" text="No se pudo ejecutar">
      <formula>NOT(ISERROR(SEARCH("No se pudo ejecutar",T64)))</formula>
    </cfRule>
    <cfRule type="containsText" dxfId="13418" priority="13713" operator="containsText" text="Pendiente">
      <formula>NOT(ISERROR(SEARCH("Pendiente",T64)))</formula>
    </cfRule>
    <cfRule type="containsText" dxfId="13417" priority="13714" operator="containsText" text="No Aplica">
      <formula>NOT(ISERROR(SEARCH("No Aplica",T64)))</formula>
    </cfRule>
    <cfRule type="containsText" dxfId="13416" priority="13715" operator="containsText" text="Fallido">
      <formula>NOT(ISERROR(SEARCH("Fallido",T64)))</formula>
    </cfRule>
    <cfRule type="containsText" dxfId="13415" priority="13716" operator="containsText" text="Éxitoso">
      <formula>NOT(ISERROR(SEARCH("Éxitoso",T64)))</formula>
    </cfRule>
  </conditionalFormatting>
  <conditionalFormatting sqref="U64">
    <cfRule type="containsText" dxfId="13414" priority="13707" operator="containsText" text="No se pudo ejecutar">
      <formula>NOT(ISERROR(SEARCH("No se pudo ejecutar",U64)))</formula>
    </cfRule>
    <cfRule type="containsText" dxfId="13413" priority="13708" operator="containsText" text="Pendiente">
      <formula>NOT(ISERROR(SEARCH("Pendiente",U64)))</formula>
    </cfRule>
    <cfRule type="containsText" dxfId="13412" priority="13709" operator="containsText" text="No Aplica">
      <formula>NOT(ISERROR(SEARCH("No Aplica",U64)))</formula>
    </cfRule>
    <cfRule type="containsText" dxfId="13411" priority="13710" operator="containsText" text="Fallido">
      <formula>NOT(ISERROR(SEARCH("Fallido",U64)))</formula>
    </cfRule>
    <cfRule type="containsText" dxfId="13410" priority="13711" operator="containsText" text="Éxitoso">
      <formula>NOT(ISERROR(SEARCH("Éxitoso",U64)))</formula>
    </cfRule>
  </conditionalFormatting>
  <conditionalFormatting sqref="V64">
    <cfRule type="containsText" dxfId="13409" priority="13702" operator="containsText" text="No se pudo ejecutar">
      <formula>NOT(ISERROR(SEARCH("No se pudo ejecutar",V64)))</formula>
    </cfRule>
    <cfRule type="containsText" dxfId="13408" priority="13703" operator="containsText" text="Pendiente">
      <formula>NOT(ISERROR(SEARCH("Pendiente",V64)))</formula>
    </cfRule>
    <cfRule type="containsText" dxfId="13407" priority="13704" operator="containsText" text="No Aplica">
      <formula>NOT(ISERROR(SEARCH("No Aplica",V64)))</formula>
    </cfRule>
    <cfRule type="containsText" dxfId="13406" priority="13705" operator="containsText" text="Fallido">
      <formula>NOT(ISERROR(SEARCH("Fallido",V64)))</formula>
    </cfRule>
    <cfRule type="containsText" dxfId="13405" priority="13706" operator="containsText" text="Éxitoso">
      <formula>NOT(ISERROR(SEARCH("Éxitoso",V64)))</formula>
    </cfRule>
  </conditionalFormatting>
  <conditionalFormatting sqref="W64">
    <cfRule type="containsText" dxfId="13404" priority="13697" operator="containsText" text="No se pudo ejecutar">
      <formula>NOT(ISERROR(SEARCH("No se pudo ejecutar",W64)))</formula>
    </cfRule>
    <cfRule type="containsText" dxfId="13403" priority="13698" operator="containsText" text="Pendiente">
      <formula>NOT(ISERROR(SEARCH("Pendiente",W64)))</formula>
    </cfRule>
    <cfRule type="containsText" dxfId="13402" priority="13699" operator="containsText" text="No Aplica">
      <formula>NOT(ISERROR(SEARCH("No Aplica",W64)))</formula>
    </cfRule>
    <cfRule type="containsText" dxfId="13401" priority="13700" operator="containsText" text="Fallido">
      <formula>NOT(ISERROR(SEARCH("Fallido",W64)))</formula>
    </cfRule>
    <cfRule type="containsText" dxfId="13400" priority="13701" operator="containsText" text="Éxitoso">
      <formula>NOT(ISERROR(SEARCH("Éxitoso",W64)))</formula>
    </cfRule>
  </conditionalFormatting>
  <conditionalFormatting sqref="M64">
    <cfRule type="containsText" dxfId="13399" priority="13692" operator="containsText" text="No se pudo ejecutar">
      <formula>NOT(ISERROR(SEARCH("No se pudo ejecutar",M64)))</formula>
    </cfRule>
    <cfRule type="containsText" dxfId="13398" priority="13693" operator="containsText" text="Pendiente">
      <formula>NOT(ISERROR(SEARCH("Pendiente",M64)))</formula>
    </cfRule>
    <cfRule type="containsText" dxfId="13397" priority="13694" operator="containsText" text="No Aplica">
      <formula>NOT(ISERROR(SEARCH("No Aplica",M64)))</formula>
    </cfRule>
    <cfRule type="containsText" dxfId="13396" priority="13695" operator="containsText" text="Fallido">
      <formula>NOT(ISERROR(SEARCH("Fallido",M64)))</formula>
    </cfRule>
    <cfRule type="containsText" dxfId="13395" priority="13696" operator="containsText" text="Éxitoso">
      <formula>NOT(ISERROR(SEARCH("Éxitoso",M64)))</formula>
    </cfRule>
  </conditionalFormatting>
  <conditionalFormatting sqref="N65">
    <cfRule type="containsText" dxfId="13394" priority="13684" operator="containsText" text="No se pudo ejecutar">
      <formula>NOT(ISERROR(SEARCH("No se pudo ejecutar",N65)))</formula>
    </cfRule>
    <cfRule type="containsText" dxfId="13393" priority="13685" operator="containsText" text="Pendiente">
      <formula>NOT(ISERROR(SEARCH("Pendiente",N65)))</formula>
    </cfRule>
    <cfRule type="containsText" dxfId="13392" priority="13686" operator="containsText" text="No Aplica">
      <formula>NOT(ISERROR(SEARCH("No Aplica",N65)))</formula>
    </cfRule>
    <cfRule type="containsText" dxfId="13391" priority="13687" operator="containsText" text="Fallido">
      <formula>NOT(ISERROR(SEARCH("Fallido",N65)))</formula>
    </cfRule>
    <cfRule type="containsText" dxfId="13390" priority="13688" operator="containsText" text="Éxitoso">
      <formula>NOT(ISERROR(SEARCH("Éxitoso",N65)))</formula>
    </cfRule>
  </conditionalFormatting>
  <conditionalFormatting sqref="O65">
    <cfRule type="containsText" dxfId="13389" priority="13679" operator="containsText" text="No se pudo ejecutar">
      <formula>NOT(ISERROR(SEARCH("No se pudo ejecutar",O65)))</formula>
    </cfRule>
    <cfRule type="containsText" dxfId="13388" priority="13680" operator="containsText" text="Pendiente">
      <formula>NOT(ISERROR(SEARCH("Pendiente",O65)))</formula>
    </cfRule>
    <cfRule type="containsText" dxfId="13387" priority="13681" operator="containsText" text="No Aplica">
      <formula>NOT(ISERROR(SEARCH("No Aplica",O65)))</formula>
    </cfRule>
    <cfRule type="containsText" dxfId="13386" priority="13682" operator="containsText" text="Fallido">
      <formula>NOT(ISERROR(SEARCH("Fallido",O65)))</formula>
    </cfRule>
    <cfRule type="containsText" dxfId="13385" priority="13683" operator="containsText" text="Éxitoso">
      <formula>NOT(ISERROR(SEARCH("Éxitoso",O65)))</formula>
    </cfRule>
  </conditionalFormatting>
  <conditionalFormatting sqref="P65">
    <cfRule type="containsText" dxfId="13384" priority="13674" operator="containsText" text="No se pudo ejecutar">
      <formula>NOT(ISERROR(SEARCH("No se pudo ejecutar",P65)))</formula>
    </cfRule>
    <cfRule type="containsText" dxfId="13383" priority="13675" operator="containsText" text="Pendiente">
      <formula>NOT(ISERROR(SEARCH("Pendiente",P65)))</formula>
    </cfRule>
    <cfRule type="containsText" dxfId="13382" priority="13676" operator="containsText" text="No Aplica">
      <formula>NOT(ISERROR(SEARCH("No Aplica",P65)))</formula>
    </cfRule>
    <cfRule type="containsText" dxfId="13381" priority="13677" operator="containsText" text="Fallido">
      <formula>NOT(ISERROR(SEARCH("Fallido",P65)))</formula>
    </cfRule>
    <cfRule type="containsText" dxfId="13380" priority="13678" operator="containsText" text="Éxitoso">
      <formula>NOT(ISERROR(SEARCH("Éxitoso",P65)))</formula>
    </cfRule>
  </conditionalFormatting>
  <conditionalFormatting sqref="Q65">
    <cfRule type="containsText" dxfId="13379" priority="13669" operator="containsText" text="No se pudo ejecutar">
      <formula>NOT(ISERROR(SEARCH("No se pudo ejecutar",Q65)))</formula>
    </cfRule>
    <cfRule type="containsText" dxfId="13378" priority="13670" operator="containsText" text="Pendiente">
      <formula>NOT(ISERROR(SEARCH("Pendiente",Q65)))</formula>
    </cfRule>
    <cfRule type="containsText" dxfId="13377" priority="13671" operator="containsText" text="No Aplica">
      <formula>NOT(ISERROR(SEARCH("No Aplica",Q65)))</formula>
    </cfRule>
    <cfRule type="containsText" dxfId="13376" priority="13672" operator="containsText" text="Fallido">
      <formula>NOT(ISERROR(SEARCH("Fallido",Q65)))</formula>
    </cfRule>
    <cfRule type="containsText" dxfId="13375" priority="13673" operator="containsText" text="Éxitoso">
      <formula>NOT(ISERROR(SEARCH("Éxitoso",Q65)))</formula>
    </cfRule>
  </conditionalFormatting>
  <conditionalFormatting sqref="R65">
    <cfRule type="containsText" dxfId="13374" priority="13664" operator="containsText" text="No se pudo ejecutar">
      <formula>NOT(ISERROR(SEARCH("No se pudo ejecutar",R65)))</formula>
    </cfRule>
    <cfRule type="containsText" dxfId="13373" priority="13665" operator="containsText" text="Pendiente">
      <formula>NOT(ISERROR(SEARCH("Pendiente",R65)))</formula>
    </cfRule>
    <cfRule type="containsText" dxfId="13372" priority="13666" operator="containsText" text="No Aplica">
      <formula>NOT(ISERROR(SEARCH("No Aplica",R65)))</formula>
    </cfRule>
    <cfRule type="containsText" dxfId="13371" priority="13667" operator="containsText" text="Fallido">
      <formula>NOT(ISERROR(SEARCH("Fallido",R65)))</formula>
    </cfRule>
    <cfRule type="containsText" dxfId="13370" priority="13668" operator="containsText" text="Éxitoso">
      <formula>NOT(ISERROR(SEARCH("Éxitoso",R65)))</formula>
    </cfRule>
  </conditionalFormatting>
  <conditionalFormatting sqref="S65">
    <cfRule type="containsText" dxfId="13369" priority="13659" operator="containsText" text="No se pudo ejecutar">
      <formula>NOT(ISERROR(SEARCH("No se pudo ejecutar",S65)))</formula>
    </cfRule>
    <cfRule type="containsText" dxfId="13368" priority="13660" operator="containsText" text="Pendiente">
      <formula>NOT(ISERROR(SEARCH("Pendiente",S65)))</formula>
    </cfRule>
    <cfRule type="containsText" dxfId="13367" priority="13661" operator="containsText" text="No Aplica">
      <formula>NOT(ISERROR(SEARCH("No Aplica",S65)))</formula>
    </cfRule>
    <cfRule type="containsText" dxfId="13366" priority="13662" operator="containsText" text="Fallido">
      <formula>NOT(ISERROR(SEARCH("Fallido",S65)))</formula>
    </cfRule>
    <cfRule type="containsText" dxfId="13365" priority="13663" operator="containsText" text="Éxitoso">
      <formula>NOT(ISERROR(SEARCH("Éxitoso",S65)))</formula>
    </cfRule>
  </conditionalFormatting>
  <conditionalFormatting sqref="T65">
    <cfRule type="containsText" dxfId="13364" priority="13654" operator="containsText" text="No se pudo ejecutar">
      <formula>NOT(ISERROR(SEARCH("No se pudo ejecutar",T65)))</formula>
    </cfRule>
    <cfRule type="containsText" dxfId="13363" priority="13655" operator="containsText" text="Pendiente">
      <formula>NOT(ISERROR(SEARCH("Pendiente",T65)))</formula>
    </cfRule>
    <cfRule type="containsText" dxfId="13362" priority="13656" operator="containsText" text="No Aplica">
      <formula>NOT(ISERROR(SEARCH("No Aplica",T65)))</formula>
    </cfRule>
    <cfRule type="containsText" dxfId="13361" priority="13657" operator="containsText" text="Fallido">
      <formula>NOT(ISERROR(SEARCH("Fallido",T65)))</formula>
    </cfRule>
    <cfRule type="containsText" dxfId="13360" priority="13658" operator="containsText" text="Éxitoso">
      <formula>NOT(ISERROR(SEARCH("Éxitoso",T65)))</formula>
    </cfRule>
  </conditionalFormatting>
  <conditionalFormatting sqref="U65">
    <cfRule type="containsText" dxfId="13359" priority="13649" operator="containsText" text="No se pudo ejecutar">
      <formula>NOT(ISERROR(SEARCH("No se pudo ejecutar",U65)))</formula>
    </cfRule>
    <cfRule type="containsText" dxfId="13358" priority="13650" operator="containsText" text="Pendiente">
      <formula>NOT(ISERROR(SEARCH("Pendiente",U65)))</formula>
    </cfRule>
    <cfRule type="containsText" dxfId="13357" priority="13651" operator="containsText" text="No Aplica">
      <formula>NOT(ISERROR(SEARCH("No Aplica",U65)))</formula>
    </cfRule>
    <cfRule type="containsText" dxfId="13356" priority="13652" operator="containsText" text="Fallido">
      <formula>NOT(ISERROR(SEARCH("Fallido",U65)))</formula>
    </cfRule>
    <cfRule type="containsText" dxfId="13355" priority="13653" operator="containsText" text="Éxitoso">
      <formula>NOT(ISERROR(SEARCH("Éxitoso",U65)))</formula>
    </cfRule>
  </conditionalFormatting>
  <conditionalFormatting sqref="V65">
    <cfRule type="containsText" dxfId="13354" priority="13644" operator="containsText" text="No se pudo ejecutar">
      <formula>NOT(ISERROR(SEARCH("No se pudo ejecutar",V65)))</formula>
    </cfRule>
    <cfRule type="containsText" dxfId="13353" priority="13645" operator="containsText" text="Pendiente">
      <formula>NOT(ISERROR(SEARCH("Pendiente",V65)))</formula>
    </cfRule>
    <cfRule type="containsText" dxfId="13352" priority="13646" operator="containsText" text="No Aplica">
      <formula>NOT(ISERROR(SEARCH("No Aplica",V65)))</formula>
    </cfRule>
    <cfRule type="containsText" dxfId="13351" priority="13647" operator="containsText" text="Fallido">
      <formula>NOT(ISERROR(SEARCH("Fallido",V65)))</formula>
    </cfRule>
    <cfRule type="containsText" dxfId="13350" priority="13648" operator="containsText" text="Éxitoso">
      <formula>NOT(ISERROR(SEARCH("Éxitoso",V65)))</formula>
    </cfRule>
  </conditionalFormatting>
  <conditionalFormatting sqref="W65">
    <cfRule type="containsText" dxfId="13349" priority="13639" operator="containsText" text="No se pudo ejecutar">
      <formula>NOT(ISERROR(SEARCH("No se pudo ejecutar",W65)))</formula>
    </cfRule>
    <cfRule type="containsText" dxfId="13348" priority="13640" operator="containsText" text="Pendiente">
      <formula>NOT(ISERROR(SEARCH("Pendiente",W65)))</formula>
    </cfRule>
    <cfRule type="containsText" dxfId="13347" priority="13641" operator="containsText" text="No Aplica">
      <formula>NOT(ISERROR(SEARCH("No Aplica",W65)))</formula>
    </cfRule>
    <cfRule type="containsText" dxfId="13346" priority="13642" operator="containsText" text="Fallido">
      <formula>NOT(ISERROR(SEARCH("Fallido",W65)))</formula>
    </cfRule>
    <cfRule type="containsText" dxfId="13345" priority="13643" operator="containsText" text="Éxitoso">
      <formula>NOT(ISERROR(SEARCH("Éxitoso",W65)))</formula>
    </cfRule>
  </conditionalFormatting>
  <conditionalFormatting sqref="M65">
    <cfRule type="containsText" dxfId="13344" priority="13634" operator="containsText" text="No se pudo ejecutar">
      <formula>NOT(ISERROR(SEARCH("No se pudo ejecutar",M65)))</formula>
    </cfRule>
    <cfRule type="containsText" dxfId="13343" priority="13635" operator="containsText" text="Pendiente">
      <formula>NOT(ISERROR(SEARCH("Pendiente",M65)))</formula>
    </cfRule>
    <cfRule type="containsText" dxfId="13342" priority="13636" operator="containsText" text="No Aplica">
      <formula>NOT(ISERROR(SEARCH("No Aplica",M65)))</formula>
    </cfRule>
    <cfRule type="containsText" dxfId="13341" priority="13637" operator="containsText" text="Fallido">
      <formula>NOT(ISERROR(SEARCH("Fallido",M65)))</formula>
    </cfRule>
    <cfRule type="containsText" dxfId="13340" priority="13638" operator="containsText" text="Éxitoso">
      <formula>NOT(ISERROR(SEARCH("Éxitoso",M65)))</formula>
    </cfRule>
  </conditionalFormatting>
  <conditionalFormatting sqref="G65">
    <cfRule type="containsText" dxfId="13339" priority="13631" operator="containsText" text="Bajo">
      <formula>NOT(ISERROR(SEARCH("Bajo",G65)))</formula>
    </cfRule>
    <cfRule type="containsText" dxfId="13338" priority="13632" operator="containsText" text="Medio">
      <formula>NOT(ISERROR(SEARCH("Medio",G65)))</formula>
    </cfRule>
    <cfRule type="containsText" dxfId="13337" priority="13633" operator="containsText" text="Alto">
      <formula>NOT(ISERROR(SEARCH("Alto",G65)))</formula>
    </cfRule>
  </conditionalFormatting>
  <conditionalFormatting sqref="N66">
    <cfRule type="containsText" dxfId="13336" priority="13626" operator="containsText" text="No se pudo ejecutar">
      <formula>NOT(ISERROR(SEARCH("No se pudo ejecutar",N66)))</formula>
    </cfRule>
    <cfRule type="containsText" dxfId="13335" priority="13627" operator="containsText" text="Pendiente">
      <formula>NOT(ISERROR(SEARCH("Pendiente",N66)))</formula>
    </cfRule>
    <cfRule type="containsText" dxfId="13334" priority="13628" operator="containsText" text="No Aplica">
      <formula>NOT(ISERROR(SEARCH("No Aplica",N66)))</formula>
    </cfRule>
    <cfRule type="containsText" dxfId="13333" priority="13629" operator="containsText" text="Fallido">
      <formula>NOT(ISERROR(SEARCH("Fallido",N66)))</formula>
    </cfRule>
    <cfRule type="containsText" dxfId="13332" priority="13630" operator="containsText" text="Éxitoso">
      <formula>NOT(ISERROR(SEARCH("Éxitoso",N66)))</formula>
    </cfRule>
  </conditionalFormatting>
  <conditionalFormatting sqref="O66">
    <cfRule type="containsText" dxfId="13331" priority="13621" operator="containsText" text="No se pudo ejecutar">
      <formula>NOT(ISERROR(SEARCH("No se pudo ejecutar",O66)))</formula>
    </cfRule>
    <cfRule type="containsText" dxfId="13330" priority="13622" operator="containsText" text="Pendiente">
      <formula>NOT(ISERROR(SEARCH("Pendiente",O66)))</formula>
    </cfRule>
    <cfRule type="containsText" dxfId="13329" priority="13623" operator="containsText" text="No Aplica">
      <formula>NOT(ISERROR(SEARCH("No Aplica",O66)))</formula>
    </cfRule>
    <cfRule type="containsText" dxfId="13328" priority="13624" operator="containsText" text="Fallido">
      <formula>NOT(ISERROR(SEARCH("Fallido",O66)))</formula>
    </cfRule>
    <cfRule type="containsText" dxfId="13327" priority="13625" operator="containsText" text="Éxitoso">
      <formula>NOT(ISERROR(SEARCH("Éxitoso",O66)))</formula>
    </cfRule>
  </conditionalFormatting>
  <conditionalFormatting sqref="P66">
    <cfRule type="containsText" dxfId="13326" priority="13616" operator="containsText" text="No se pudo ejecutar">
      <formula>NOT(ISERROR(SEARCH("No se pudo ejecutar",P66)))</formula>
    </cfRule>
    <cfRule type="containsText" dxfId="13325" priority="13617" operator="containsText" text="Pendiente">
      <formula>NOT(ISERROR(SEARCH("Pendiente",P66)))</formula>
    </cfRule>
    <cfRule type="containsText" dxfId="13324" priority="13618" operator="containsText" text="No Aplica">
      <formula>NOT(ISERROR(SEARCH("No Aplica",P66)))</formula>
    </cfRule>
    <cfRule type="containsText" dxfId="13323" priority="13619" operator="containsText" text="Fallido">
      <formula>NOT(ISERROR(SEARCH("Fallido",P66)))</formula>
    </cfRule>
    <cfRule type="containsText" dxfId="13322" priority="13620" operator="containsText" text="Éxitoso">
      <formula>NOT(ISERROR(SEARCH("Éxitoso",P66)))</formula>
    </cfRule>
  </conditionalFormatting>
  <conditionalFormatting sqref="Q66">
    <cfRule type="containsText" dxfId="13321" priority="13611" operator="containsText" text="No se pudo ejecutar">
      <formula>NOT(ISERROR(SEARCH("No se pudo ejecutar",Q66)))</formula>
    </cfRule>
    <cfRule type="containsText" dxfId="13320" priority="13612" operator="containsText" text="Pendiente">
      <formula>NOT(ISERROR(SEARCH("Pendiente",Q66)))</formula>
    </cfRule>
    <cfRule type="containsText" dxfId="13319" priority="13613" operator="containsText" text="No Aplica">
      <formula>NOT(ISERROR(SEARCH("No Aplica",Q66)))</formula>
    </cfRule>
    <cfRule type="containsText" dxfId="13318" priority="13614" operator="containsText" text="Fallido">
      <formula>NOT(ISERROR(SEARCH("Fallido",Q66)))</formula>
    </cfRule>
    <cfRule type="containsText" dxfId="13317" priority="13615" operator="containsText" text="Éxitoso">
      <formula>NOT(ISERROR(SEARCH("Éxitoso",Q66)))</formula>
    </cfRule>
  </conditionalFormatting>
  <conditionalFormatting sqref="R66">
    <cfRule type="containsText" dxfId="13316" priority="13606" operator="containsText" text="No se pudo ejecutar">
      <formula>NOT(ISERROR(SEARCH("No se pudo ejecutar",R66)))</formula>
    </cfRule>
    <cfRule type="containsText" dxfId="13315" priority="13607" operator="containsText" text="Pendiente">
      <formula>NOT(ISERROR(SEARCH("Pendiente",R66)))</formula>
    </cfRule>
    <cfRule type="containsText" dxfId="13314" priority="13608" operator="containsText" text="No Aplica">
      <formula>NOT(ISERROR(SEARCH("No Aplica",R66)))</formula>
    </cfRule>
    <cfRule type="containsText" dxfId="13313" priority="13609" operator="containsText" text="Fallido">
      <formula>NOT(ISERROR(SEARCH("Fallido",R66)))</formula>
    </cfRule>
    <cfRule type="containsText" dxfId="13312" priority="13610" operator="containsText" text="Éxitoso">
      <formula>NOT(ISERROR(SEARCH("Éxitoso",R66)))</formula>
    </cfRule>
  </conditionalFormatting>
  <conditionalFormatting sqref="S66">
    <cfRule type="containsText" dxfId="13311" priority="13601" operator="containsText" text="No se pudo ejecutar">
      <formula>NOT(ISERROR(SEARCH("No se pudo ejecutar",S66)))</formula>
    </cfRule>
    <cfRule type="containsText" dxfId="13310" priority="13602" operator="containsText" text="Pendiente">
      <formula>NOT(ISERROR(SEARCH("Pendiente",S66)))</formula>
    </cfRule>
    <cfRule type="containsText" dxfId="13309" priority="13603" operator="containsText" text="No Aplica">
      <formula>NOT(ISERROR(SEARCH("No Aplica",S66)))</formula>
    </cfRule>
    <cfRule type="containsText" dxfId="13308" priority="13604" operator="containsText" text="Fallido">
      <formula>NOT(ISERROR(SEARCH("Fallido",S66)))</formula>
    </cfRule>
    <cfRule type="containsText" dxfId="13307" priority="13605" operator="containsText" text="Éxitoso">
      <formula>NOT(ISERROR(SEARCH("Éxitoso",S66)))</formula>
    </cfRule>
  </conditionalFormatting>
  <conditionalFormatting sqref="T66">
    <cfRule type="containsText" dxfId="13306" priority="13596" operator="containsText" text="No se pudo ejecutar">
      <formula>NOT(ISERROR(SEARCH("No se pudo ejecutar",T66)))</formula>
    </cfRule>
    <cfRule type="containsText" dxfId="13305" priority="13597" operator="containsText" text="Pendiente">
      <formula>NOT(ISERROR(SEARCH("Pendiente",T66)))</formula>
    </cfRule>
    <cfRule type="containsText" dxfId="13304" priority="13598" operator="containsText" text="No Aplica">
      <formula>NOT(ISERROR(SEARCH("No Aplica",T66)))</formula>
    </cfRule>
    <cfRule type="containsText" dxfId="13303" priority="13599" operator="containsText" text="Fallido">
      <formula>NOT(ISERROR(SEARCH("Fallido",T66)))</formula>
    </cfRule>
    <cfRule type="containsText" dxfId="13302" priority="13600" operator="containsText" text="Éxitoso">
      <formula>NOT(ISERROR(SEARCH("Éxitoso",T66)))</formula>
    </cfRule>
  </conditionalFormatting>
  <conditionalFormatting sqref="U66">
    <cfRule type="containsText" dxfId="13301" priority="13591" operator="containsText" text="No se pudo ejecutar">
      <formula>NOT(ISERROR(SEARCH("No se pudo ejecutar",U66)))</formula>
    </cfRule>
    <cfRule type="containsText" dxfId="13300" priority="13592" operator="containsText" text="Pendiente">
      <formula>NOT(ISERROR(SEARCH("Pendiente",U66)))</formula>
    </cfRule>
    <cfRule type="containsText" dxfId="13299" priority="13593" operator="containsText" text="No Aplica">
      <formula>NOT(ISERROR(SEARCH("No Aplica",U66)))</formula>
    </cfRule>
    <cfRule type="containsText" dxfId="13298" priority="13594" operator="containsText" text="Fallido">
      <formula>NOT(ISERROR(SEARCH("Fallido",U66)))</formula>
    </cfRule>
    <cfRule type="containsText" dxfId="13297" priority="13595" operator="containsText" text="Éxitoso">
      <formula>NOT(ISERROR(SEARCH("Éxitoso",U66)))</formula>
    </cfRule>
  </conditionalFormatting>
  <conditionalFormatting sqref="V66">
    <cfRule type="containsText" dxfId="13296" priority="13586" operator="containsText" text="No se pudo ejecutar">
      <formula>NOT(ISERROR(SEARCH("No se pudo ejecutar",V66)))</formula>
    </cfRule>
    <cfRule type="containsText" dxfId="13295" priority="13587" operator="containsText" text="Pendiente">
      <formula>NOT(ISERROR(SEARCH("Pendiente",V66)))</formula>
    </cfRule>
    <cfRule type="containsText" dxfId="13294" priority="13588" operator="containsText" text="No Aplica">
      <formula>NOT(ISERROR(SEARCH("No Aplica",V66)))</formula>
    </cfRule>
    <cfRule type="containsText" dxfId="13293" priority="13589" operator="containsText" text="Fallido">
      <formula>NOT(ISERROR(SEARCH("Fallido",V66)))</formula>
    </cfRule>
    <cfRule type="containsText" dxfId="13292" priority="13590" operator="containsText" text="Éxitoso">
      <formula>NOT(ISERROR(SEARCH("Éxitoso",V66)))</formula>
    </cfRule>
  </conditionalFormatting>
  <conditionalFormatting sqref="W66">
    <cfRule type="containsText" dxfId="13291" priority="13581" operator="containsText" text="No se pudo ejecutar">
      <formula>NOT(ISERROR(SEARCH("No se pudo ejecutar",W66)))</formula>
    </cfRule>
    <cfRule type="containsText" dxfId="13290" priority="13582" operator="containsText" text="Pendiente">
      <formula>NOT(ISERROR(SEARCH("Pendiente",W66)))</formula>
    </cfRule>
    <cfRule type="containsText" dxfId="13289" priority="13583" operator="containsText" text="No Aplica">
      <formula>NOT(ISERROR(SEARCH("No Aplica",W66)))</formula>
    </cfRule>
    <cfRule type="containsText" dxfId="13288" priority="13584" operator="containsText" text="Fallido">
      <formula>NOT(ISERROR(SEARCH("Fallido",W66)))</formula>
    </cfRule>
    <cfRule type="containsText" dxfId="13287" priority="13585" operator="containsText" text="Éxitoso">
      <formula>NOT(ISERROR(SEARCH("Éxitoso",W66)))</formula>
    </cfRule>
  </conditionalFormatting>
  <conditionalFormatting sqref="M66">
    <cfRule type="containsText" dxfId="13286" priority="13576" operator="containsText" text="No se pudo ejecutar">
      <formula>NOT(ISERROR(SEARCH("No se pudo ejecutar",M66)))</formula>
    </cfRule>
    <cfRule type="containsText" dxfId="13285" priority="13577" operator="containsText" text="Pendiente">
      <formula>NOT(ISERROR(SEARCH("Pendiente",M66)))</formula>
    </cfRule>
    <cfRule type="containsText" dxfId="13284" priority="13578" operator="containsText" text="No Aplica">
      <formula>NOT(ISERROR(SEARCH("No Aplica",M66)))</formula>
    </cfRule>
    <cfRule type="containsText" dxfId="13283" priority="13579" operator="containsText" text="Fallido">
      <formula>NOT(ISERROR(SEARCH("Fallido",M66)))</formula>
    </cfRule>
    <cfRule type="containsText" dxfId="13282" priority="13580" operator="containsText" text="Éxitoso">
      <formula>NOT(ISERROR(SEARCH("Éxitoso",M66)))</formula>
    </cfRule>
  </conditionalFormatting>
  <conditionalFormatting sqref="G66">
    <cfRule type="containsText" dxfId="13281" priority="13573" operator="containsText" text="Bajo">
      <formula>NOT(ISERROR(SEARCH("Bajo",G66)))</formula>
    </cfRule>
    <cfRule type="containsText" dxfId="13280" priority="13574" operator="containsText" text="Medio">
      <formula>NOT(ISERROR(SEARCH("Medio",G66)))</formula>
    </cfRule>
    <cfRule type="containsText" dxfId="13279" priority="13575" operator="containsText" text="Alto">
      <formula>NOT(ISERROR(SEARCH("Alto",G66)))</formula>
    </cfRule>
  </conditionalFormatting>
  <conditionalFormatting sqref="N67">
    <cfRule type="containsText" dxfId="13278" priority="13568" operator="containsText" text="No se pudo ejecutar">
      <formula>NOT(ISERROR(SEARCH("No se pudo ejecutar",N67)))</formula>
    </cfRule>
    <cfRule type="containsText" dxfId="13277" priority="13569" operator="containsText" text="Pendiente">
      <formula>NOT(ISERROR(SEARCH("Pendiente",N67)))</formula>
    </cfRule>
    <cfRule type="containsText" dxfId="13276" priority="13570" operator="containsText" text="No Aplica">
      <formula>NOT(ISERROR(SEARCH("No Aplica",N67)))</formula>
    </cfRule>
    <cfRule type="containsText" dxfId="13275" priority="13571" operator="containsText" text="Fallido">
      <formula>NOT(ISERROR(SEARCH("Fallido",N67)))</formula>
    </cfRule>
    <cfRule type="containsText" dxfId="13274" priority="13572" operator="containsText" text="Éxitoso">
      <formula>NOT(ISERROR(SEARCH("Éxitoso",N67)))</formula>
    </cfRule>
  </conditionalFormatting>
  <conditionalFormatting sqref="O67">
    <cfRule type="containsText" dxfId="13273" priority="13563" operator="containsText" text="No se pudo ejecutar">
      <formula>NOT(ISERROR(SEARCH("No se pudo ejecutar",O67)))</formula>
    </cfRule>
    <cfRule type="containsText" dxfId="13272" priority="13564" operator="containsText" text="Pendiente">
      <formula>NOT(ISERROR(SEARCH("Pendiente",O67)))</formula>
    </cfRule>
    <cfRule type="containsText" dxfId="13271" priority="13565" operator="containsText" text="No Aplica">
      <formula>NOT(ISERROR(SEARCH("No Aplica",O67)))</formula>
    </cfRule>
    <cfRule type="containsText" dxfId="13270" priority="13566" operator="containsText" text="Fallido">
      <formula>NOT(ISERROR(SEARCH("Fallido",O67)))</formula>
    </cfRule>
    <cfRule type="containsText" dxfId="13269" priority="13567" operator="containsText" text="Éxitoso">
      <formula>NOT(ISERROR(SEARCH("Éxitoso",O67)))</formula>
    </cfRule>
  </conditionalFormatting>
  <conditionalFormatting sqref="P67">
    <cfRule type="containsText" dxfId="13268" priority="13558" operator="containsText" text="No se pudo ejecutar">
      <formula>NOT(ISERROR(SEARCH("No se pudo ejecutar",P67)))</formula>
    </cfRule>
    <cfRule type="containsText" dxfId="13267" priority="13559" operator="containsText" text="Pendiente">
      <formula>NOT(ISERROR(SEARCH("Pendiente",P67)))</formula>
    </cfRule>
    <cfRule type="containsText" dxfId="13266" priority="13560" operator="containsText" text="No Aplica">
      <formula>NOT(ISERROR(SEARCH("No Aplica",P67)))</formula>
    </cfRule>
    <cfRule type="containsText" dxfId="13265" priority="13561" operator="containsText" text="Fallido">
      <formula>NOT(ISERROR(SEARCH("Fallido",P67)))</formula>
    </cfRule>
    <cfRule type="containsText" dxfId="13264" priority="13562" operator="containsText" text="Éxitoso">
      <formula>NOT(ISERROR(SEARCH("Éxitoso",P67)))</formula>
    </cfRule>
  </conditionalFormatting>
  <conditionalFormatting sqref="Q67">
    <cfRule type="containsText" dxfId="13263" priority="13553" operator="containsText" text="No se pudo ejecutar">
      <formula>NOT(ISERROR(SEARCH("No se pudo ejecutar",Q67)))</formula>
    </cfRule>
    <cfRule type="containsText" dxfId="13262" priority="13554" operator="containsText" text="Pendiente">
      <formula>NOT(ISERROR(SEARCH("Pendiente",Q67)))</formula>
    </cfRule>
    <cfRule type="containsText" dxfId="13261" priority="13555" operator="containsText" text="No Aplica">
      <formula>NOT(ISERROR(SEARCH("No Aplica",Q67)))</formula>
    </cfRule>
    <cfRule type="containsText" dxfId="13260" priority="13556" operator="containsText" text="Fallido">
      <formula>NOT(ISERROR(SEARCH("Fallido",Q67)))</formula>
    </cfRule>
    <cfRule type="containsText" dxfId="13259" priority="13557" operator="containsText" text="Éxitoso">
      <formula>NOT(ISERROR(SEARCH("Éxitoso",Q67)))</formula>
    </cfRule>
  </conditionalFormatting>
  <conditionalFormatting sqref="R67">
    <cfRule type="containsText" dxfId="13258" priority="13548" operator="containsText" text="No se pudo ejecutar">
      <formula>NOT(ISERROR(SEARCH("No se pudo ejecutar",R67)))</formula>
    </cfRule>
    <cfRule type="containsText" dxfId="13257" priority="13549" operator="containsText" text="Pendiente">
      <formula>NOT(ISERROR(SEARCH("Pendiente",R67)))</formula>
    </cfRule>
    <cfRule type="containsText" dxfId="13256" priority="13550" operator="containsText" text="No Aplica">
      <formula>NOT(ISERROR(SEARCH("No Aplica",R67)))</formula>
    </cfRule>
    <cfRule type="containsText" dxfId="13255" priority="13551" operator="containsText" text="Fallido">
      <formula>NOT(ISERROR(SEARCH("Fallido",R67)))</formula>
    </cfRule>
    <cfRule type="containsText" dxfId="13254" priority="13552" operator="containsText" text="Éxitoso">
      <formula>NOT(ISERROR(SEARCH("Éxitoso",R67)))</formula>
    </cfRule>
  </conditionalFormatting>
  <conditionalFormatting sqref="S67">
    <cfRule type="containsText" dxfId="13253" priority="13543" operator="containsText" text="No se pudo ejecutar">
      <formula>NOT(ISERROR(SEARCH("No se pudo ejecutar",S67)))</formula>
    </cfRule>
    <cfRule type="containsText" dxfId="13252" priority="13544" operator="containsText" text="Pendiente">
      <formula>NOT(ISERROR(SEARCH("Pendiente",S67)))</formula>
    </cfRule>
    <cfRule type="containsText" dxfId="13251" priority="13545" operator="containsText" text="No Aplica">
      <formula>NOT(ISERROR(SEARCH("No Aplica",S67)))</formula>
    </cfRule>
    <cfRule type="containsText" dxfId="13250" priority="13546" operator="containsText" text="Fallido">
      <formula>NOT(ISERROR(SEARCH("Fallido",S67)))</formula>
    </cfRule>
    <cfRule type="containsText" dxfId="13249" priority="13547" operator="containsText" text="Éxitoso">
      <formula>NOT(ISERROR(SEARCH("Éxitoso",S67)))</formula>
    </cfRule>
  </conditionalFormatting>
  <conditionalFormatting sqref="T67">
    <cfRule type="containsText" dxfId="13248" priority="13538" operator="containsText" text="No se pudo ejecutar">
      <formula>NOT(ISERROR(SEARCH("No se pudo ejecutar",T67)))</formula>
    </cfRule>
    <cfRule type="containsText" dxfId="13247" priority="13539" operator="containsText" text="Pendiente">
      <formula>NOT(ISERROR(SEARCH("Pendiente",T67)))</formula>
    </cfRule>
    <cfRule type="containsText" dxfId="13246" priority="13540" operator="containsText" text="No Aplica">
      <formula>NOT(ISERROR(SEARCH("No Aplica",T67)))</formula>
    </cfRule>
    <cfRule type="containsText" dxfId="13245" priority="13541" operator="containsText" text="Fallido">
      <formula>NOT(ISERROR(SEARCH("Fallido",T67)))</formula>
    </cfRule>
    <cfRule type="containsText" dxfId="13244" priority="13542" operator="containsText" text="Éxitoso">
      <formula>NOT(ISERROR(SEARCH("Éxitoso",T67)))</formula>
    </cfRule>
  </conditionalFormatting>
  <conditionalFormatting sqref="U67">
    <cfRule type="containsText" dxfId="13243" priority="13533" operator="containsText" text="No se pudo ejecutar">
      <formula>NOT(ISERROR(SEARCH("No se pudo ejecutar",U67)))</formula>
    </cfRule>
    <cfRule type="containsText" dxfId="13242" priority="13534" operator="containsText" text="Pendiente">
      <formula>NOT(ISERROR(SEARCH("Pendiente",U67)))</formula>
    </cfRule>
    <cfRule type="containsText" dxfId="13241" priority="13535" operator="containsText" text="No Aplica">
      <formula>NOT(ISERROR(SEARCH("No Aplica",U67)))</formula>
    </cfRule>
    <cfRule type="containsText" dxfId="13240" priority="13536" operator="containsText" text="Fallido">
      <formula>NOT(ISERROR(SEARCH("Fallido",U67)))</formula>
    </cfRule>
    <cfRule type="containsText" dxfId="13239" priority="13537" operator="containsText" text="Éxitoso">
      <formula>NOT(ISERROR(SEARCH("Éxitoso",U67)))</formula>
    </cfRule>
  </conditionalFormatting>
  <conditionalFormatting sqref="V67">
    <cfRule type="containsText" dxfId="13238" priority="13528" operator="containsText" text="No se pudo ejecutar">
      <formula>NOT(ISERROR(SEARCH("No se pudo ejecutar",V67)))</formula>
    </cfRule>
    <cfRule type="containsText" dxfId="13237" priority="13529" operator="containsText" text="Pendiente">
      <formula>NOT(ISERROR(SEARCH("Pendiente",V67)))</formula>
    </cfRule>
    <cfRule type="containsText" dxfId="13236" priority="13530" operator="containsText" text="No Aplica">
      <formula>NOT(ISERROR(SEARCH("No Aplica",V67)))</formula>
    </cfRule>
    <cfRule type="containsText" dxfId="13235" priority="13531" operator="containsText" text="Fallido">
      <formula>NOT(ISERROR(SEARCH("Fallido",V67)))</formula>
    </cfRule>
    <cfRule type="containsText" dxfId="13234" priority="13532" operator="containsText" text="Éxitoso">
      <formula>NOT(ISERROR(SEARCH("Éxitoso",V67)))</formula>
    </cfRule>
  </conditionalFormatting>
  <conditionalFormatting sqref="W67">
    <cfRule type="containsText" dxfId="13233" priority="13523" operator="containsText" text="No se pudo ejecutar">
      <formula>NOT(ISERROR(SEARCH("No se pudo ejecutar",W67)))</formula>
    </cfRule>
    <cfRule type="containsText" dxfId="13232" priority="13524" operator="containsText" text="Pendiente">
      <formula>NOT(ISERROR(SEARCH("Pendiente",W67)))</formula>
    </cfRule>
    <cfRule type="containsText" dxfId="13231" priority="13525" operator="containsText" text="No Aplica">
      <formula>NOT(ISERROR(SEARCH("No Aplica",W67)))</formula>
    </cfRule>
    <cfRule type="containsText" dxfId="13230" priority="13526" operator="containsText" text="Fallido">
      <formula>NOT(ISERROR(SEARCH("Fallido",W67)))</formula>
    </cfRule>
    <cfRule type="containsText" dxfId="13229" priority="13527" operator="containsText" text="Éxitoso">
      <formula>NOT(ISERROR(SEARCH("Éxitoso",W67)))</formula>
    </cfRule>
  </conditionalFormatting>
  <conditionalFormatting sqref="M67">
    <cfRule type="containsText" dxfId="13228" priority="13518" operator="containsText" text="No se pudo ejecutar">
      <formula>NOT(ISERROR(SEARCH("No se pudo ejecutar",M67)))</formula>
    </cfRule>
    <cfRule type="containsText" dxfId="13227" priority="13519" operator="containsText" text="Pendiente">
      <formula>NOT(ISERROR(SEARCH("Pendiente",M67)))</formula>
    </cfRule>
    <cfRule type="containsText" dxfId="13226" priority="13520" operator="containsText" text="No Aplica">
      <formula>NOT(ISERROR(SEARCH("No Aplica",M67)))</formula>
    </cfRule>
    <cfRule type="containsText" dxfId="13225" priority="13521" operator="containsText" text="Fallido">
      <formula>NOT(ISERROR(SEARCH("Fallido",M67)))</formula>
    </cfRule>
    <cfRule type="containsText" dxfId="13224" priority="13522" operator="containsText" text="Éxitoso">
      <formula>NOT(ISERROR(SEARCH("Éxitoso",M67)))</formula>
    </cfRule>
  </conditionalFormatting>
  <conditionalFormatting sqref="G67">
    <cfRule type="containsText" dxfId="13223" priority="13515" operator="containsText" text="Bajo">
      <formula>NOT(ISERROR(SEARCH("Bajo",G67)))</formula>
    </cfRule>
    <cfRule type="containsText" dxfId="13222" priority="13516" operator="containsText" text="Medio">
      <formula>NOT(ISERROR(SEARCH("Medio",G67)))</formula>
    </cfRule>
    <cfRule type="containsText" dxfId="13221" priority="13517" operator="containsText" text="Alto">
      <formula>NOT(ISERROR(SEARCH("Alto",G67)))</formula>
    </cfRule>
  </conditionalFormatting>
  <conditionalFormatting sqref="N68">
    <cfRule type="containsText" dxfId="13220" priority="13510" operator="containsText" text="No se pudo ejecutar">
      <formula>NOT(ISERROR(SEARCH("No se pudo ejecutar",N68)))</formula>
    </cfRule>
    <cfRule type="containsText" dxfId="13219" priority="13511" operator="containsText" text="Pendiente">
      <formula>NOT(ISERROR(SEARCH("Pendiente",N68)))</formula>
    </cfRule>
    <cfRule type="containsText" dxfId="13218" priority="13512" operator="containsText" text="No Aplica">
      <formula>NOT(ISERROR(SEARCH("No Aplica",N68)))</formula>
    </cfRule>
    <cfRule type="containsText" dxfId="13217" priority="13513" operator="containsText" text="Fallido">
      <formula>NOT(ISERROR(SEARCH("Fallido",N68)))</formula>
    </cfRule>
    <cfRule type="containsText" dxfId="13216" priority="13514" operator="containsText" text="Éxitoso">
      <formula>NOT(ISERROR(SEARCH("Éxitoso",N68)))</formula>
    </cfRule>
  </conditionalFormatting>
  <conditionalFormatting sqref="O68">
    <cfRule type="containsText" dxfId="13215" priority="13505" operator="containsText" text="No se pudo ejecutar">
      <formula>NOT(ISERROR(SEARCH("No se pudo ejecutar",O68)))</formula>
    </cfRule>
    <cfRule type="containsText" dxfId="13214" priority="13506" operator="containsText" text="Pendiente">
      <formula>NOT(ISERROR(SEARCH("Pendiente",O68)))</formula>
    </cfRule>
    <cfRule type="containsText" dxfId="13213" priority="13507" operator="containsText" text="No Aplica">
      <formula>NOT(ISERROR(SEARCH("No Aplica",O68)))</formula>
    </cfRule>
    <cfRule type="containsText" dxfId="13212" priority="13508" operator="containsText" text="Fallido">
      <formula>NOT(ISERROR(SEARCH("Fallido",O68)))</formula>
    </cfRule>
    <cfRule type="containsText" dxfId="13211" priority="13509" operator="containsText" text="Éxitoso">
      <formula>NOT(ISERROR(SEARCH("Éxitoso",O68)))</formula>
    </cfRule>
  </conditionalFormatting>
  <conditionalFormatting sqref="P68">
    <cfRule type="containsText" dxfId="13210" priority="13500" operator="containsText" text="No se pudo ejecutar">
      <formula>NOT(ISERROR(SEARCH("No se pudo ejecutar",P68)))</formula>
    </cfRule>
    <cfRule type="containsText" dxfId="13209" priority="13501" operator="containsText" text="Pendiente">
      <formula>NOT(ISERROR(SEARCH("Pendiente",P68)))</formula>
    </cfRule>
    <cfRule type="containsText" dxfId="13208" priority="13502" operator="containsText" text="No Aplica">
      <formula>NOT(ISERROR(SEARCH("No Aplica",P68)))</formula>
    </cfRule>
    <cfRule type="containsText" dxfId="13207" priority="13503" operator="containsText" text="Fallido">
      <formula>NOT(ISERROR(SEARCH("Fallido",P68)))</formula>
    </cfRule>
    <cfRule type="containsText" dxfId="13206" priority="13504" operator="containsText" text="Éxitoso">
      <formula>NOT(ISERROR(SEARCH("Éxitoso",P68)))</formula>
    </cfRule>
  </conditionalFormatting>
  <conditionalFormatting sqref="Q68">
    <cfRule type="containsText" dxfId="13205" priority="13495" operator="containsText" text="No se pudo ejecutar">
      <formula>NOT(ISERROR(SEARCH("No se pudo ejecutar",Q68)))</formula>
    </cfRule>
    <cfRule type="containsText" dxfId="13204" priority="13496" operator="containsText" text="Pendiente">
      <formula>NOT(ISERROR(SEARCH("Pendiente",Q68)))</formula>
    </cfRule>
    <cfRule type="containsText" dxfId="13203" priority="13497" operator="containsText" text="No Aplica">
      <formula>NOT(ISERROR(SEARCH("No Aplica",Q68)))</formula>
    </cfRule>
    <cfRule type="containsText" dxfId="13202" priority="13498" operator="containsText" text="Fallido">
      <formula>NOT(ISERROR(SEARCH("Fallido",Q68)))</formula>
    </cfRule>
    <cfRule type="containsText" dxfId="13201" priority="13499" operator="containsText" text="Éxitoso">
      <formula>NOT(ISERROR(SEARCH("Éxitoso",Q68)))</formula>
    </cfRule>
  </conditionalFormatting>
  <conditionalFormatting sqref="R68">
    <cfRule type="containsText" dxfId="13200" priority="13490" operator="containsText" text="No se pudo ejecutar">
      <formula>NOT(ISERROR(SEARCH("No se pudo ejecutar",R68)))</formula>
    </cfRule>
    <cfRule type="containsText" dxfId="13199" priority="13491" operator="containsText" text="Pendiente">
      <formula>NOT(ISERROR(SEARCH("Pendiente",R68)))</formula>
    </cfRule>
    <cfRule type="containsText" dxfId="13198" priority="13492" operator="containsText" text="No Aplica">
      <formula>NOT(ISERROR(SEARCH("No Aplica",R68)))</formula>
    </cfRule>
    <cfRule type="containsText" dxfId="13197" priority="13493" operator="containsText" text="Fallido">
      <formula>NOT(ISERROR(SEARCH("Fallido",R68)))</formula>
    </cfRule>
    <cfRule type="containsText" dxfId="13196" priority="13494" operator="containsText" text="Éxitoso">
      <formula>NOT(ISERROR(SEARCH("Éxitoso",R68)))</formula>
    </cfRule>
  </conditionalFormatting>
  <conditionalFormatting sqref="S68">
    <cfRule type="containsText" dxfId="13195" priority="13485" operator="containsText" text="No se pudo ejecutar">
      <formula>NOT(ISERROR(SEARCH("No se pudo ejecutar",S68)))</formula>
    </cfRule>
    <cfRule type="containsText" dxfId="13194" priority="13486" operator="containsText" text="Pendiente">
      <formula>NOT(ISERROR(SEARCH("Pendiente",S68)))</formula>
    </cfRule>
    <cfRule type="containsText" dxfId="13193" priority="13487" operator="containsText" text="No Aplica">
      <formula>NOT(ISERROR(SEARCH("No Aplica",S68)))</formula>
    </cfRule>
    <cfRule type="containsText" dxfId="13192" priority="13488" operator="containsText" text="Fallido">
      <formula>NOT(ISERROR(SEARCH("Fallido",S68)))</formula>
    </cfRule>
    <cfRule type="containsText" dxfId="13191" priority="13489" operator="containsText" text="Éxitoso">
      <formula>NOT(ISERROR(SEARCH("Éxitoso",S68)))</formula>
    </cfRule>
  </conditionalFormatting>
  <conditionalFormatting sqref="T68">
    <cfRule type="containsText" dxfId="13190" priority="13480" operator="containsText" text="No se pudo ejecutar">
      <formula>NOT(ISERROR(SEARCH("No se pudo ejecutar",T68)))</formula>
    </cfRule>
    <cfRule type="containsText" dxfId="13189" priority="13481" operator="containsText" text="Pendiente">
      <formula>NOT(ISERROR(SEARCH("Pendiente",T68)))</formula>
    </cfRule>
    <cfRule type="containsText" dxfId="13188" priority="13482" operator="containsText" text="No Aplica">
      <formula>NOT(ISERROR(SEARCH("No Aplica",T68)))</formula>
    </cfRule>
    <cfRule type="containsText" dxfId="13187" priority="13483" operator="containsText" text="Fallido">
      <formula>NOT(ISERROR(SEARCH("Fallido",T68)))</formula>
    </cfRule>
    <cfRule type="containsText" dxfId="13186" priority="13484" operator="containsText" text="Éxitoso">
      <formula>NOT(ISERROR(SEARCH("Éxitoso",T68)))</formula>
    </cfRule>
  </conditionalFormatting>
  <conditionalFormatting sqref="U68">
    <cfRule type="containsText" dxfId="13185" priority="13475" operator="containsText" text="No se pudo ejecutar">
      <formula>NOT(ISERROR(SEARCH("No se pudo ejecutar",U68)))</formula>
    </cfRule>
    <cfRule type="containsText" dxfId="13184" priority="13476" operator="containsText" text="Pendiente">
      <formula>NOT(ISERROR(SEARCH("Pendiente",U68)))</formula>
    </cfRule>
    <cfRule type="containsText" dxfId="13183" priority="13477" operator="containsText" text="No Aplica">
      <formula>NOT(ISERROR(SEARCH("No Aplica",U68)))</formula>
    </cfRule>
    <cfRule type="containsText" dxfId="13182" priority="13478" operator="containsText" text="Fallido">
      <formula>NOT(ISERROR(SEARCH("Fallido",U68)))</formula>
    </cfRule>
    <cfRule type="containsText" dxfId="13181" priority="13479" operator="containsText" text="Éxitoso">
      <formula>NOT(ISERROR(SEARCH("Éxitoso",U68)))</formula>
    </cfRule>
  </conditionalFormatting>
  <conditionalFormatting sqref="V68">
    <cfRule type="containsText" dxfId="13180" priority="13470" operator="containsText" text="No se pudo ejecutar">
      <formula>NOT(ISERROR(SEARCH("No se pudo ejecutar",V68)))</formula>
    </cfRule>
    <cfRule type="containsText" dxfId="13179" priority="13471" operator="containsText" text="Pendiente">
      <formula>NOT(ISERROR(SEARCH("Pendiente",V68)))</formula>
    </cfRule>
    <cfRule type="containsText" dxfId="13178" priority="13472" operator="containsText" text="No Aplica">
      <formula>NOT(ISERROR(SEARCH("No Aplica",V68)))</formula>
    </cfRule>
    <cfRule type="containsText" dxfId="13177" priority="13473" operator="containsText" text="Fallido">
      <formula>NOT(ISERROR(SEARCH("Fallido",V68)))</formula>
    </cfRule>
    <cfRule type="containsText" dxfId="13176" priority="13474" operator="containsText" text="Éxitoso">
      <formula>NOT(ISERROR(SEARCH("Éxitoso",V68)))</formula>
    </cfRule>
  </conditionalFormatting>
  <conditionalFormatting sqref="W68">
    <cfRule type="containsText" dxfId="13175" priority="13465" operator="containsText" text="No se pudo ejecutar">
      <formula>NOT(ISERROR(SEARCH("No se pudo ejecutar",W68)))</formula>
    </cfRule>
    <cfRule type="containsText" dxfId="13174" priority="13466" operator="containsText" text="Pendiente">
      <formula>NOT(ISERROR(SEARCH("Pendiente",W68)))</formula>
    </cfRule>
    <cfRule type="containsText" dxfId="13173" priority="13467" operator="containsText" text="No Aplica">
      <formula>NOT(ISERROR(SEARCH("No Aplica",W68)))</formula>
    </cfRule>
    <cfRule type="containsText" dxfId="13172" priority="13468" operator="containsText" text="Fallido">
      <formula>NOT(ISERROR(SEARCH("Fallido",W68)))</formula>
    </cfRule>
    <cfRule type="containsText" dxfId="13171" priority="13469" operator="containsText" text="Éxitoso">
      <formula>NOT(ISERROR(SEARCH("Éxitoso",W68)))</formula>
    </cfRule>
  </conditionalFormatting>
  <conditionalFormatting sqref="M68">
    <cfRule type="containsText" dxfId="13170" priority="13460" operator="containsText" text="No se pudo ejecutar">
      <formula>NOT(ISERROR(SEARCH("No se pudo ejecutar",M68)))</formula>
    </cfRule>
    <cfRule type="containsText" dxfId="13169" priority="13461" operator="containsText" text="Pendiente">
      <formula>NOT(ISERROR(SEARCH("Pendiente",M68)))</formula>
    </cfRule>
    <cfRule type="containsText" dxfId="13168" priority="13462" operator="containsText" text="No Aplica">
      <formula>NOT(ISERROR(SEARCH("No Aplica",M68)))</formula>
    </cfRule>
    <cfRule type="containsText" dxfId="13167" priority="13463" operator="containsText" text="Fallido">
      <formula>NOT(ISERROR(SEARCH("Fallido",M68)))</formula>
    </cfRule>
    <cfRule type="containsText" dxfId="13166" priority="13464" operator="containsText" text="Éxitoso">
      <formula>NOT(ISERROR(SEARCH("Éxitoso",M68)))</formula>
    </cfRule>
  </conditionalFormatting>
  <conditionalFormatting sqref="G68:G69">
    <cfRule type="containsText" dxfId="13165" priority="13457" operator="containsText" text="Bajo">
      <formula>NOT(ISERROR(SEARCH("Bajo",G68)))</formula>
    </cfRule>
    <cfRule type="containsText" dxfId="13164" priority="13458" operator="containsText" text="Medio">
      <formula>NOT(ISERROR(SEARCH("Medio",G68)))</formula>
    </cfRule>
    <cfRule type="containsText" dxfId="13163" priority="13459" operator="containsText" text="Alto">
      <formula>NOT(ISERROR(SEARCH("Alto",G68)))</formula>
    </cfRule>
  </conditionalFormatting>
  <conditionalFormatting sqref="N69">
    <cfRule type="containsText" dxfId="13162" priority="13452" operator="containsText" text="No se pudo ejecutar">
      <formula>NOT(ISERROR(SEARCH("No se pudo ejecutar",N69)))</formula>
    </cfRule>
    <cfRule type="containsText" dxfId="13161" priority="13453" operator="containsText" text="Pendiente">
      <formula>NOT(ISERROR(SEARCH("Pendiente",N69)))</formula>
    </cfRule>
    <cfRule type="containsText" dxfId="13160" priority="13454" operator="containsText" text="No Aplica">
      <formula>NOT(ISERROR(SEARCH("No Aplica",N69)))</formula>
    </cfRule>
    <cfRule type="containsText" dxfId="13159" priority="13455" operator="containsText" text="Fallido">
      <formula>NOT(ISERROR(SEARCH("Fallido",N69)))</formula>
    </cfRule>
    <cfRule type="containsText" dxfId="13158" priority="13456" operator="containsText" text="Éxitoso">
      <formula>NOT(ISERROR(SEARCH("Éxitoso",N69)))</formula>
    </cfRule>
  </conditionalFormatting>
  <conditionalFormatting sqref="O69">
    <cfRule type="containsText" dxfId="13157" priority="13447" operator="containsText" text="No se pudo ejecutar">
      <formula>NOT(ISERROR(SEARCH("No se pudo ejecutar",O69)))</formula>
    </cfRule>
    <cfRule type="containsText" dxfId="13156" priority="13448" operator="containsText" text="Pendiente">
      <formula>NOT(ISERROR(SEARCH("Pendiente",O69)))</formula>
    </cfRule>
    <cfRule type="containsText" dxfId="13155" priority="13449" operator="containsText" text="No Aplica">
      <formula>NOT(ISERROR(SEARCH("No Aplica",O69)))</formula>
    </cfRule>
    <cfRule type="containsText" dxfId="13154" priority="13450" operator="containsText" text="Fallido">
      <formula>NOT(ISERROR(SEARCH("Fallido",O69)))</formula>
    </cfRule>
    <cfRule type="containsText" dxfId="13153" priority="13451" operator="containsText" text="Éxitoso">
      <formula>NOT(ISERROR(SEARCH("Éxitoso",O69)))</formula>
    </cfRule>
  </conditionalFormatting>
  <conditionalFormatting sqref="P69">
    <cfRule type="containsText" dxfId="13152" priority="13442" operator="containsText" text="No se pudo ejecutar">
      <formula>NOT(ISERROR(SEARCH("No se pudo ejecutar",P69)))</formula>
    </cfRule>
    <cfRule type="containsText" dxfId="13151" priority="13443" operator="containsText" text="Pendiente">
      <formula>NOT(ISERROR(SEARCH("Pendiente",P69)))</formula>
    </cfRule>
    <cfRule type="containsText" dxfId="13150" priority="13444" operator="containsText" text="No Aplica">
      <formula>NOT(ISERROR(SEARCH("No Aplica",P69)))</formula>
    </cfRule>
    <cfRule type="containsText" dxfId="13149" priority="13445" operator="containsText" text="Fallido">
      <formula>NOT(ISERROR(SEARCH("Fallido",P69)))</formula>
    </cfRule>
    <cfRule type="containsText" dxfId="13148" priority="13446" operator="containsText" text="Éxitoso">
      <formula>NOT(ISERROR(SEARCH("Éxitoso",P69)))</formula>
    </cfRule>
  </conditionalFormatting>
  <conditionalFormatting sqref="Q69">
    <cfRule type="containsText" dxfId="13147" priority="13437" operator="containsText" text="No se pudo ejecutar">
      <formula>NOT(ISERROR(SEARCH("No se pudo ejecutar",Q69)))</formula>
    </cfRule>
    <cfRule type="containsText" dxfId="13146" priority="13438" operator="containsText" text="Pendiente">
      <formula>NOT(ISERROR(SEARCH("Pendiente",Q69)))</formula>
    </cfRule>
    <cfRule type="containsText" dxfId="13145" priority="13439" operator="containsText" text="No Aplica">
      <formula>NOT(ISERROR(SEARCH("No Aplica",Q69)))</formula>
    </cfRule>
    <cfRule type="containsText" dxfId="13144" priority="13440" operator="containsText" text="Fallido">
      <formula>NOT(ISERROR(SEARCH("Fallido",Q69)))</formula>
    </cfRule>
    <cfRule type="containsText" dxfId="13143" priority="13441" operator="containsText" text="Éxitoso">
      <formula>NOT(ISERROR(SEARCH("Éxitoso",Q69)))</formula>
    </cfRule>
  </conditionalFormatting>
  <conditionalFormatting sqref="R69">
    <cfRule type="containsText" dxfId="13142" priority="13432" operator="containsText" text="No se pudo ejecutar">
      <formula>NOT(ISERROR(SEARCH("No se pudo ejecutar",R69)))</formula>
    </cfRule>
    <cfRule type="containsText" dxfId="13141" priority="13433" operator="containsText" text="Pendiente">
      <formula>NOT(ISERROR(SEARCH("Pendiente",R69)))</formula>
    </cfRule>
    <cfRule type="containsText" dxfId="13140" priority="13434" operator="containsText" text="No Aplica">
      <formula>NOT(ISERROR(SEARCH("No Aplica",R69)))</formula>
    </cfRule>
    <cfRule type="containsText" dxfId="13139" priority="13435" operator="containsText" text="Fallido">
      <formula>NOT(ISERROR(SEARCH("Fallido",R69)))</formula>
    </cfRule>
    <cfRule type="containsText" dxfId="13138" priority="13436" operator="containsText" text="Éxitoso">
      <formula>NOT(ISERROR(SEARCH("Éxitoso",R69)))</formula>
    </cfRule>
  </conditionalFormatting>
  <conditionalFormatting sqref="S69">
    <cfRule type="containsText" dxfId="13137" priority="13427" operator="containsText" text="No se pudo ejecutar">
      <formula>NOT(ISERROR(SEARCH("No se pudo ejecutar",S69)))</formula>
    </cfRule>
    <cfRule type="containsText" dxfId="13136" priority="13428" operator="containsText" text="Pendiente">
      <formula>NOT(ISERROR(SEARCH("Pendiente",S69)))</formula>
    </cfRule>
    <cfRule type="containsText" dxfId="13135" priority="13429" operator="containsText" text="No Aplica">
      <formula>NOT(ISERROR(SEARCH("No Aplica",S69)))</formula>
    </cfRule>
    <cfRule type="containsText" dxfId="13134" priority="13430" operator="containsText" text="Fallido">
      <formula>NOT(ISERROR(SEARCH("Fallido",S69)))</formula>
    </cfRule>
    <cfRule type="containsText" dxfId="13133" priority="13431" operator="containsText" text="Éxitoso">
      <formula>NOT(ISERROR(SEARCH("Éxitoso",S69)))</formula>
    </cfRule>
  </conditionalFormatting>
  <conditionalFormatting sqref="T69">
    <cfRule type="containsText" dxfId="13132" priority="13422" operator="containsText" text="No se pudo ejecutar">
      <formula>NOT(ISERROR(SEARCH("No se pudo ejecutar",T69)))</formula>
    </cfRule>
    <cfRule type="containsText" dxfId="13131" priority="13423" operator="containsText" text="Pendiente">
      <formula>NOT(ISERROR(SEARCH("Pendiente",T69)))</formula>
    </cfRule>
    <cfRule type="containsText" dxfId="13130" priority="13424" operator="containsText" text="No Aplica">
      <formula>NOT(ISERROR(SEARCH("No Aplica",T69)))</formula>
    </cfRule>
    <cfRule type="containsText" dxfId="13129" priority="13425" operator="containsText" text="Fallido">
      <formula>NOT(ISERROR(SEARCH("Fallido",T69)))</formula>
    </cfRule>
    <cfRule type="containsText" dxfId="13128" priority="13426" operator="containsText" text="Éxitoso">
      <formula>NOT(ISERROR(SEARCH("Éxitoso",T69)))</formula>
    </cfRule>
  </conditionalFormatting>
  <conditionalFormatting sqref="U69">
    <cfRule type="containsText" dxfId="13127" priority="13417" operator="containsText" text="No se pudo ejecutar">
      <formula>NOT(ISERROR(SEARCH("No se pudo ejecutar",U69)))</formula>
    </cfRule>
    <cfRule type="containsText" dxfId="13126" priority="13418" operator="containsText" text="Pendiente">
      <formula>NOT(ISERROR(SEARCH("Pendiente",U69)))</formula>
    </cfRule>
    <cfRule type="containsText" dxfId="13125" priority="13419" operator="containsText" text="No Aplica">
      <formula>NOT(ISERROR(SEARCH("No Aplica",U69)))</formula>
    </cfRule>
    <cfRule type="containsText" dxfId="13124" priority="13420" operator="containsText" text="Fallido">
      <formula>NOT(ISERROR(SEARCH("Fallido",U69)))</formula>
    </cfRule>
    <cfRule type="containsText" dxfId="13123" priority="13421" operator="containsText" text="Éxitoso">
      <formula>NOT(ISERROR(SEARCH("Éxitoso",U69)))</formula>
    </cfRule>
  </conditionalFormatting>
  <conditionalFormatting sqref="V69">
    <cfRule type="containsText" dxfId="13122" priority="13412" operator="containsText" text="No se pudo ejecutar">
      <formula>NOT(ISERROR(SEARCH("No se pudo ejecutar",V69)))</formula>
    </cfRule>
    <cfRule type="containsText" dxfId="13121" priority="13413" operator="containsText" text="Pendiente">
      <formula>NOT(ISERROR(SEARCH("Pendiente",V69)))</formula>
    </cfRule>
    <cfRule type="containsText" dxfId="13120" priority="13414" operator="containsText" text="No Aplica">
      <formula>NOT(ISERROR(SEARCH("No Aplica",V69)))</formula>
    </cfRule>
    <cfRule type="containsText" dxfId="13119" priority="13415" operator="containsText" text="Fallido">
      <formula>NOT(ISERROR(SEARCH("Fallido",V69)))</formula>
    </cfRule>
    <cfRule type="containsText" dxfId="13118" priority="13416" operator="containsText" text="Éxitoso">
      <formula>NOT(ISERROR(SEARCH("Éxitoso",V69)))</formula>
    </cfRule>
  </conditionalFormatting>
  <conditionalFormatting sqref="W69">
    <cfRule type="containsText" dxfId="13117" priority="13407" operator="containsText" text="No se pudo ejecutar">
      <formula>NOT(ISERROR(SEARCH("No se pudo ejecutar",W69)))</formula>
    </cfRule>
    <cfRule type="containsText" dxfId="13116" priority="13408" operator="containsText" text="Pendiente">
      <formula>NOT(ISERROR(SEARCH("Pendiente",W69)))</formula>
    </cfRule>
    <cfRule type="containsText" dxfId="13115" priority="13409" operator="containsText" text="No Aplica">
      <formula>NOT(ISERROR(SEARCH("No Aplica",W69)))</formula>
    </cfRule>
    <cfRule type="containsText" dxfId="13114" priority="13410" operator="containsText" text="Fallido">
      <formula>NOT(ISERROR(SEARCH("Fallido",W69)))</formula>
    </cfRule>
    <cfRule type="containsText" dxfId="13113" priority="13411" operator="containsText" text="Éxitoso">
      <formula>NOT(ISERROR(SEARCH("Éxitoso",W69)))</formula>
    </cfRule>
  </conditionalFormatting>
  <conditionalFormatting sqref="M69">
    <cfRule type="containsText" dxfId="13112" priority="13402" operator="containsText" text="No se pudo ejecutar">
      <formula>NOT(ISERROR(SEARCH("No se pudo ejecutar",M69)))</formula>
    </cfRule>
    <cfRule type="containsText" dxfId="13111" priority="13403" operator="containsText" text="Pendiente">
      <formula>NOT(ISERROR(SEARCH("Pendiente",M69)))</formula>
    </cfRule>
    <cfRule type="containsText" dxfId="13110" priority="13404" operator="containsText" text="No Aplica">
      <formula>NOT(ISERROR(SEARCH("No Aplica",M69)))</formula>
    </cfRule>
    <cfRule type="containsText" dxfId="13109" priority="13405" operator="containsText" text="Fallido">
      <formula>NOT(ISERROR(SEARCH("Fallido",M69)))</formula>
    </cfRule>
    <cfRule type="containsText" dxfId="13108" priority="13406" operator="containsText" text="Éxitoso">
      <formula>NOT(ISERROR(SEARCH("Éxitoso",M69)))</formula>
    </cfRule>
  </conditionalFormatting>
  <conditionalFormatting sqref="N70">
    <cfRule type="containsText" dxfId="13107" priority="13394" operator="containsText" text="No se pudo ejecutar">
      <formula>NOT(ISERROR(SEARCH("No se pudo ejecutar",N70)))</formula>
    </cfRule>
    <cfRule type="containsText" dxfId="13106" priority="13395" operator="containsText" text="Pendiente">
      <formula>NOT(ISERROR(SEARCH("Pendiente",N70)))</formula>
    </cfRule>
    <cfRule type="containsText" dxfId="13105" priority="13396" operator="containsText" text="No Aplica">
      <formula>NOT(ISERROR(SEARCH("No Aplica",N70)))</formula>
    </cfRule>
    <cfRule type="containsText" dxfId="13104" priority="13397" operator="containsText" text="Fallido">
      <formula>NOT(ISERROR(SEARCH("Fallido",N70)))</formula>
    </cfRule>
    <cfRule type="containsText" dxfId="13103" priority="13398" operator="containsText" text="Éxitoso">
      <formula>NOT(ISERROR(SEARCH("Éxitoso",N70)))</formula>
    </cfRule>
  </conditionalFormatting>
  <conditionalFormatting sqref="O70">
    <cfRule type="containsText" dxfId="13102" priority="13389" operator="containsText" text="No se pudo ejecutar">
      <formula>NOT(ISERROR(SEARCH("No se pudo ejecutar",O70)))</formula>
    </cfRule>
    <cfRule type="containsText" dxfId="13101" priority="13390" operator="containsText" text="Pendiente">
      <formula>NOT(ISERROR(SEARCH("Pendiente",O70)))</formula>
    </cfRule>
    <cfRule type="containsText" dxfId="13100" priority="13391" operator="containsText" text="No Aplica">
      <formula>NOT(ISERROR(SEARCH("No Aplica",O70)))</formula>
    </cfRule>
    <cfRule type="containsText" dxfId="13099" priority="13392" operator="containsText" text="Fallido">
      <formula>NOT(ISERROR(SEARCH("Fallido",O70)))</formula>
    </cfRule>
    <cfRule type="containsText" dxfId="13098" priority="13393" operator="containsText" text="Éxitoso">
      <formula>NOT(ISERROR(SEARCH("Éxitoso",O70)))</formula>
    </cfRule>
  </conditionalFormatting>
  <conditionalFormatting sqref="P70">
    <cfRule type="containsText" dxfId="13097" priority="13384" operator="containsText" text="No se pudo ejecutar">
      <formula>NOT(ISERROR(SEARCH("No se pudo ejecutar",P70)))</formula>
    </cfRule>
    <cfRule type="containsText" dxfId="13096" priority="13385" operator="containsText" text="Pendiente">
      <formula>NOT(ISERROR(SEARCH("Pendiente",P70)))</formula>
    </cfRule>
    <cfRule type="containsText" dxfId="13095" priority="13386" operator="containsText" text="No Aplica">
      <formula>NOT(ISERROR(SEARCH("No Aplica",P70)))</formula>
    </cfRule>
    <cfRule type="containsText" dxfId="13094" priority="13387" operator="containsText" text="Fallido">
      <formula>NOT(ISERROR(SEARCH("Fallido",P70)))</formula>
    </cfRule>
    <cfRule type="containsText" dxfId="13093" priority="13388" operator="containsText" text="Éxitoso">
      <formula>NOT(ISERROR(SEARCH("Éxitoso",P70)))</formula>
    </cfRule>
  </conditionalFormatting>
  <conditionalFormatting sqref="Q70">
    <cfRule type="containsText" dxfId="13092" priority="13379" operator="containsText" text="No se pudo ejecutar">
      <formula>NOT(ISERROR(SEARCH("No se pudo ejecutar",Q70)))</formula>
    </cfRule>
    <cfRule type="containsText" dxfId="13091" priority="13380" operator="containsText" text="Pendiente">
      <formula>NOT(ISERROR(SEARCH("Pendiente",Q70)))</formula>
    </cfRule>
    <cfRule type="containsText" dxfId="13090" priority="13381" operator="containsText" text="No Aplica">
      <formula>NOT(ISERROR(SEARCH("No Aplica",Q70)))</formula>
    </cfRule>
    <cfRule type="containsText" dxfId="13089" priority="13382" operator="containsText" text="Fallido">
      <formula>NOT(ISERROR(SEARCH("Fallido",Q70)))</formula>
    </cfRule>
    <cfRule type="containsText" dxfId="13088" priority="13383" operator="containsText" text="Éxitoso">
      <formula>NOT(ISERROR(SEARCH("Éxitoso",Q70)))</formula>
    </cfRule>
  </conditionalFormatting>
  <conditionalFormatting sqref="R70">
    <cfRule type="containsText" dxfId="13087" priority="13374" operator="containsText" text="No se pudo ejecutar">
      <formula>NOT(ISERROR(SEARCH("No se pudo ejecutar",R70)))</formula>
    </cfRule>
    <cfRule type="containsText" dxfId="13086" priority="13375" operator="containsText" text="Pendiente">
      <formula>NOT(ISERROR(SEARCH("Pendiente",R70)))</formula>
    </cfRule>
    <cfRule type="containsText" dxfId="13085" priority="13376" operator="containsText" text="No Aplica">
      <formula>NOT(ISERROR(SEARCH("No Aplica",R70)))</formula>
    </cfRule>
    <cfRule type="containsText" dxfId="13084" priority="13377" operator="containsText" text="Fallido">
      <formula>NOT(ISERROR(SEARCH("Fallido",R70)))</formula>
    </cfRule>
    <cfRule type="containsText" dxfId="13083" priority="13378" operator="containsText" text="Éxitoso">
      <formula>NOT(ISERROR(SEARCH("Éxitoso",R70)))</formula>
    </cfRule>
  </conditionalFormatting>
  <conditionalFormatting sqref="S70">
    <cfRule type="containsText" dxfId="13082" priority="13369" operator="containsText" text="No se pudo ejecutar">
      <formula>NOT(ISERROR(SEARCH("No se pudo ejecutar",S70)))</formula>
    </cfRule>
    <cfRule type="containsText" dxfId="13081" priority="13370" operator="containsText" text="Pendiente">
      <formula>NOT(ISERROR(SEARCH("Pendiente",S70)))</formula>
    </cfRule>
    <cfRule type="containsText" dxfId="13080" priority="13371" operator="containsText" text="No Aplica">
      <formula>NOT(ISERROR(SEARCH("No Aplica",S70)))</formula>
    </cfRule>
    <cfRule type="containsText" dxfId="13079" priority="13372" operator="containsText" text="Fallido">
      <formula>NOT(ISERROR(SEARCH("Fallido",S70)))</formula>
    </cfRule>
    <cfRule type="containsText" dxfId="13078" priority="13373" operator="containsText" text="Éxitoso">
      <formula>NOT(ISERROR(SEARCH("Éxitoso",S70)))</formula>
    </cfRule>
  </conditionalFormatting>
  <conditionalFormatting sqref="T70">
    <cfRule type="containsText" dxfId="13077" priority="13364" operator="containsText" text="No se pudo ejecutar">
      <formula>NOT(ISERROR(SEARCH("No se pudo ejecutar",T70)))</formula>
    </cfRule>
    <cfRule type="containsText" dxfId="13076" priority="13365" operator="containsText" text="Pendiente">
      <formula>NOT(ISERROR(SEARCH("Pendiente",T70)))</formula>
    </cfRule>
    <cfRule type="containsText" dxfId="13075" priority="13366" operator="containsText" text="No Aplica">
      <formula>NOT(ISERROR(SEARCH("No Aplica",T70)))</formula>
    </cfRule>
    <cfRule type="containsText" dxfId="13074" priority="13367" operator="containsText" text="Fallido">
      <formula>NOT(ISERROR(SEARCH("Fallido",T70)))</formula>
    </cfRule>
    <cfRule type="containsText" dxfId="13073" priority="13368" operator="containsText" text="Éxitoso">
      <formula>NOT(ISERROR(SEARCH("Éxitoso",T70)))</formula>
    </cfRule>
  </conditionalFormatting>
  <conditionalFormatting sqref="U70">
    <cfRule type="containsText" dxfId="13072" priority="13359" operator="containsText" text="No se pudo ejecutar">
      <formula>NOT(ISERROR(SEARCH("No se pudo ejecutar",U70)))</formula>
    </cfRule>
    <cfRule type="containsText" dxfId="13071" priority="13360" operator="containsText" text="Pendiente">
      <formula>NOT(ISERROR(SEARCH("Pendiente",U70)))</formula>
    </cfRule>
    <cfRule type="containsText" dxfId="13070" priority="13361" operator="containsText" text="No Aplica">
      <formula>NOT(ISERROR(SEARCH("No Aplica",U70)))</formula>
    </cfRule>
    <cfRule type="containsText" dxfId="13069" priority="13362" operator="containsText" text="Fallido">
      <formula>NOT(ISERROR(SEARCH("Fallido",U70)))</formula>
    </cfRule>
    <cfRule type="containsText" dxfId="13068" priority="13363" operator="containsText" text="Éxitoso">
      <formula>NOT(ISERROR(SEARCH("Éxitoso",U70)))</formula>
    </cfRule>
  </conditionalFormatting>
  <conditionalFormatting sqref="V70">
    <cfRule type="containsText" dxfId="13067" priority="13354" operator="containsText" text="No se pudo ejecutar">
      <formula>NOT(ISERROR(SEARCH("No se pudo ejecutar",V70)))</formula>
    </cfRule>
    <cfRule type="containsText" dxfId="13066" priority="13355" operator="containsText" text="Pendiente">
      <formula>NOT(ISERROR(SEARCH("Pendiente",V70)))</formula>
    </cfRule>
    <cfRule type="containsText" dxfId="13065" priority="13356" operator="containsText" text="No Aplica">
      <formula>NOT(ISERROR(SEARCH("No Aplica",V70)))</formula>
    </cfRule>
    <cfRule type="containsText" dxfId="13064" priority="13357" operator="containsText" text="Fallido">
      <formula>NOT(ISERROR(SEARCH("Fallido",V70)))</formula>
    </cfRule>
    <cfRule type="containsText" dxfId="13063" priority="13358" operator="containsText" text="Éxitoso">
      <formula>NOT(ISERROR(SEARCH("Éxitoso",V70)))</formula>
    </cfRule>
  </conditionalFormatting>
  <conditionalFormatting sqref="W70">
    <cfRule type="containsText" dxfId="13062" priority="13349" operator="containsText" text="No se pudo ejecutar">
      <formula>NOT(ISERROR(SEARCH("No se pudo ejecutar",W70)))</formula>
    </cfRule>
    <cfRule type="containsText" dxfId="13061" priority="13350" operator="containsText" text="Pendiente">
      <formula>NOT(ISERROR(SEARCH("Pendiente",W70)))</formula>
    </cfRule>
    <cfRule type="containsText" dxfId="13060" priority="13351" operator="containsText" text="No Aplica">
      <formula>NOT(ISERROR(SEARCH("No Aplica",W70)))</formula>
    </cfRule>
    <cfRule type="containsText" dxfId="13059" priority="13352" operator="containsText" text="Fallido">
      <formula>NOT(ISERROR(SEARCH("Fallido",W70)))</formula>
    </cfRule>
    <cfRule type="containsText" dxfId="13058" priority="13353" operator="containsText" text="Éxitoso">
      <formula>NOT(ISERROR(SEARCH("Éxitoso",W70)))</formula>
    </cfRule>
  </conditionalFormatting>
  <conditionalFormatting sqref="M70">
    <cfRule type="containsText" dxfId="13057" priority="13344" operator="containsText" text="No se pudo ejecutar">
      <formula>NOT(ISERROR(SEARCH("No se pudo ejecutar",M70)))</formula>
    </cfRule>
    <cfRule type="containsText" dxfId="13056" priority="13345" operator="containsText" text="Pendiente">
      <formula>NOT(ISERROR(SEARCH("Pendiente",M70)))</formula>
    </cfRule>
    <cfRule type="containsText" dxfId="13055" priority="13346" operator="containsText" text="No Aplica">
      <formula>NOT(ISERROR(SEARCH("No Aplica",M70)))</formula>
    </cfRule>
    <cfRule type="containsText" dxfId="13054" priority="13347" operator="containsText" text="Fallido">
      <formula>NOT(ISERROR(SEARCH("Fallido",M70)))</formula>
    </cfRule>
    <cfRule type="containsText" dxfId="13053" priority="13348" operator="containsText" text="Éxitoso">
      <formula>NOT(ISERROR(SEARCH("Éxitoso",M70)))</formula>
    </cfRule>
  </conditionalFormatting>
  <conditionalFormatting sqref="G70">
    <cfRule type="containsText" dxfId="13052" priority="13341" operator="containsText" text="Bajo">
      <formula>NOT(ISERROR(SEARCH("Bajo",G70)))</formula>
    </cfRule>
    <cfRule type="containsText" dxfId="13051" priority="13342" operator="containsText" text="Medio">
      <formula>NOT(ISERROR(SEARCH("Medio",G70)))</formula>
    </cfRule>
    <cfRule type="containsText" dxfId="13050" priority="13343" operator="containsText" text="Alto">
      <formula>NOT(ISERROR(SEARCH("Alto",G70)))</formula>
    </cfRule>
  </conditionalFormatting>
  <conditionalFormatting sqref="N71">
    <cfRule type="containsText" dxfId="13049" priority="13336" operator="containsText" text="No se pudo ejecutar">
      <formula>NOT(ISERROR(SEARCH("No se pudo ejecutar",N71)))</formula>
    </cfRule>
    <cfRule type="containsText" dxfId="13048" priority="13337" operator="containsText" text="Pendiente">
      <formula>NOT(ISERROR(SEARCH("Pendiente",N71)))</formula>
    </cfRule>
    <cfRule type="containsText" dxfId="13047" priority="13338" operator="containsText" text="No Aplica">
      <formula>NOT(ISERROR(SEARCH("No Aplica",N71)))</formula>
    </cfRule>
    <cfRule type="containsText" dxfId="13046" priority="13339" operator="containsText" text="Fallido">
      <formula>NOT(ISERROR(SEARCH("Fallido",N71)))</formula>
    </cfRule>
    <cfRule type="containsText" dxfId="13045" priority="13340" operator="containsText" text="Éxitoso">
      <formula>NOT(ISERROR(SEARCH("Éxitoso",N71)))</formula>
    </cfRule>
  </conditionalFormatting>
  <conditionalFormatting sqref="O71">
    <cfRule type="containsText" dxfId="13044" priority="13331" operator="containsText" text="No se pudo ejecutar">
      <formula>NOT(ISERROR(SEARCH("No se pudo ejecutar",O71)))</formula>
    </cfRule>
    <cfRule type="containsText" dxfId="13043" priority="13332" operator="containsText" text="Pendiente">
      <formula>NOT(ISERROR(SEARCH("Pendiente",O71)))</formula>
    </cfRule>
    <cfRule type="containsText" dxfId="13042" priority="13333" operator="containsText" text="No Aplica">
      <formula>NOT(ISERROR(SEARCH("No Aplica",O71)))</formula>
    </cfRule>
    <cfRule type="containsText" dxfId="13041" priority="13334" operator="containsText" text="Fallido">
      <formula>NOT(ISERROR(SEARCH("Fallido",O71)))</formula>
    </cfRule>
    <cfRule type="containsText" dxfId="13040" priority="13335" operator="containsText" text="Éxitoso">
      <formula>NOT(ISERROR(SEARCH("Éxitoso",O71)))</formula>
    </cfRule>
  </conditionalFormatting>
  <conditionalFormatting sqref="P71">
    <cfRule type="containsText" dxfId="13039" priority="13326" operator="containsText" text="No se pudo ejecutar">
      <formula>NOT(ISERROR(SEARCH("No se pudo ejecutar",P71)))</formula>
    </cfRule>
    <cfRule type="containsText" dxfId="13038" priority="13327" operator="containsText" text="Pendiente">
      <formula>NOT(ISERROR(SEARCH("Pendiente",P71)))</formula>
    </cfRule>
    <cfRule type="containsText" dxfId="13037" priority="13328" operator="containsText" text="No Aplica">
      <formula>NOT(ISERROR(SEARCH("No Aplica",P71)))</formula>
    </cfRule>
    <cfRule type="containsText" dxfId="13036" priority="13329" operator="containsText" text="Fallido">
      <formula>NOT(ISERROR(SEARCH("Fallido",P71)))</formula>
    </cfRule>
    <cfRule type="containsText" dxfId="13035" priority="13330" operator="containsText" text="Éxitoso">
      <formula>NOT(ISERROR(SEARCH("Éxitoso",P71)))</formula>
    </cfRule>
  </conditionalFormatting>
  <conditionalFormatting sqref="Q71">
    <cfRule type="containsText" dxfId="13034" priority="13321" operator="containsText" text="No se pudo ejecutar">
      <formula>NOT(ISERROR(SEARCH("No se pudo ejecutar",Q71)))</formula>
    </cfRule>
    <cfRule type="containsText" dxfId="13033" priority="13322" operator="containsText" text="Pendiente">
      <formula>NOT(ISERROR(SEARCH("Pendiente",Q71)))</formula>
    </cfRule>
    <cfRule type="containsText" dxfId="13032" priority="13323" operator="containsText" text="No Aplica">
      <formula>NOT(ISERROR(SEARCH("No Aplica",Q71)))</formula>
    </cfRule>
    <cfRule type="containsText" dxfId="13031" priority="13324" operator="containsText" text="Fallido">
      <formula>NOT(ISERROR(SEARCH("Fallido",Q71)))</formula>
    </cfRule>
    <cfRule type="containsText" dxfId="13030" priority="13325" operator="containsText" text="Éxitoso">
      <formula>NOT(ISERROR(SEARCH("Éxitoso",Q71)))</formula>
    </cfRule>
  </conditionalFormatting>
  <conditionalFormatting sqref="R71">
    <cfRule type="containsText" dxfId="13029" priority="13316" operator="containsText" text="No se pudo ejecutar">
      <formula>NOT(ISERROR(SEARCH("No se pudo ejecutar",R71)))</formula>
    </cfRule>
    <cfRule type="containsText" dxfId="13028" priority="13317" operator="containsText" text="Pendiente">
      <formula>NOT(ISERROR(SEARCH("Pendiente",R71)))</formula>
    </cfRule>
    <cfRule type="containsText" dxfId="13027" priority="13318" operator="containsText" text="No Aplica">
      <formula>NOT(ISERROR(SEARCH("No Aplica",R71)))</formula>
    </cfRule>
    <cfRule type="containsText" dxfId="13026" priority="13319" operator="containsText" text="Fallido">
      <formula>NOT(ISERROR(SEARCH("Fallido",R71)))</formula>
    </cfRule>
    <cfRule type="containsText" dxfId="13025" priority="13320" operator="containsText" text="Éxitoso">
      <formula>NOT(ISERROR(SEARCH("Éxitoso",R71)))</formula>
    </cfRule>
  </conditionalFormatting>
  <conditionalFormatting sqref="S71">
    <cfRule type="containsText" dxfId="13024" priority="13311" operator="containsText" text="No se pudo ejecutar">
      <formula>NOT(ISERROR(SEARCH("No se pudo ejecutar",S71)))</formula>
    </cfRule>
    <cfRule type="containsText" dxfId="13023" priority="13312" operator="containsText" text="Pendiente">
      <formula>NOT(ISERROR(SEARCH("Pendiente",S71)))</formula>
    </cfRule>
    <cfRule type="containsText" dxfId="13022" priority="13313" operator="containsText" text="No Aplica">
      <formula>NOT(ISERROR(SEARCH("No Aplica",S71)))</formula>
    </cfRule>
    <cfRule type="containsText" dxfId="13021" priority="13314" operator="containsText" text="Fallido">
      <formula>NOT(ISERROR(SEARCH("Fallido",S71)))</formula>
    </cfRule>
    <cfRule type="containsText" dxfId="13020" priority="13315" operator="containsText" text="Éxitoso">
      <formula>NOT(ISERROR(SEARCH("Éxitoso",S71)))</formula>
    </cfRule>
  </conditionalFormatting>
  <conditionalFormatting sqref="T71">
    <cfRule type="containsText" dxfId="13019" priority="13306" operator="containsText" text="No se pudo ejecutar">
      <formula>NOT(ISERROR(SEARCH("No se pudo ejecutar",T71)))</formula>
    </cfRule>
    <cfRule type="containsText" dxfId="13018" priority="13307" operator="containsText" text="Pendiente">
      <formula>NOT(ISERROR(SEARCH("Pendiente",T71)))</formula>
    </cfRule>
    <cfRule type="containsText" dxfId="13017" priority="13308" operator="containsText" text="No Aplica">
      <formula>NOT(ISERROR(SEARCH("No Aplica",T71)))</formula>
    </cfRule>
    <cfRule type="containsText" dxfId="13016" priority="13309" operator="containsText" text="Fallido">
      <formula>NOT(ISERROR(SEARCH("Fallido",T71)))</formula>
    </cfRule>
    <cfRule type="containsText" dxfId="13015" priority="13310" operator="containsText" text="Éxitoso">
      <formula>NOT(ISERROR(SEARCH("Éxitoso",T71)))</formula>
    </cfRule>
  </conditionalFormatting>
  <conditionalFormatting sqref="U71">
    <cfRule type="containsText" dxfId="13014" priority="13301" operator="containsText" text="No se pudo ejecutar">
      <formula>NOT(ISERROR(SEARCH("No se pudo ejecutar",U71)))</formula>
    </cfRule>
    <cfRule type="containsText" dxfId="13013" priority="13302" operator="containsText" text="Pendiente">
      <formula>NOT(ISERROR(SEARCH("Pendiente",U71)))</formula>
    </cfRule>
    <cfRule type="containsText" dxfId="13012" priority="13303" operator="containsText" text="No Aplica">
      <formula>NOT(ISERROR(SEARCH("No Aplica",U71)))</formula>
    </cfRule>
    <cfRule type="containsText" dxfId="13011" priority="13304" operator="containsText" text="Fallido">
      <formula>NOT(ISERROR(SEARCH("Fallido",U71)))</formula>
    </cfRule>
    <cfRule type="containsText" dxfId="13010" priority="13305" operator="containsText" text="Éxitoso">
      <formula>NOT(ISERROR(SEARCH("Éxitoso",U71)))</formula>
    </cfRule>
  </conditionalFormatting>
  <conditionalFormatting sqref="V71">
    <cfRule type="containsText" dxfId="13009" priority="13296" operator="containsText" text="No se pudo ejecutar">
      <formula>NOT(ISERROR(SEARCH("No se pudo ejecutar",V71)))</formula>
    </cfRule>
    <cfRule type="containsText" dxfId="13008" priority="13297" operator="containsText" text="Pendiente">
      <formula>NOT(ISERROR(SEARCH("Pendiente",V71)))</formula>
    </cfRule>
    <cfRule type="containsText" dxfId="13007" priority="13298" operator="containsText" text="No Aplica">
      <formula>NOT(ISERROR(SEARCH("No Aplica",V71)))</formula>
    </cfRule>
    <cfRule type="containsText" dxfId="13006" priority="13299" operator="containsText" text="Fallido">
      <formula>NOT(ISERROR(SEARCH("Fallido",V71)))</formula>
    </cfRule>
    <cfRule type="containsText" dxfId="13005" priority="13300" operator="containsText" text="Éxitoso">
      <formula>NOT(ISERROR(SEARCH("Éxitoso",V71)))</formula>
    </cfRule>
  </conditionalFormatting>
  <conditionalFormatting sqref="W71">
    <cfRule type="containsText" dxfId="13004" priority="13291" operator="containsText" text="No se pudo ejecutar">
      <formula>NOT(ISERROR(SEARCH("No se pudo ejecutar",W71)))</formula>
    </cfRule>
    <cfRule type="containsText" dxfId="13003" priority="13292" operator="containsText" text="Pendiente">
      <formula>NOT(ISERROR(SEARCH("Pendiente",W71)))</formula>
    </cfRule>
    <cfRule type="containsText" dxfId="13002" priority="13293" operator="containsText" text="No Aplica">
      <formula>NOT(ISERROR(SEARCH("No Aplica",W71)))</formula>
    </cfRule>
    <cfRule type="containsText" dxfId="13001" priority="13294" operator="containsText" text="Fallido">
      <formula>NOT(ISERROR(SEARCH("Fallido",W71)))</formula>
    </cfRule>
    <cfRule type="containsText" dxfId="13000" priority="13295" operator="containsText" text="Éxitoso">
      <formula>NOT(ISERROR(SEARCH("Éxitoso",W71)))</formula>
    </cfRule>
  </conditionalFormatting>
  <conditionalFormatting sqref="M71">
    <cfRule type="containsText" dxfId="12999" priority="13286" operator="containsText" text="No se pudo ejecutar">
      <formula>NOT(ISERROR(SEARCH("No se pudo ejecutar",M71)))</formula>
    </cfRule>
    <cfRule type="containsText" dxfId="12998" priority="13287" operator="containsText" text="Pendiente">
      <formula>NOT(ISERROR(SEARCH("Pendiente",M71)))</formula>
    </cfRule>
    <cfRule type="containsText" dxfId="12997" priority="13288" operator="containsText" text="No Aplica">
      <formula>NOT(ISERROR(SEARCH("No Aplica",M71)))</formula>
    </cfRule>
    <cfRule type="containsText" dxfId="12996" priority="13289" operator="containsText" text="Fallido">
      <formula>NOT(ISERROR(SEARCH("Fallido",M71)))</formula>
    </cfRule>
    <cfRule type="containsText" dxfId="12995" priority="13290" operator="containsText" text="Éxitoso">
      <formula>NOT(ISERROR(SEARCH("Éxitoso",M71)))</formula>
    </cfRule>
  </conditionalFormatting>
  <conditionalFormatting sqref="G71">
    <cfRule type="containsText" dxfId="12994" priority="13283" operator="containsText" text="Bajo">
      <formula>NOT(ISERROR(SEARCH("Bajo",G71)))</formula>
    </cfRule>
    <cfRule type="containsText" dxfId="12993" priority="13284" operator="containsText" text="Medio">
      <formula>NOT(ISERROR(SEARCH("Medio",G71)))</formula>
    </cfRule>
    <cfRule type="containsText" dxfId="12992" priority="13285" operator="containsText" text="Alto">
      <formula>NOT(ISERROR(SEARCH("Alto",G71)))</formula>
    </cfRule>
  </conditionalFormatting>
  <conditionalFormatting sqref="N72">
    <cfRule type="containsText" dxfId="12991" priority="13278" operator="containsText" text="No se pudo ejecutar">
      <formula>NOT(ISERROR(SEARCH("No se pudo ejecutar",N72)))</formula>
    </cfRule>
    <cfRule type="containsText" dxfId="12990" priority="13279" operator="containsText" text="Pendiente">
      <formula>NOT(ISERROR(SEARCH("Pendiente",N72)))</formula>
    </cfRule>
    <cfRule type="containsText" dxfId="12989" priority="13280" operator="containsText" text="No Aplica">
      <formula>NOT(ISERROR(SEARCH("No Aplica",N72)))</formula>
    </cfRule>
    <cfRule type="containsText" dxfId="12988" priority="13281" operator="containsText" text="Fallido">
      <formula>NOT(ISERROR(SEARCH("Fallido",N72)))</formula>
    </cfRule>
    <cfRule type="containsText" dxfId="12987" priority="13282" operator="containsText" text="Éxitoso">
      <formula>NOT(ISERROR(SEARCH("Éxitoso",N72)))</formula>
    </cfRule>
  </conditionalFormatting>
  <conditionalFormatting sqref="O72">
    <cfRule type="containsText" dxfId="12986" priority="13273" operator="containsText" text="No se pudo ejecutar">
      <formula>NOT(ISERROR(SEARCH("No se pudo ejecutar",O72)))</formula>
    </cfRule>
    <cfRule type="containsText" dxfId="12985" priority="13274" operator="containsText" text="Pendiente">
      <formula>NOT(ISERROR(SEARCH("Pendiente",O72)))</formula>
    </cfRule>
    <cfRule type="containsText" dxfId="12984" priority="13275" operator="containsText" text="No Aplica">
      <formula>NOT(ISERROR(SEARCH("No Aplica",O72)))</formula>
    </cfRule>
    <cfRule type="containsText" dxfId="12983" priority="13276" operator="containsText" text="Fallido">
      <formula>NOT(ISERROR(SEARCH("Fallido",O72)))</formula>
    </cfRule>
    <cfRule type="containsText" dxfId="12982" priority="13277" operator="containsText" text="Éxitoso">
      <formula>NOT(ISERROR(SEARCH("Éxitoso",O72)))</formula>
    </cfRule>
  </conditionalFormatting>
  <conditionalFormatting sqref="P72">
    <cfRule type="containsText" dxfId="12981" priority="13268" operator="containsText" text="No se pudo ejecutar">
      <formula>NOT(ISERROR(SEARCH("No se pudo ejecutar",P72)))</formula>
    </cfRule>
    <cfRule type="containsText" dxfId="12980" priority="13269" operator="containsText" text="Pendiente">
      <formula>NOT(ISERROR(SEARCH("Pendiente",P72)))</formula>
    </cfRule>
    <cfRule type="containsText" dxfId="12979" priority="13270" operator="containsText" text="No Aplica">
      <formula>NOT(ISERROR(SEARCH("No Aplica",P72)))</formula>
    </cfRule>
    <cfRule type="containsText" dxfId="12978" priority="13271" operator="containsText" text="Fallido">
      <formula>NOT(ISERROR(SEARCH("Fallido",P72)))</formula>
    </cfRule>
    <cfRule type="containsText" dxfId="12977" priority="13272" operator="containsText" text="Éxitoso">
      <formula>NOT(ISERROR(SEARCH("Éxitoso",P72)))</formula>
    </cfRule>
  </conditionalFormatting>
  <conditionalFormatting sqref="Q72">
    <cfRule type="containsText" dxfId="12976" priority="13263" operator="containsText" text="No se pudo ejecutar">
      <formula>NOT(ISERROR(SEARCH("No se pudo ejecutar",Q72)))</formula>
    </cfRule>
    <cfRule type="containsText" dxfId="12975" priority="13264" operator="containsText" text="Pendiente">
      <formula>NOT(ISERROR(SEARCH("Pendiente",Q72)))</formula>
    </cfRule>
    <cfRule type="containsText" dxfId="12974" priority="13265" operator="containsText" text="No Aplica">
      <formula>NOT(ISERROR(SEARCH("No Aplica",Q72)))</formula>
    </cfRule>
    <cfRule type="containsText" dxfId="12973" priority="13266" operator="containsText" text="Fallido">
      <formula>NOT(ISERROR(SEARCH("Fallido",Q72)))</formula>
    </cfRule>
    <cfRule type="containsText" dxfId="12972" priority="13267" operator="containsText" text="Éxitoso">
      <formula>NOT(ISERROR(SEARCH("Éxitoso",Q72)))</formula>
    </cfRule>
  </conditionalFormatting>
  <conditionalFormatting sqref="R72">
    <cfRule type="containsText" dxfId="12971" priority="13258" operator="containsText" text="No se pudo ejecutar">
      <formula>NOT(ISERROR(SEARCH("No se pudo ejecutar",R72)))</formula>
    </cfRule>
    <cfRule type="containsText" dxfId="12970" priority="13259" operator="containsText" text="Pendiente">
      <formula>NOT(ISERROR(SEARCH("Pendiente",R72)))</formula>
    </cfRule>
    <cfRule type="containsText" dxfId="12969" priority="13260" operator="containsText" text="No Aplica">
      <formula>NOT(ISERROR(SEARCH("No Aplica",R72)))</formula>
    </cfRule>
    <cfRule type="containsText" dxfId="12968" priority="13261" operator="containsText" text="Fallido">
      <formula>NOT(ISERROR(SEARCH("Fallido",R72)))</formula>
    </cfRule>
    <cfRule type="containsText" dxfId="12967" priority="13262" operator="containsText" text="Éxitoso">
      <formula>NOT(ISERROR(SEARCH("Éxitoso",R72)))</formula>
    </cfRule>
  </conditionalFormatting>
  <conditionalFormatting sqref="S72">
    <cfRule type="containsText" dxfId="12966" priority="13253" operator="containsText" text="No se pudo ejecutar">
      <formula>NOT(ISERROR(SEARCH("No se pudo ejecutar",S72)))</formula>
    </cfRule>
    <cfRule type="containsText" dxfId="12965" priority="13254" operator="containsText" text="Pendiente">
      <formula>NOT(ISERROR(SEARCH("Pendiente",S72)))</formula>
    </cfRule>
    <cfRule type="containsText" dxfId="12964" priority="13255" operator="containsText" text="No Aplica">
      <formula>NOT(ISERROR(SEARCH("No Aplica",S72)))</formula>
    </cfRule>
    <cfRule type="containsText" dxfId="12963" priority="13256" operator="containsText" text="Fallido">
      <formula>NOT(ISERROR(SEARCH("Fallido",S72)))</formula>
    </cfRule>
    <cfRule type="containsText" dxfId="12962" priority="13257" operator="containsText" text="Éxitoso">
      <formula>NOT(ISERROR(SEARCH("Éxitoso",S72)))</formula>
    </cfRule>
  </conditionalFormatting>
  <conditionalFormatting sqref="T72">
    <cfRule type="containsText" dxfId="12961" priority="13248" operator="containsText" text="No se pudo ejecutar">
      <formula>NOT(ISERROR(SEARCH("No se pudo ejecutar",T72)))</formula>
    </cfRule>
    <cfRule type="containsText" dxfId="12960" priority="13249" operator="containsText" text="Pendiente">
      <formula>NOT(ISERROR(SEARCH("Pendiente",T72)))</formula>
    </cfRule>
    <cfRule type="containsText" dxfId="12959" priority="13250" operator="containsText" text="No Aplica">
      <formula>NOT(ISERROR(SEARCH("No Aplica",T72)))</formula>
    </cfRule>
    <cfRule type="containsText" dxfId="12958" priority="13251" operator="containsText" text="Fallido">
      <formula>NOT(ISERROR(SEARCH("Fallido",T72)))</formula>
    </cfRule>
    <cfRule type="containsText" dxfId="12957" priority="13252" operator="containsText" text="Éxitoso">
      <formula>NOT(ISERROR(SEARCH("Éxitoso",T72)))</formula>
    </cfRule>
  </conditionalFormatting>
  <conditionalFormatting sqref="U72">
    <cfRule type="containsText" dxfId="12956" priority="13243" operator="containsText" text="No se pudo ejecutar">
      <formula>NOT(ISERROR(SEARCH("No se pudo ejecutar",U72)))</formula>
    </cfRule>
    <cfRule type="containsText" dxfId="12955" priority="13244" operator="containsText" text="Pendiente">
      <formula>NOT(ISERROR(SEARCH("Pendiente",U72)))</formula>
    </cfRule>
    <cfRule type="containsText" dxfId="12954" priority="13245" operator="containsText" text="No Aplica">
      <formula>NOT(ISERROR(SEARCH("No Aplica",U72)))</formula>
    </cfRule>
    <cfRule type="containsText" dxfId="12953" priority="13246" operator="containsText" text="Fallido">
      <formula>NOT(ISERROR(SEARCH("Fallido",U72)))</formula>
    </cfRule>
    <cfRule type="containsText" dxfId="12952" priority="13247" operator="containsText" text="Éxitoso">
      <formula>NOT(ISERROR(SEARCH("Éxitoso",U72)))</formula>
    </cfRule>
  </conditionalFormatting>
  <conditionalFormatting sqref="V72">
    <cfRule type="containsText" dxfId="12951" priority="13238" operator="containsText" text="No se pudo ejecutar">
      <formula>NOT(ISERROR(SEARCH("No se pudo ejecutar",V72)))</formula>
    </cfRule>
    <cfRule type="containsText" dxfId="12950" priority="13239" operator="containsText" text="Pendiente">
      <formula>NOT(ISERROR(SEARCH("Pendiente",V72)))</formula>
    </cfRule>
    <cfRule type="containsText" dxfId="12949" priority="13240" operator="containsText" text="No Aplica">
      <formula>NOT(ISERROR(SEARCH("No Aplica",V72)))</formula>
    </cfRule>
    <cfRule type="containsText" dxfId="12948" priority="13241" operator="containsText" text="Fallido">
      <formula>NOT(ISERROR(SEARCH("Fallido",V72)))</formula>
    </cfRule>
    <cfRule type="containsText" dxfId="12947" priority="13242" operator="containsText" text="Éxitoso">
      <formula>NOT(ISERROR(SEARCH("Éxitoso",V72)))</formula>
    </cfRule>
  </conditionalFormatting>
  <conditionalFormatting sqref="W72">
    <cfRule type="containsText" dxfId="12946" priority="13233" operator="containsText" text="No se pudo ejecutar">
      <formula>NOT(ISERROR(SEARCH("No se pudo ejecutar",W72)))</formula>
    </cfRule>
    <cfRule type="containsText" dxfId="12945" priority="13234" operator="containsText" text="Pendiente">
      <formula>NOT(ISERROR(SEARCH("Pendiente",W72)))</formula>
    </cfRule>
    <cfRule type="containsText" dxfId="12944" priority="13235" operator="containsText" text="No Aplica">
      <formula>NOT(ISERROR(SEARCH("No Aplica",W72)))</formula>
    </cfRule>
    <cfRule type="containsText" dxfId="12943" priority="13236" operator="containsText" text="Fallido">
      <formula>NOT(ISERROR(SEARCH("Fallido",W72)))</formula>
    </cfRule>
    <cfRule type="containsText" dxfId="12942" priority="13237" operator="containsText" text="Éxitoso">
      <formula>NOT(ISERROR(SEARCH("Éxitoso",W72)))</formula>
    </cfRule>
  </conditionalFormatting>
  <conditionalFormatting sqref="M72">
    <cfRule type="containsText" dxfId="12941" priority="13228" operator="containsText" text="No se pudo ejecutar">
      <formula>NOT(ISERROR(SEARCH("No se pudo ejecutar",M72)))</formula>
    </cfRule>
    <cfRule type="containsText" dxfId="12940" priority="13229" operator="containsText" text="Pendiente">
      <formula>NOT(ISERROR(SEARCH("Pendiente",M72)))</formula>
    </cfRule>
    <cfRule type="containsText" dxfId="12939" priority="13230" operator="containsText" text="No Aplica">
      <formula>NOT(ISERROR(SEARCH("No Aplica",M72)))</formula>
    </cfRule>
    <cfRule type="containsText" dxfId="12938" priority="13231" operator="containsText" text="Fallido">
      <formula>NOT(ISERROR(SEARCH("Fallido",M72)))</formula>
    </cfRule>
    <cfRule type="containsText" dxfId="12937" priority="13232" operator="containsText" text="Éxitoso">
      <formula>NOT(ISERROR(SEARCH("Éxitoso",M72)))</formula>
    </cfRule>
  </conditionalFormatting>
  <conditionalFormatting sqref="G72">
    <cfRule type="containsText" dxfId="12936" priority="13225" operator="containsText" text="Bajo">
      <formula>NOT(ISERROR(SEARCH("Bajo",G72)))</formula>
    </cfRule>
    <cfRule type="containsText" dxfId="12935" priority="13226" operator="containsText" text="Medio">
      <formula>NOT(ISERROR(SEARCH("Medio",G72)))</formula>
    </cfRule>
    <cfRule type="containsText" dxfId="12934" priority="13227" operator="containsText" text="Alto">
      <formula>NOT(ISERROR(SEARCH("Alto",G72)))</formula>
    </cfRule>
  </conditionalFormatting>
  <conditionalFormatting sqref="N73">
    <cfRule type="containsText" dxfId="12933" priority="13220" operator="containsText" text="No se pudo ejecutar">
      <formula>NOT(ISERROR(SEARCH("No se pudo ejecutar",N73)))</formula>
    </cfRule>
    <cfRule type="containsText" dxfId="12932" priority="13221" operator="containsText" text="Pendiente">
      <formula>NOT(ISERROR(SEARCH("Pendiente",N73)))</formula>
    </cfRule>
    <cfRule type="containsText" dxfId="12931" priority="13222" operator="containsText" text="No Aplica">
      <formula>NOT(ISERROR(SEARCH("No Aplica",N73)))</formula>
    </cfRule>
    <cfRule type="containsText" dxfId="12930" priority="13223" operator="containsText" text="Fallido">
      <formula>NOT(ISERROR(SEARCH("Fallido",N73)))</formula>
    </cfRule>
    <cfRule type="containsText" dxfId="12929" priority="13224" operator="containsText" text="Éxitoso">
      <formula>NOT(ISERROR(SEARCH("Éxitoso",N73)))</formula>
    </cfRule>
  </conditionalFormatting>
  <conditionalFormatting sqref="O73">
    <cfRule type="containsText" dxfId="12928" priority="13215" operator="containsText" text="No se pudo ejecutar">
      <formula>NOT(ISERROR(SEARCH("No se pudo ejecutar",O73)))</formula>
    </cfRule>
    <cfRule type="containsText" dxfId="12927" priority="13216" operator="containsText" text="Pendiente">
      <formula>NOT(ISERROR(SEARCH("Pendiente",O73)))</formula>
    </cfRule>
    <cfRule type="containsText" dxfId="12926" priority="13217" operator="containsText" text="No Aplica">
      <formula>NOT(ISERROR(SEARCH("No Aplica",O73)))</formula>
    </cfRule>
    <cfRule type="containsText" dxfId="12925" priority="13218" operator="containsText" text="Fallido">
      <formula>NOT(ISERROR(SEARCH("Fallido",O73)))</formula>
    </cfRule>
    <cfRule type="containsText" dxfId="12924" priority="13219" operator="containsText" text="Éxitoso">
      <formula>NOT(ISERROR(SEARCH("Éxitoso",O73)))</formula>
    </cfRule>
  </conditionalFormatting>
  <conditionalFormatting sqref="P73">
    <cfRule type="containsText" dxfId="12923" priority="13210" operator="containsText" text="No se pudo ejecutar">
      <formula>NOT(ISERROR(SEARCH("No se pudo ejecutar",P73)))</formula>
    </cfRule>
    <cfRule type="containsText" dxfId="12922" priority="13211" operator="containsText" text="Pendiente">
      <formula>NOT(ISERROR(SEARCH("Pendiente",P73)))</formula>
    </cfRule>
    <cfRule type="containsText" dxfId="12921" priority="13212" operator="containsText" text="No Aplica">
      <formula>NOT(ISERROR(SEARCH("No Aplica",P73)))</formula>
    </cfRule>
    <cfRule type="containsText" dxfId="12920" priority="13213" operator="containsText" text="Fallido">
      <formula>NOT(ISERROR(SEARCH("Fallido",P73)))</formula>
    </cfRule>
    <cfRule type="containsText" dxfId="12919" priority="13214" operator="containsText" text="Éxitoso">
      <formula>NOT(ISERROR(SEARCH("Éxitoso",P73)))</formula>
    </cfRule>
  </conditionalFormatting>
  <conditionalFormatting sqref="Q73">
    <cfRule type="containsText" dxfId="12918" priority="13205" operator="containsText" text="No se pudo ejecutar">
      <formula>NOT(ISERROR(SEARCH("No se pudo ejecutar",Q73)))</formula>
    </cfRule>
    <cfRule type="containsText" dxfId="12917" priority="13206" operator="containsText" text="Pendiente">
      <formula>NOT(ISERROR(SEARCH("Pendiente",Q73)))</formula>
    </cfRule>
    <cfRule type="containsText" dxfId="12916" priority="13207" operator="containsText" text="No Aplica">
      <formula>NOT(ISERROR(SEARCH("No Aplica",Q73)))</formula>
    </cfRule>
    <cfRule type="containsText" dxfId="12915" priority="13208" operator="containsText" text="Fallido">
      <formula>NOT(ISERROR(SEARCH("Fallido",Q73)))</formula>
    </cfRule>
    <cfRule type="containsText" dxfId="12914" priority="13209" operator="containsText" text="Éxitoso">
      <formula>NOT(ISERROR(SEARCH("Éxitoso",Q73)))</formula>
    </cfRule>
  </conditionalFormatting>
  <conditionalFormatting sqref="R73">
    <cfRule type="containsText" dxfId="12913" priority="13200" operator="containsText" text="No se pudo ejecutar">
      <formula>NOT(ISERROR(SEARCH("No se pudo ejecutar",R73)))</formula>
    </cfRule>
    <cfRule type="containsText" dxfId="12912" priority="13201" operator="containsText" text="Pendiente">
      <formula>NOT(ISERROR(SEARCH("Pendiente",R73)))</formula>
    </cfRule>
    <cfRule type="containsText" dxfId="12911" priority="13202" operator="containsText" text="No Aplica">
      <formula>NOT(ISERROR(SEARCH("No Aplica",R73)))</formula>
    </cfRule>
    <cfRule type="containsText" dxfId="12910" priority="13203" operator="containsText" text="Fallido">
      <formula>NOT(ISERROR(SEARCH("Fallido",R73)))</formula>
    </cfRule>
    <cfRule type="containsText" dxfId="12909" priority="13204" operator="containsText" text="Éxitoso">
      <formula>NOT(ISERROR(SEARCH("Éxitoso",R73)))</formula>
    </cfRule>
  </conditionalFormatting>
  <conditionalFormatting sqref="S73">
    <cfRule type="containsText" dxfId="12908" priority="13195" operator="containsText" text="No se pudo ejecutar">
      <formula>NOT(ISERROR(SEARCH("No se pudo ejecutar",S73)))</formula>
    </cfRule>
    <cfRule type="containsText" dxfId="12907" priority="13196" operator="containsText" text="Pendiente">
      <formula>NOT(ISERROR(SEARCH("Pendiente",S73)))</formula>
    </cfRule>
    <cfRule type="containsText" dxfId="12906" priority="13197" operator="containsText" text="No Aplica">
      <formula>NOT(ISERROR(SEARCH("No Aplica",S73)))</formula>
    </cfRule>
    <cfRule type="containsText" dxfId="12905" priority="13198" operator="containsText" text="Fallido">
      <formula>NOT(ISERROR(SEARCH("Fallido",S73)))</formula>
    </cfRule>
    <cfRule type="containsText" dxfId="12904" priority="13199" operator="containsText" text="Éxitoso">
      <formula>NOT(ISERROR(SEARCH("Éxitoso",S73)))</formula>
    </cfRule>
  </conditionalFormatting>
  <conditionalFormatting sqref="T73">
    <cfRule type="containsText" dxfId="12903" priority="13190" operator="containsText" text="No se pudo ejecutar">
      <formula>NOT(ISERROR(SEARCH("No se pudo ejecutar",T73)))</formula>
    </cfRule>
    <cfRule type="containsText" dxfId="12902" priority="13191" operator="containsText" text="Pendiente">
      <formula>NOT(ISERROR(SEARCH("Pendiente",T73)))</formula>
    </cfRule>
    <cfRule type="containsText" dxfId="12901" priority="13192" operator="containsText" text="No Aplica">
      <formula>NOT(ISERROR(SEARCH("No Aplica",T73)))</formula>
    </cfRule>
    <cfRule type="containsText" dxfId="12900" priority="13193" operator="containsText" text="Fallido">
      <formula>NOT(ISERROR(SEARCH("Fallido",T73)))</formula>
    </cfRule>
    <cfRule type="containsText" dxfId="12899" priority="13194" operator="containsText" text="Éxitoso">
      <formula>NOT(ISERROR(SEARCH("Éxitoso",T73)))</formula>
    </cfRule>
  </conditionalFormatting>
  <conditionalFormatting sqref="U73">
    <cfRule type="containsText" dxfId="12898" priority="13185" operator="containsText" text="No se pudo ejecutar">
      <formula>NOT(ISERROR(SEARCH("No se pudo ejecutar",U73)))</formula>
    </cfRule>
    <cfRule type="containsText" dxfId="12897" priority="13186" operator="containsText" text="Pendiente">
      <formula>NOT(ISERROR(SEARCH("Pendiente",U73)))</formula>
    </cfRule>
    <cfRule type="containsText" dxfId="12896" priority="13187" operator="containsText" text="No Aplica">
      <formula>NOT(ISERROR(SEARCH("No Aplica",U73)))</formula>
    </cfRule>
    <cfRule type="containsText" dxfId="12895" priority="13188" operator="containsText" text="Fallido">
      <formula>NOT(ISERROR(SEARCH("Fallido",U73)))</formula>
    </cfRule>
    <cfRule type="containsText" dxfId="12894" priority="13189" operator="containsText" text="Éxitoso">
      <formula>NOT(ISERROR(SEARCH("Éxitoso",U73)))</formula>
    </cfRule>
  </conditionalFormatting>
  <conditionalFormatting sqref="V73">
    <cfRule type="containsText" dxfId="12893" priority="13180" operator="containsText" text="No se pudo ejecutar">
      <formula>NOT(ISERROR(SEARCH("No se pudo ejecutar",V73)))</formula>
    </cfRule>
    <cfRule type="containsText" dxfId="12892" priority="13181" operator="containsText" text="Pendiente">
      <formula>NOT(ISERROR(SEARCH("Pendiente",V73)))</formula>
    </cfRule>
    <cfRule type="containsText" dxfId="12891" priority="13182" operator="containsText" text="No Aplica">
      <formula>NOT(ISERROR(SEARCH("No Aplica",V73)))</formula>
    </cfRule>
    <cfRule type="containsText" dxfId="12890" priority="13183" operator="containsText" text="Fallido">
      <formula>NOT(ISERROR(SEARCH("Fallido",V73)))</formula>
    </cfRule>
    <cfRule type="containsText" dxfId="12889" priority="13184" operator="containsText" text="Éxitoso">
      <formula>NOT(ISERROR(SEARCH("Éxitoso",V73)))</formula>
    </cfRule>
  </conditionalFormatting>
  <conditionalFormatting sqref="W73">
    <cfRule type="containsText" dxfId="12888" priority="13175" operator="containsText" text="No se pudo ejecutar">
      <formula>NOT(ISERROR(SEARCH("No se pudo ejecutar",W73)))</formula>
    </cfRule>
    <cfRule type="containsText" dxfId="12887" priority="13176" operator="containsText" text="Pendiente">
      <formula>NOT(ISERROR(SEARCH("Pendiente",W73)))</formula>
    </cfRule>
    <cfRule type="containsText" dxfId="12886" priority="13177" operator="containsText" text="No Aplica">
      <formula>NOT(ISERROR(SEARCH("No Aplica",W73)))</formula>
    </cfRule>
    <cfRule type="containsText" dxfId="12885" priority="13178" operator="containsText" text="Fallido">
      <formula>NOT(ISERROR(SEARCH("Fallido",W73)))</formula>
    </cfRule>
    <cfRule type="containsText" dxfId="12884" priority="13179" operator="containsText" text="Éxitoso">
      <formula>NOT(ISERROR(SEARCH("Éxitoso",W73)))</formula>
    </cfRule>
  </conditionalFormatting>
  <conditionalFormatting sqref="M73">
    <cfRule type="containsText" dxfId="12883" priority="13170" operator="containsText" text="No se pudo ejecutar">
      <formula>NOT(ISERROR(SEARCH("No se pudo ejecutar",M73)))</formula>
    </cfRule>
    <cfRule type="containsText" dxfId="12882" priority="13171" operator="containsText" text="Pendiente">
      <formula>NOT(ISERROR(SEARCH("Pendiente",M73)))</formula>
    </cfRule>
    <cfRule type="containsText" dxfId="12881" priority="13172" operator="containsText" text="No Aplica">
      <formula>NOT(ISERROR(SEARCH("No Aplica",M73)))</formula>
    </cfRule>
    <cfRule type="containsText" dxfId="12880" priority="13173" operator="containsText" text="Fallido">
      <formula>NOT(ISERROR(SEARCH("Fallido",M73)))</formula>
    </cfRule>
    <cfRule type="containsText" dxfId="12879" priority="13174" operator="containsText" text="Éxitoso">
      <formula>NOT(ISERROR(SEARCH("Éxitoso",M73)))</formula>
    </cfRule>
  </conditionalFormatting>
  <conditionalFormatting sqref="G73">
    <cfRule type="containsText" dxfId="12878" priority="13167" operator="containsText" text="Bajo">
      <formula>NOT(ISERROR(SEARCH("Bajo",G73)))</formula>
    </cfRule>
    <cfRule type="containsText" dxfId="12877" priority="13168" operator="containsText" text="Medio">
      <formula>NOT(ISERROR(SEARCH("Medio",G73)))</formula>
    </cfRule>
    <cfRule type="containsText" dxfId="12876" priority="13169" operator="containsText" text="Alto">
      <formula>NOT(ISERROR(SEARCH("Alto",G73)))</formula>
    </cfRule>
  </conditionalFormatting>
  <conditionalFormatting sqref="N74">
    <cfRule type="containsText" dxfId="12875" priority="13162" operator="containsText" text="No se pudo ejecutar">
      <formula>NOT(ISERROR(SEARCH("No se pudo ejecutar",N74)))</formula>
    </cfRule>
    <cfRule type="containsText" dxfId="12874" priority="13163" operator="containsText" text="Pendiente">
      <formula>NOT(ISERROR(SEARCH("Pendiente",N74)))</formula>
    </cfRule>
    <cfRule type="containsText" dxfId="12873" priority="13164" operator="containsText" text="No Aplica">
      <formula>NOT(ISERROR(SEARCH("No Aplica",N74)))</formula>
    </cfRule>
    <cfRule type="containsText" dxfId="12872" priority="13165" operator="containsText" text="Fallido">
      <formula>NOT(ISERROR(SEARCH("Fallido",N74)))</formula>
    </cfRule>
    <cfRule type="containsText" dxfId="12871" priority="13166" operator="containsText" text="Éxitoso">
      <formula>NOT(ISERROR(SEARCH("Éxitoso",N74)))</formula>
    </cfRule>
  </conditionalFormatting>
  <conditionalFormatting sqref="O74">
    <cfRule type="containsText" dxfId="12870" priority="13157" operator="containsText" text="No se pudo ejecutar">
      <formula>NOT(ISERROR(SEARCH("No se pudo ejecutar",O74)))</formula>
    </cfRule>
    <cfRule type="containsText" dxfId="12869" priority="13158" operator="containsText" text="Pendiente">
      <formula>NOT(ISERROR(SEARCH("Pendiente",O74)))</formula>
    </cfRule>
    <cfRule type="containsText" dxfId="12868" priority="13159" operator="containsText" text="No Aplica">
      <formula>NOT(ISERROR(SEARCH("No Aplica",O74)))</formula>
    </cfRule>
    <cfRule type="containsText" dxfId="12867" priority="13160" operator="containsText" text="Fallido">
      <formula>NOT(ISERROR(SEARCH("Fallido",O74)))</formula>
    </cfRule>
    <cfRule type="containsText" dxfId="12866" priority="13161" operator="containsText" text="Éxitoso">
      <formula>NOT(ISERROR(SEARCH("Éxitoso",O74)))</formula>
    </cfRule>
  </conditionalFormatting>
  <conditionalFormatting sqref="P74">
    <cfRule type="containsText" dxfId="12865" priority="13152" operator="containsText" text="No se pudo ejecutar">
      <formula>NOT(ISERROR(SEARCH("No se pudo ejecutar",P74)))</formula>
    </cfRule>
    <cfRule type="containsText" dxfId="12864" priority="13153" operator="containsText" text="Pendiente">
      <formula>NOT(ISERROR(SEARCH("Pendiente",P74)))</formula>
    </cfRule>
    <cfRule type="containsText" dxfId="12863" priority="13154" operator="containsText" text="No Aplica">
      <formula>NOT(ISERROR(SEARCH("No Aplica",P74)))</formula>
    </cfRule>
    <cfRule type="containsText" dxfId="12862" priority="13155" operator="containsText" text="Fallido">
      <formula>NOT(ISERROR(SEARCH("Fallido",P74)))</formula>
    </cfRule>
    <cfRule type="containsText" dxfId="12861" priority="13156" operator="containsText" text="Éxitoso">
      <formula>NOT(ISERROR(SEARCH("Éxitoso",P74)))</formula>
    </cfRule>
  </conditionalFormatting>
  <conditionalFormatting sqref="Q74">
    <cfRule type="containsText" dxfId="12860" priority="13147" operator="containsText" text="No se pudo ejecutar">
      <formula>NOT(ISERROR(SEARCH("No se pudo ejecutar",Q74)))</formula>
    </cfRule>
    <cfRule type="containsText" dxfId="12859" priority="13148" operator="containsText" text="Pendiente">
      <formula>NOT(ISERROR(SEARCH("Pendiente",Q74)))</formula>
    </cfRule>
    <cfRule type="containsText" dxfId="12858" priority="13149" operator="containsText" text="No Aplica">
      <formula>NOT(ISERROR(SEARCH("No Aplica",Q74)))</formula>
    </cfRule>
    <cfRule type="containsText" dxfId="12857" priority="13150" operator="containsText" text="Fallido">
      <formula>NOT(ISERROR(SEARCH("Fallido",Q74)))</formula>
    </cfRule>
    <cfRule type="containsText" dxfId="12856" priority="13151" operator="containsText" text="Éxitoso">
      <formula>NOT(ISERROR(SEARCH("Éxitoso",Q74)))</formula>
    </cfRule>
  </conditionalFormatting>
  <conditionalFormatting sqref="R74">
    <cfRule type="containsText" dxfId="12855" priority="13142" operator="containsText" text="No se pudo ejecutar">
      <formula>NOT(ISERROR(SEARCH("No se pudo ejecutar",R74)))</formula>
    </cfRule>
    <cfRule type="containsText" dxfId="12854" priority="13143" operator="containsText" text="Pendiente">
      <formula>NOT(ISERROR(SEARCH("Pendiente",R74)))</formula>
    </cfRule>
    <cfRule type="containsText" dxfId="12853" priority="13144" operator="containsText" text="No Aplica">
      <formula>NOT(ISERROR(SEARCH("No Aplica",R74)))</formula>
    </cfRule>
    <cfRule type="containsText" dxfId="12852" priority="13145" operator="containsText" text="Fallido">
      <formula>NOT(ISERROR(SEARCH("Fallido",R74)))</formula>
    </cfRule>
    <cfRule type="containsText" dxfId="12851" priority="13146" operator="containsText" text="Éxitoso">
      <formula>NOT(ISERROR(SEARCH("Éxitoso",R74)))</formula>
    </cfRule>
  </conditionalFormatting>
  <conditionalFormatting sqref="S74">
    <cfRule type="containsText" dxfId="12850" priority="13137" operator="containsText" text="No se pudo ejecutar">
      <formula>NOT(ISERROR(SEARCH("No se pudo ejecutar",S74)))</formula>
    </cfRule>
    <cfRule type="containsText" dxfId="12849" priority="13138" operator="containsText" text="Pendiente">
      <formula>NOT(ISERROR(SEARCH("Pendiente",S74)))</formula>
    </cfRule>
    <cfRule type="containsText" dxfId="12848" priority="13139" operator="containsText" text="No Aplica">
      <formula>NOT(ISERROR(SEARCH("No Aplica",S74)))</formula>
    </cfRule>
    <cfRule type="containsText" dxfId="12847" priority="13140" operator="containsText" text="Fallido">
      <formula>NOT(ISERROR(SEARCH("Fallido",S74)))</formula>
    </cfRule>
    <cfRule type="containsText" dxfId="12846" priority="13141" operator="containsText" text="Éxitoso">
      <formula>NOT(ISERROR(SEARCH("Éxitoso",S74)))</formula>
    </cfRule>
  </conditionalFormatting>
  <conditionalFormatting sqref="T74">
    <cfRule type="containsText" dxfId="12845" priority="13132" operator="containsText" text="No se pudo ejecutar">
      <formula>NOT(ISERROR(SEARCH("No se pudo ejecutar",T74)))</formula>
    </cfRule>
    <cfRule type="containsText" dxfId="12844" priority="13133" operator="containsText" text="Pendiente">
      <formula>NOT(ISERROR(SEARCH("Pendiente",T74)))</formula>
    </cfRule>
    <cfRule type="containsText" dxfId="12843" priority="13134" operator="containsText" text="No Aplica">
      <formula>NOT(ISERROR(SEARCH("No Aplica",T74)))</formula>
    </cfRule>
    <cfRule type="containsText" dxfId="12842" priority="13135" operator="containsText" text="Fallido">
      <formula>NOT(ISERROR(SEARCH("Fallido",T74)))</formula>
    </cfRule>
    <cfRule type="containsText" dxfId="12841" priority="13136" operator="containsText" text="Éxitoso">
      <formula>NOT(ISERROR(SEARCH("Éxitoso",T74)))</formula>
    </cfRule>
  </conditionalFormatting>
  <conditionalFormatting sqref="U74">
    <cfRule type="containsText" dxfId="12840" priority="13127" operator="containsText" text="No se pudo ejecutar">
      <formula>NOT(ISERROR(SEARCH("No se pudo ejecutar",U74)))</formula>
    </cfRule>
    <cfRule type="containsText" dxfId="12839" priority="13128" operator="containsText" text="Pendiente">
      <formula>NOT(ISERROR(SEARCH("Pendiente",U74)))</formula>
    </cfRule>
    <cfRule type="containsText" dxfId="12838" priority="13129" operator="containsText" text="No Aplica">
      <formula>NOT(ISERROR(SEARCH("No Aplica",U74)))</formula>
    </cfRule>
    <cfRule type="containsText" dxfId="12837" priority="13130" operator="containsText" text="Fallido">
      <formula>NOT(ISERROR(SEARCH("Fallido",U74)))</formula>
    </cfRule>
    <cfRule type="containsText" dxfId="12836" priority="13131" operator="containsText" text="Éxitoso">
      <formula>NOT(ISERROR(SEARCH("Éxitoso",U74)))</formula>
    </cfRule>
  </conditionalFormatting>
  <conditionalFormatting sqref="V74">
    <cfRule type="containsText" dxfId="12835" priority="13122" operator="containsText" text="No se pudo ejecutar">
      <formula>NOT(ISERROR(SEARCH("No se pudo ejecutar",V74)))</formula>
    </cfRule>
    <cfRule type="containsText" dxfId="12834" priority="13123" operator="containsText" text="Pendiente">
      <formula>NOT(ISERROR(SEARCH("Pendiente",V74)))</formula>
    </cfRule>
    <cfRule type="containsText" dxfId="12833" priority="13124" operator="containsText" text="No Aplica">
      <formula>NOT(ISERROR(SEARCH("No Aplica",V74)))</formula>
    </cfRule>
    <cfRule type="containsText" dxfId="12832" priority="13125" operator="containsText" text="Fallido">
      <formula>NOT(ISERROR(SEARCH("Fallido",V74)))</formula>
    </cfRule>
    <cfRule type="containsText" dxfId="12831" priority="13126" operator="containsText" text="Éxitoso">
      <formula>NOT(ISERROR(SEARCH("Éxitoso",V74)))</formula>
    </cfRule>
  </conditionalFormatting>
  <conditionalFormatting sqref="W74">
    <cfRule type="containsText" dxfId="12830" priority="13117" operator="containsText" text="No se pudo ejecutar">
      <formula>NOT(ISERROR(SEARCH("No se pudo ejecutar",W74)))</formula>
    </cfRule>
    <cfRule type="containsText" dxfId="12829" priority="13118" operator="containsText" text="Pendiente">
      <formula>NOT(ISERROR(SEARCH("Pendiente",W74)))</formula>
    </cfRule>
    <cfRule type="containsText" dxfId="12828" priority="13119" operator="containsText" text="No Aplica">
      <formula>NOT(ISERROR(SEARCH("No Aplica",W74)))</formula>
    </cfRule>
    <cfRule type="containsText" dxfId="12827" priority="13120" operator="containsText" text="Fallido">
      <formula>NOT(ISERROR(SEARCH("Fallido",W74)))</formula>
    </cfRule>
    <cfRule type="containsText" dxfId="12826" priority="13121" operator="containsText" text="Éxitoso">
      <formula>NOT(ISERROR(SEARCH("Éxitoso",W74)))</formula>
    </cfRule>
  </conditionalFormatting>
  <conditionalFormatting sqref="M74">
    <cfRule type="containsText" dxfId="12825" priority="13112" operator="containsText" text="No se pudo ejecutar">
      <formula>NOT(ISERROR(SEARCH("No se pudo ejecutar",M74)))</formula>
    </cfRule>
    <cfRule type="containsText" dxfId="12824" priority="13113" operator="containsText" text="Pendiente">
      <formula>NOT(ISERROR(SEARCH("Pendiente",M74)))</formula>
    </cfRule>
    <cfRule type="containsText" dxfId="12823" priority="13114" operator="containsText" text="No Aplica">
      <formula>NOT(ISERROR(SEARCH("No Aplica",M74)))</formula>
    </cfRule>
    <cfRule type="containsText" dxfId="12822" priority="13115" operator="containsText" text="Fallido">
      <formula>NOT(ISERROR(SEARCH("Fallido",M74)))</formula>
    </cfRule>
    <cfRule type="containsText" dxfId="12821" priority="13116" operator="containsText" text="Éxitoso">
      <formula>NOT(ISERROR(SEARCH("Éxitoso",M74)))</formula>
    </cfRule>
  </conditionalFormatting>
  <conditionalFormatting sqref="G74">
    <cfRule type="containsText" dxfId="12820" priority="13109" operator="containsText" text="Bajo">
      <formula>NOT(ISERROR(SEARCH("Bajo",G74)))</formula>
    </cfRule>
    <cfRule type="containsText" dxfId="12819" priority="13110" operator="containsText" text="Medio">
      <formula>NOT(ISERROR(SEARCH("Medio",G74)))</formula>
    </cfRule>
    <cfRule type="containsText" dxfId="12818" priority="13111" operator="containsText" text="Alto">
      <formula>NOT(ISERROR(SEARCH("Alto",G74)))</formula>
    </cfRule>
  </conditionalFormatting>
  <conditionalFormatting sqref="N75">
    <cfRule type="containsText" dxfId="12817" priority="13104" operator="containsText" text="No se pudo ejecutar">
      <formula>NOT(ISERROR(SEARCH("No se pudo ejecutar",N75)))</formula>
    </cfRule>
    <cfRule type="containsText" dxfId="12816" priority="13105" operator="containsText" text="Pendiente">
      <formula>NOT(ISERROR(SEARCH("Pendiente",N75)))</formula>
    </cfRule>
    <cfRule type="containsText" dxfId="12815" priority="13106" operator="containsText" text="No Aplica">
      <formula>NOT(ISERROR(SEARCH("No Aplica",N75)))</formula>
    </cfRule>
    <cfRule type="containsText" dxfId="12814" priority="13107" operator="containsText" text="Fallido">
      <formula>NOT(ISERROR(SEARCH("Fallido",N75)))</formula>
    </cfRule>
    <cfRule type="containsText" dxfId="12813" priority="13108" operator="containsText" text="Éxitoso">
      <formula>NOT(ISERROR(SEARCH("Éxitoso",N75)))</formula>
    </cfRule>
  </conditionalFormatting>
  <conditionalFormatting sqref="O75">
    <cfRule type="containsText" dxfId="12812" priority="13099" operator="containsText" text="No se pudo ejecutar">
      <formula>NOT(ISERROR(SEARCH("No se pudo ejecutar",O75)))</formula>
    </cfRule>
    <cfRule type="containsText" dxfId="12811" priority="13100" operator="containsText" text="Pendiente">
      <formula>NOT(ISERROR(SEARCH("Pendiente",O75)))</formula>
    </cfRule>
    <cfRule type="containsText" dxfId="12810" priority="13101" operator="containsText" text="No Aplica">
      <formula>NOT(ISERROR(SEARCH("No Aplica",O75)))</formula>
    </cfRule>
    <cfRule type="containsText" dxfId="12809" priority="13102" operator="containsText" text="Fallido">
      <formula>NOT(ISERROR(SEARCH("Fallido",O75)))</formula>
    </cfRule>
    <cfRule type="containsText" dxfId="12808" priority="13103" operator="containsText" text="Éxitoso">
      <formula>NOT(ISERROR(SEARCH("Éxitoso",O75)))</formula>
    </cfRule>
  </conditionalFormatting>
  <conditionalFormatting sqref="P75">
    <cfRule type="containsText" dxfId="12807" priority="13094" operator="containsText" text="No se pudo ejecutar">
      <formula>NOT(ISERROR(SEARCH("No se pudo ejecutar",P75)))</formula>
    </cfRule>
    <cfRule type="containsText" dxfId="12806" priority="13095" operator="containsText" text="Pendiente">
      <formula>NOT(ISERROR(SEARCH("Pendiente",P75)))</formula>
    </cfRule>
    <cfRule type="containsText" dxfId="12805" priority="13096" operator="containsText" text="No Aplica">
      <formula>NOT(ISERROR(SEARCH("No Aplica",P75)))</formula>
    </cfRule>
    <cfRule type="containsText" dxfId="12804" priority="13097" operator="containsText" text="Fallido">
      <formula>NOT(ISERROR(SEARCH("Fallido",P75)))</formula>
    </cfRule>
    <cfRule type="containsText" dxfId="12803" priority="13098" operator="containsText" text="Éxitoso">
      <formula>NOT(ISERROR(SEARCH("Éxitoso",P75)))</formula>
    </cfRule>
  </conditionalFormatting>
  <conditionalFormatting sqref="Q75">
    <cfRule type="containsText" dxfId="12802" priority="13089" operator="containsText" text="No se pudo ejecutar">
      <formula>NOT(ISERROR(SEARCH("No se pudo ejecutar",Q75)))</formula>
    </cfRule>
    <cfRule type="containsText" dxfId="12801" priority="13090" operator="containsText" text="Pendiente">
      <formula>NOT(ISERROR(SEARCH("Pendiente",Q75)))</formula>
    </cfRule>
    <cfRule type="containsText" dxfId="12800" priority="13091" operator="containsText" text="No Aplica">
      <formula>NOT(ISERROR(SEARCH("No Aplica",Q75)))</formula>
    </cfRule>
    <cfRule type="containsText" dxfId="12799" priority="13092" operator="containsText" text="Fallido">
      <formula>NOT(ISERROR(SEARCH("Fallido",Q75)))</formula>
    </cfRule>
    <cfRule type="containsText" dxfId="12798" priority="13093" operator="containsText" text="Éxitoso">
      <formula>NOT(ISERROR(SEARCH("Éxitoso",Q75)))</formula>
    </cfRule>
  </conditionalFormatting>
  <conditionalFormatting sqref="R75">
    <cfRule type="containsText" dxfId="12797" priority="13084" operator="containsText" text="No se pudo ejecutar">
      <formula>NOT(ISERROR(SEARCH("No se pudo ejecutar",R75)))</formula>
    </cfRule>
    <cfRule type="containsText" dxfId="12796" priority="13085" operator="containsText" text="Pendiente">
      <formula>NOT(ISERROR(SEARCH("Pendiente",R75)))</formula>
    </cfRule>
    <cfRule type="containsText" dxfId="12795" priority="13086" operator="containsText" text="No Aplica">
      <formula>NOT(ISERROR(SEARCH("No Aplica",R75)))</formula>
    </cfRule>
    <cfRule type="containsText" dxfId="12794" priority="13087" operator="containsText" text="Fallido">
      <formula>NOT(ISERROR(SEARCH("Fallido",R75)))</formula>
    </cfRule>
    <cfRule type="containsText" dxfId="12793" priority="13088" operator="containsText" text="Éxitoso">
      <formula>NOT(ISERROR(SEARCH("Éxitoso",R75)))</formula>
    </cfRule>
  </conditionalFormatting>
  <conditionalFormatting sqref="S75">
    <cfRule type="containsText" dxfId="12792" priority="13079" operator="containsText" text="No se pudo ejecutar">
      <formula>NOT(ISERROR(SEARCH("No se pudo ejecutar",S75)))</formula>
    </cfRule>
    <cfRule type="containsText" dxfId="12791" priority="13080" operator="containsText" text="Pendiente">
      <formula>NOT(ISERROR(SEARCH("Pendiente",S75)))</formula>
    </cfRule>
    <cfRule type="containsText" dxfId="12790" priority="13081" operator="containsText" text="No Aplica">
      <formula>NOT(ISERROR(SEARCH("No Aplica",S75)))</formula>
    </cfRule>
    <cfRule type="containsText" dxfId="12789" priority="13082" operator="containsText" text="Fallido">
      <formula>NOT(ISERROR(SEARCH("Fallido",S75)))</formula>
    </cfRule>
    <cfRule type="containsText" dxfId="12788" priority="13083" operator="containsText" text="Éxitoso">
      <formula>NOT(ISERROR(SEARCH("Éxitoso",S75)))</formula>
    </cfRule>
  </conditionalFormatting>
  <conditionalFormatting sqref="T75">
    <cfRule type="containsText" dxfId="12787" priority="13074" operator="containsText" text="No se pudo ejecutar">
      <formula>NOT(ISERROR(SEARCH("No se pudo ejecutar",T75)))</formula>
    </cfRule>
    <cfRule type="containsText" dxfId="12786" priority="13075" operator="containsText" text="Pendiente">
      <formula>NOT(ISERROR(SEARCH("Pendiente",T75)))</formula>
    </cfRule>
    <cfRule type="containsText" dxfId="12785" priority="13076" operator="containsText" text="No Aplica">
      <formula>NOT(ISERROR(SEARCH("No Aplica",T75)))</formula>
    </cfRule>
    <cfRule type="containsText" dxfId="12784" priority="13077" operator="containsText" text="Fallido">
      <formula>NOT(ISERROR(SEARCH("Fallido",T75)))</formula>
    </cfRule>
    <cfRule type="containsText" dxfId="12783" priority="13078" operator="containsText" text="Éxitoso">
      <formula>NOT(ISERROR(SEARCH("Éxitoso",T75)))</formula>
    </cfRule>
  </conditionalFormatting>
  <conditionalFormatting sqref="U75">
    <cfRule type="containsText" dxfId="12782" priority="13069" operator="containsText" text="No se pudo ejecutar">
      <formula>NOT(ISERROR(SEARCH("No se pudo ejecutar",U75)))</formula>
    </cfRule>
    <cfRule type="containsText" dxfId="12781" priority="13070" operator="containsText" text="Pendiente">
      <formula>NOT(ISERROR(SEARCH("Pendiente",U75)))</formula>
    </cfRule>
    <cfRule type="containsText" dxfId="12780" priority="13071" operator="containsText" text="No Aplica">
      <formula>NOT(ISERROR(SEARCH("No Aplica",U75)))</formula>
    </cfRule>
    <cfRule type="containsText" dxfId="12779" priority="13072" operator="containsText" text="Fallido">
      <formula>NOT(ISERROR(SEARCH("Fallido",U75)))</formula>
    </cfRule>
    <cfRule type="containsText" dxfId="12778" priority="13073" operator="containsText" text="Éxitoso">
      <formula>NOT(ISERROR(SEARCH("Éxitoso",U75)))</formula>
    </cfRule>
  </conditionalFormatting>
  <conditionalFormatting sqref="V75">
    <cfRule type="containsText" dxfId="12777" priority="13064" operator="containsText" text="No se pudo ejecutar">
      <formula>NOT(ISERROR(SEARCH("No se pudo ejecutar",V75)))</formula>
    </cfRule>
    <cfRule type="containsText" dxfId="12776" priority="13065" operator="containsText" text="Pendiente">
      <formula>NOT(ISERROR(SEARCH("Pendiente",V75)))</formula>
    </cfRule>
    <cfRule type="containsText" dxfId="12775" priority="13066" operator="containsText" text="No Aplica">
      <formula>NOT(ISERROR(SEARCH("No Aplica",V75)))</formula>
    </cfRule>
    <cfRule type="containsText" dxfId="12774" priority="13067" operator="containsText" text="Fallido">
      <formula>NOT(ISERROR(SEARCH("Fallido",V75)))</formula>
    </cfRule>
    <cfRule type="containsText" dxfId="12773" priority="13068" operator="containsText" text="Éxitoso">
      <formula>NOT(ISERROR(SEARCH("Éxitoso",V75)))</formula>
    </cfRule>
  </conditionalFormatting>
  <conditionalFormatting sqref="W75">
    <cfRule type="containsText" dxfId="12772" priority="13059" operator="containsText" text="No se pudo ejecutar">
      <formula>NOT(ISERROR(SEARCH("No se pudo ejecutar",W75)))</formula>
    </cfRule>
    <cfRule type="containsText" dxfId="12771" priority="13060" operator="containsText" text="Pendiente">
      <formula>NOT(ISERROR(SEARCH("Pendiente",W75)))</formula>
    </cfRule>
    <cfRule type="containsText" dxfId="12770" priority="13061" operator="containsText" text="No Aplica">
      <formula>NOT(ISERROR(SEARCH("No Aplica",W75)))</formula>
    </cfRule>
    <cfRule type="containsText" dxfId="12769" priority="13062" operator="containsText" text="Fallido">
      <formula>NOT(ISERROR(SEARCH("Fallido",W75)))</formula>
    </cfRule>
    <cfRule type="containsText" dxfId="12768" priority="13063" operator="containsText" text="Éxitoso">
      <formula>NOT(ISERROR(SEARCH("Éxitoso",W75)))</formula>
    </cfRule>
  </conditionalFormatting>
  <conditionalFormatting sqref="M75">
    <cfRule type="containsText" dxfId="12767" priority="13054" operator="containsText" text="No se pudo ejecutar">
      <formula>NOT(ISERROR(SEARCH("No se pudo ejecutar",M75)))</formula>
    </cfRule>
    <cfRule type="containsText" dxfId="12766" priority="13055" operator="containsText" text="Pendiente">
      <formula>NOT(ISERROR(SEARCH("Pendiente",M75)))</formula>
    </cfRule>
    <cfRule type="containsText" dxfId="12765" priority="13056" operator="containsText" text="No Aplica">
      <formula>NOT(ISERROR(SEARCH("No Aplica",M75)))</formula>
    </cfRule>
    <cfRule type="containsText" dxfId="12764" priority="13057" operator="containsText" text="Fallido">
      <formula>NOT(ISERROR(SEARCH("Fallido",M75)))</formula>
    </cfRule>
    <cfRule type="containsText" dxfId="12763" priority="13058" operator="containsText" text="Éxitoso">
      <formula>NOT(ISERROR(SEARCH("Éxitoso",M75)))</formula>
    </cfRule>
  </conditionalFormatting>
  <conditionalFormatting sqref="G75">
    <cfRule type="containsText" dxfId="12762" priority="13051" operator="containsText" text="Bajo">
      <formula>NOT(ISERROR(SEARCH("Bajo",G75)))</formula>
    </cfRule>
    <cfRule type="containsText" dxfId="12761" priority="13052" operator="containsText" text="Medio">
      <formula>NOT(ISERROR(SEARCH("Medio",G75)))</formula>
    </cfRule>
    <cfRule type="containsText" dxfId="12760" priority="13053" operator="containsText" text="Alto">
      <formula>NOT(ISERROR(SEARCH("Alto",G75)))</formula>
    </cfRule>
  </conditionalFormatting>
  <conditionalFormatting sqref="N76">
    <cfRule type="containsText" dxfId="12759" priority="13046" operator="containsText" text="No se pudo ejecutar">
      <formula>NOT(ISERROR(SEARCH("No se pudo ejecutar",N76)))</formula>
    </cfRule>
    <cfRule type="containsText" dxfId="12758" priority="13047" operator="containsText" text="Pendiente">
      <formula>NOT(ISERROR(SEARCH("Pendiente",N76)))</formula>
    </cfRule>
    <cfRule type="containsText" dxfId="12757" priority="13048" operator="containsText" text="No Aplica">
      <formula>NOT(ISERROR(SEARCH("No Aplica",N76)))</formula>
    </cfRule>
    <cfRule type="containsText" dxfId="12756" priority="13049" operator="containsText" text="Fallido">
      <formula>NOT(ISERROR(SEARCH("Fallido",N76)))</formula>
    </cfRule>
    <cfRule type="containsText" dxfId="12755" priority="13050" operator="containsText" text="Éxitoso">
      <formula>NOT(ISERROR(SEARCH("Éxitoso",N76)))</formula>
    </cfRule>
  </conditionalFormatting>
  <conditionalFormatting sqref="O76">
    <cfRule type="containsText" dxfId="12754" priority="13041" operator="containsText" text="No se pudo ejecutar">
      <formula>NOT(ISERROR(SEARCH("No se pudo ejecutar",O76)))</formula>
    </cfRule>
    <cfRule type="containsText" dxfId="12753" priority="13042" operator="containsText" text="Pendiente">
      <formula>NOT(ISERROR(SEARCH("Pendiente",O76)))</formula>
    </cfRule>
    <cfRule type="containsText" dxfId="12752" priority="13043" operator="containsText" text="No Aplica">
      <formula>NOT(ISERROR(SEARCH("No Aplica",O76)))</formula>
    </cfRule>
    <cfRule type="containsText" dxfId="12751" priority="13044" operator="containsText" text="Fallido">
      <formula>NOT(ISERROR(SEARCH("Fallido",O76)))</formula>
    </cfRule>
    <cfRule type="containsText" dxfId="12750" priority="13045" operator="containsText" text="Éxitoso">
      <formula>NOT(ISERROR(SEARCH("Éxitoso",O76)))</formula>
    </cfRule>
  </conditionalFormatting>
  <conditionalFormatting sqref="P76">
    <cfRule type="containsText" dxfId="12749" priority="13036" operator="containsText" text="No se pudo ejecutar">
      <formula>NOT(ISERROR(SEARCH("No se pudo ejecutar",P76)))</formula>
    </cfRule>
    <cfRule type="containsText" dxfId="12748" priority="13037" operator="containsText" text="Pendiente">
      <formula>NOT(ISERROR(SEARCH("Pendiente",P76)))</formula>
    </cfRule>
    <cfRule type="containsText" dxfId="12747" priority="13038" operator="containsText" text="No Aplica">
      <formula>NOT(ISERROR(SEARCH("No Aplica",P76)))</formula>
    </cfRule>
    <cfRule type="containsText" dxfId="12746" priority="13039" operator="containsText" text="Fallido">
      <formula>NOT(ISERROR(SEARCH("Fallido",P76)))</formula>
    </cfRule>
    <cfRule type="containsText" dxfId="12745" priority="13040" operator="containsText" text="Éxitoso">
      <formula>NOT(ISERROR(SEARCH("Éxitoso",P76)))</formula>
    </cfRule>
  </conditionalFormatting>
  <conditionalFormatting sqref="Q76">
    <cfRule type="containsText" dxfId="12744" priority="13031" operator="containsText" text="No se pudo ejecutar">
      <formula>NOT(ISERROR(SEARCH("No se pudo ejecutar",Q76)))</formula>
    </cfRule>
    <cfRule type="containsText" dxfId="12743" priority="13032" operator="containsText" text="Pendiente">
      <formula>NOT(ISERROR(SEARCH("Pendiente",Q76)))</formula>
    </cfRule>
    <cfRule type="containsText" dxfId="12742" priority="13033" operator="containsText" text="No Aplica">
      <formula>NOT(ISERROR(SEARCH("No Aplica",Q76)))</formula>
    </cfRule>
    <cfRule type="containsText" dxfId="12741" priority="13034" operator="containsText" text="Fallido">
      <formula>NOT(ISERROR(SEARCH("Fallido",Q76)))</formula>
    </cfRule>
    <cfRule type="containsText" dxfId="12740" priority="13035" operator="containsText" text="Éxitoso">
      <formula>NOT(ISERROR(SEARCH("Éxitoso",Q76)))</formula>
    </cfRule>
  </conditionalFormatting>
  <conditionalFormatting sqref="R76">
    <cfRule type="containsText" dxfId="12739" priority="13026" operator="containsText" text="No se pudo ejecutar">
      <formula>NOT(ISERROR(SEARCH("No se pudo ejecutar",R76)))</formula>
    </cfRule>
    <cfRule type="containsText" dxfId="12738" priority="13027" operator="containsText" text="Pendiente">
      <formula>NOT(ISERROR(SEARCH("Pendiente",R76)))</formula>
    </cfRule>
    <cfRule type="containsText" dxfId="12737" priority="13028" operator="containsText" text="No Aplica">
      <formula>NOT(ISERROR(SEARCH("No Aplica",R76)))</formula>
    </cfRule>
    <cfRule type="containsText" dxfId="12736" priority="13029" operator="containsText" text="Fallido">
      <formula>NOT(ISERROR(SEARCH("Fallido",R76)))</formula>
    </cfRule>
    <cfRule type="containsText" dxfId="12735" priority="13030" operator="containsText" text="Éxitoso">
      <formula>NOT(ISERROR(SEARCH("Éxitoso",R76)))</formula>
    </cfRule>
  </conditionalFormatting>
  <conditionalFormatting sqref="S76">
    <cfRule type="containsText" dxfId="12734" priority="13021" operator="containsText" text="No se pudo ejecutar">
      <formula>NOT(ISERROR(SEARCH("No se pudo ejecutar",S76)))</formula>
    </cfRule>
    <cfRule type="containsText" dxfId="12733" priority="13022" operator="containsText" text="Pendiente">
      <formula>NOT(ISERROR(SEARCH("Pendiente",S76)))</formula>
    </cfRule>
    <cfRule type="containsText" dxfId="12732" priority="13023" operator="containsText" text="No Aplica">
      <formula>NOT(ISERROR(SEARCH("No Aplica",S76)))</formula>
    </cfRule>
    <cfRule type="containsText" dxfId="12731" priority="13024" operator="containsText" text="Fallido">
      <formula>NOT(ISERROR(SEARCH("Fallido",S76)))</formula>
    </cfRule>
    <cfRule type="containsText" dxfId="12730" priority="13025" operator="containsText" text="Éxitoso">
      <formula>NOT(ISERROR(SEARCH("Éxitoso",S76)))</formula>
    </cfRule>
  </conditionalFormatting>
  <conditionalFormatting sqref="T76">
    <cfRule type="containsText" dxfId="12729" priority="13016" operator="containsText" text="No se pudo ejecutar">
      <formula>NOT(ISERROR(SEARCH("No se pudo ejecutar",T76)))</formula>
    </cfRule>
    <cfRule type="containsText" dxfId="12728" priority="13017" operator="containsText" text="Pendiente">
      <formula>NOT(ISERROR(SEARCH("Pendiente",T76)))</formula>
    </cfRule>
    <cfRule type="containsText" dxfId="12727" priority="13018" operator="containsText" text="No Aplica">
      <formula>NOT(ISERROR(SEARCH("No Aplica",T76)))</formula>
    </cfRule>
    <cfRule type="containsText" dxfId="12726" priority="13019" operator="containsText" text="Fallido">
      <formula>NOT(ISERROR(SEARCH("Fallido",T76)))</formula>
    </cfRule>
    <cfRule type="containsText" dxfId="12725" priority="13020" operator="containsText" text="Éxitoso">
      <formula>NOT(ISERROR(SEARCH("Éxitoso",T76)))</formula>
    </cfRule>
  </conditionalFormatting>
  <conditionalFormatting sqref="U76">
    <cfRule type="containsText" dxfId="12724" priority="13011" operator="containsText" text="No se pudo ejecutar">
      <formula>NOT(ISERROR(SEARCH("No se pudo ejecutar",U76)))</formula>
    </cfRule>
    <cfRule type="containsText" dxfId="12723" priority="13012" operator="containsText" text="Pendiente">
      <formula>NOT(ISERROR(SEARCH("Pendiente",U76)))</formula>
    </cfRule>
    <cfRule type="containsText" dxfId="12722" priority="13013" operator="containsText" text="No Aplica">
      <formula>NOT(ISERROR(SEARCH("No Aplica",U76)))</formula>
    </cfRule>
    <cfRule type="containsText" dxfId="12721" priority="13014" operator="containsText" text="Fallido">
      <formula>NOT(ISERROR(SEARCH("Fallido",U76)))</formula>
    </cfRule>
    <cfRule type="containsText" dxfId="12720" priority="13015" operator="containsText" text="Éxitoso">
      <formula>NOT(ISERROR(SEARCH("Éxitoso",U76)))</formula>
    </cfRule>
  </conditionalFormatting>
  <conditionalFormatting sqref="V76">
    <cfRule type="containsText" dxfId="12719" priority="13006" operator="containsText" text="No se pudo ejecutar">
      <formula>NOT(ISERROR(SEARCH("No se pudo ejecutar",V76)))</formula>
    </cfRule>
    <cfRule type="containsText" dxfId="12718" priority="13007" operator="containsText" text="Pendiente">
      <formula>NOT(ISERROR(SEARCH("Pendiente",V76)))</formula>
    </cfRule>
    <cfRule type="containsText" dxfId="12717" priority="13008" operator="containsText" text="No Aplica">
      <formula>NOT(ISERROR(SEARCH("No Aplica",V76)))</formula>
    </cfRule>
    <cfRule type="containsText" dxfId="12716" priority="13009" operator="containsText" text="Fallido">
      <formula>NOT(ISERROR(SEARCH("Fallido",V76)))</formula>
    </cfRule>
    <cfRule type="containsText" dxfId="12715" priority="13010" operator="containsText" text="Éxitoso">
      <formula>NOT(ISERROR(SEARCH("Éxitoso",V76)))</formula>
    </cfRule>
  </conditionalFormatting>
  <conditionalFormatting sqref="W76">
    <cfRule type="containsText" dxfId="12714" priority="13001" operator="containsText" text="No se pudo ejecutar">
      <formula>NOT(ISERROR(SEARCH("No se pudo ejecutar",W76)))</formula>
    </cfRule>
    <cfRule type="containsText" dxfId="12713" priority="13002" operator="containsText" text="Pendiente">
      <formula>NOT(ISERROR(SEARCH("Pendiente",W76)))</formula>
    </cfRule>
    <cfRule type="containsText" dxfId="12712" priority="13003" operator="containsText" text="No Aplica">
      <formula>NOT(ISERROR(SEARCH("No Aplica",W76)))</formula>
    </cfRule>
    <cfRule type="containsText" dxfId="12711" priority="13004" operator="containsText" text="Fallido">
      <formula>NOT(ISERROR(SEARCH("Fallido",W76)))</formula>
    </cfRule>
    <cfRule type="containsText" dxfId="12710" priority="13005" operator="containsText" text="Éxitoso">
      <formula>NOT(ISERROR(SEARCH("Éxitoso",W76)))</formula>
    </cfRule>
  </conditionalFormatting>
  <conditionalFormatting sqref="M76">
    <cfRule type="containsText" dxfId="12709" priority="12996" operator="containsText" text="No se pudo ejecutar">
      <formula>NOT(ISERROR(SEARCH("No se pudo ejecutar",M76)))</formula>
    </cfRule>
    <cfRule type="containsText" dxfId="12708" priority="12997" operator="containsText" text="Pendiente">
      <formula>NOT(ISERROR(SEARCH("Pendiente",M76)))</formula>
    </cfRule>
    <cfRule type="containsText" dxfId="12707" priority="12998" operator="containsText" text="No Aplica">
      <formula>NOT(ISERROR(SEARCH("No Aplica",M76)))</formula>
    </cfRule>
    <cfRule type="containsText" dxfId="12706" priority="12999" operator="containsText" text="Fallido">
      <formula>NOT(ISERROR(SEARCH("Fallido",M76)))</formula>
    </cfRule>
    <cfRule type="containsText" dxfId="12705" priority="13000" operator="containsText" text="Éxitoso">
      <formula>NOT(ISERROR(SEARCH("Éxitoso",M76)))</formula>
    </cfRule>
  </conditionalFormatting>
  <conditionalFormatting sqref="G76">
    <cfRule type="containsText" dxfId="12704" priority="12993" operator="containsText" text="Bajo">
      <formula>NOT(ISERROR(SEARCH("Bajo",G76)))</formula>
    </cfRule>
    <cfRule type="containsText" dxfId="12703" priority="12994" operator="containsText" text="Medio">
      <formula>NOT(ISERROR(SEARCH("Medio",G76)))</formula>
    </cfRule>
    <cfRule type="containsText" dxfId="12702" priority="12995" operator="containsText" text="Alto">
      <formula>NOT(ISERROR(SEARCH("Alto",G76)))</formula>
    </cfRule>
  </conditionalFormatting>
  <conditionalFormatting sqref="N77">
    <cfRule type="containsText" dxfId="12701" priority="12988" operator="containsText" text="No se pudo ejecutar">
      <formula>NOT(ISERROR(SEARCH("No se pudo ejecutar",N77)))</formula>
    </cfRule>
    <cfRule type="containsText" dxfId="12700" priority="12989" operator="containsText" text="Pendiente">
      <formula>NOT(ISERROR(SEARCH("Pendiente",N77)))</formula>
    </cfRule>
    <cfRule type="containsText" dxfId="12699" priority="12990" operator="containsText" text="No Aplica">
      <formula>NOT(ISERROR(SEARCH("No Aplica",N77)))</formula>
    </cfRule>
    <cfRule type="containsText" dxfId="12698" priority="12991" operator="containsText" text="Fallido">
      <formula>NOT(ISERROR(SEARCH("Fallido",N77)))</formula>
    </cfRule>
    <cfRule type="containsText" dxfId="12697" priority="12992" operator="containsText" text="Éxitoso">
      <formula>NOT(ISERROR(SEARCH("Éxitoso",N77)))</formula>
    </cfRule>
  </conditionalFormatting>
  <conditionalFormatting sqref="O77">
    <cfRule type="containsText" dxfId="12696" priority="12983" operator="containsText" text="No se pudo ejecutar">
      <formula>NOT(ISERROR(SEARCH("No se pudo ejecutar",O77)))</formula>
    </cfRule>
    <cfRule type="containsText" dxfId="12695" priority="12984" operator="containsText" text="Pendiente">
      <formula>NOT(ISERROR(SEARCH("Pendiente",O77)))</formula>
    </cfRule>
    <cfRule type="containsText" dxfId="12694" priority="12985" operator="containsText" text="No Aplica">
      <formula>NOT(ISERROR(SEARCH("No Aplica",O77)))</formula>
    </cfRule>
    <cfRule type="containsText" dxfId="12693" priority="12986" operator="containsText" text="Fallido">
      <formula>NOT(ISERROR(SEARCH("Fallido",O77)))</formula>
    </cfRule>
    <cfRule type="containsText" dxfId="12692" priority="12987" operator="containsText" text="Éxitoso">
      <formula>NOT(ISERROR(SEARCH("Éxitoso",O77)))</formula>
    </cfRule>
  </conditionalFormatting>
  <conditionalFormatting sqref="P77">
    <cfRule type="containsText" dxfId="12691" priority="12978" operator="containsText" text="No se pudo ejecutar">
      <formula>NOT(ISERROR(SEARCH("No se pudo ejecutar",P77)))</formula>
    </cfRule>
    <cfRule type="containsText" dxfId="12690" priority="12979" operator="containsText" text="Pendiente">
      <formula>NOT(ISERROR(SEARCH("Pendiente",P77)))</formula>
    </cfRule>
    <cfRule type="containsText" dxfId="12689" priority="12980" operator="containsText" text="No Aplica">
      <formula>NOT(ISERROR(SEARCH("No Aplica",P77)))</formula>
    </cfRule>
    <cfRule type="containsText" dxfId="12688" priority="12981" operator="containsText" text="Fallido">
      <formula>NOT(ISERROR(SEARCH("Fallido",P77)))</formula>
    </cfRule>
    <cfRule type="containsText" dxfId="12687" priority="12982" operator="containsText" text="Éxitoso">
      <formula>NOT(ISERROR(SEARCH("Éxitoso",P77)))</formula>
    </cfRule>
  </conditionalFormatting>
  <conditionalFormatting sqref="Q77">
    <cfRule type="containsText" dxfId="12686" priority="12973" operator="containsText" text="No se pudo ejecutar">
      <formula>NOT(ISERROR(SEARCH("No se pudo ejecutar",Q77)))</formula>
    </cfRule>
    <cfRule type="containsText" dxfId="12685" priority="12974" operator="containsText" text="Pendiente">
      <formula>NOT(ISERROR(SEARCH("Pendiente",Q77)))</formula>
    </cfRule>
    <cfRule type="containsText" dxfId="12684" priority="12975" operator="containsText" text="No Aplica">
      <formula>NOT(ISERROR(SEARCH("No Aplica",Q77)))</formula>
    </cfRule>
    <cfRule type="containsText" dxfId="12683" priority="12976" operator="containsText" text="Fallido">
      <formula>NOT(ISERROR(SEARCH("Fallido",Q77)))</formula>
    </cfRule>
    <cfRule type="containsText" dxfId="12682" priority="12977" operator="containsText" text="Éxitoso">
      <formula>NOT(ISERROR(SEARCH("Éxitoso",Q77)))</formula>
    </cfRule>
  </conditionalFormatting>
  <conditionalFormatting sqref="R77">
    <cfRule type="containsText" dxfId="12681" priority="12968" operator="containsText" text="No se pudo ejecutar">
      <formula>NOT(ISERROR(SEARCH("No se pudo ejecutar",R77)))</formula>
    </cfRule>
    <cfRule type="containsText" dxfId="12680" priority="12969" operator="containsText" text="Pendiente">
      <formula>NOT(ISERROR(SEARCH("Pendiente",R77)))</formula>
    </cfRule>
    <cfRule type="containsText" dxfId="12679" priority="12970" operator="containsText" text="No Aplica">
      <formula>NOT(ISERROR(SEARCH("No Aplica",R77)))</formula>
    </cfRule>
    <cfRule type="containsText" dxfId="12678" priority="12971" operator="containsText" text="Fallido">
      <formula>NOT(ISERROR(SEARCH("Fallido",R77)))</formula>
    </cfRule>
    <cfRule type="containsText" dxfId="12677" priority="12972" operator="containsText" text="Éxitoso">
      <formula>NOT(ISERROR(SEARCH("Éxitoso",R77)))</formula>
    </cfRule>
  </conditionalFormatting>
  <conditionalFormatting sqref="S77">
    <cfRule type="containsText" dxfId="12676" priority="12963" operator="containsText" text="No se pudo ejecutar">
      <formula>NOT(ISERROR(SEARCH("No se pudo ejecutar",S77)))</formula>
    </cfRule>
    <cfRule type="containsText" dxfId="12675" priority="12964" operator="containsText" text="Pendiente">
      <formula>NOT(ISERROR(SEARCH("Pendiente",S77)))</formula>
    </cfRule>
    <cfRule type="containsText" dxfId="12674" priority="12965" operator="containsText" text="No Aplica">
      <formula>NOT(ISERROR(SEARCH("No Aplica",S77)))</formula>
    </cfRule>
    <cfRule type="containsText" dxfId="12673" priority="12966" operator="containsText" text="Fallido">
      <formula>NOT(ISERROR(SEARCH("Fallido",S77)))</formula>
    </cfRule>
    <cfRule type="containsText" dxfId="12672" priority="12967" operator="containsText" text="Éxitoso">
      <formula>NOT(ISERROR(SEARCH("Éxitoso",S77)))</formula>
    </cfRule>
  </conditionalFormatting>
  <conditionalFormatting sqref="T77">
    <cfRule type="containsText" dxfId="12671" priority="12958" operator="containsText" text="No se pudo ejecutar">
      <formula>NOT(ISERROR(SEARCH("No se pudo ejecutar",T77)))</formula>
    </cfRule>
    <cfRule type="containsText" dxfId="12670" priority="12959" operator="containsText" text="Pendiente">
      <formula>NOT(ISERROR(SEARCH("Pendiente",T77)))</formula>
    </cfRule>
    <cfRule type="containsText" dxfId="12669" priority="12960" operator="containsText" text="No Aplica">
      <formula>NOT(ISERROR(SEARCH("No Aplica",T77)))</formula>
    </cfRule>
    <cfRule type="containsText" dxfId="12668" priority="12961" operator="containsText" text="Fallido">
      <formula>NOT(ISERROR(SEARCH("Fallido",T77)))</formula>
    </cfRule>
    <cfRule type="containsText" dxfId="12667" priority="12962" operator="containsText" text="Éxitoso">
      <formula>NOT(ISERROR(SEARCH("Éxitoso",T77)))</formula>
    </cfRule>
  </conditionalFormatting>
  <conditionalFormatting sqref="U77">
    <cfRule type="containsText" dxfId="12666" priority="12953" operator="containsText" text="No se pudo ejecutar">
      <formula>NOT(ISERROR(SEARCH("No se pudo ejecutar",U77)))</formula>
    </cfRule>
    <cfRule type="containsText" dxfId="12665" priority="12954" operator="containsText" text="Pendiente">
      <formula>NOT(ISERROR(SEARCH("Pendiente",U77)))</formula>
    </cfRule>
    <cfRule type="containsText" dxfId="12664" priority="12955" operator="containsText" text="No Aplica">
      <formula>NOT(ISERROR(SEARCH("No Aplica",U77)))</formula>
    </cfRule>
    <cfRule type="containsText" dxfId="12663" priority="12956" operator="containsText" text="Fallido">
      <formula>NOT(ISERROR(SEARCH("Fallido",U77)))</formula>
    </cfRule>
    <cfRule type="containsText" dxfId="12662" priority="12957" operator="containsText" text="Éxitoso">
      <formula>NOT(ISERROR(SEARCH("Éxitoso",U77)))</formula>
    </cfRule>
  </conditionalFormatting>
  <conditionalFormatting sqref="V77">
    <cfRule type="containsText" dxfId="12661" priority="12948" operator="containsText" text="No se pudo ejecutar">
      <formula>NOT(ISERROR(SEARCH("No se pudo ejecutar",V77)))</formula>
    </cfRule>
    <cfRule type="containsText" dxfId="12660" priority="12949" operator="containsText" text="Pendiente">
      <formula>NOT(ISERROR(SEARCH("Pendiente",V77)))</formula>
    </cfRule>
    <cfRule type="containsText" dxfId="12659" priority="12950" operator="containsText" text="No Aplica">
      <formula>NOT(ISERROR(SEARCH("No Aplica",V77)))</formula>
    </cfRule>
    <cfRule type="containsText" dxfId="12658" priority="12951" operator="containsText" text="Fallido">
      <formula>NOT(ISERROR(SEARCH("Fallido",V77)))</formula>
    </cfRule>
    <cfRule type="containsText" dxfId="12657" priority="12952" operator="containsText" text="Éxitoso">
      <formula>NOT(ISERROR(SEARCH("Éxitoso",V77)))</formula>
    </cfRule>
  </conditionalFormatting>
  <conditionalFormatting sqref="W77">
    <cfRule type="containsText" dxfId="12656" priority="12943" operator="containsText" text="No se pudo ejecutar">
      <formula>NOT(ISERROR(SEARCH("No se pudo ejecutar",W77)))</formula>
    </cfRule>
    <cfRule type="containsText" dxfId="12655" priority="12944" operator="containsText" text="Pendiente">
      <formula>NOT(ISERROR(SEARCH("Pendiente",W77)))</formula>
    </cfRule>
    <cfRule type="containsText" dxfId="12654" priority="12945" operator="containsText" text="No Aplica">
      <formula>NOT(ISERROR(SEARCH("No Aplica",W77)))</formula>
    </cfRule>
    <cfRule type="containsText" dxfId="12653" priority="12946" operator="containsText" text="Fallido">
      <formula>NOT(ISERROR(SEARCH("Fallido",W77)))</formula>
    </cfRule>
    <cfRule type="containsText" dxfId="12652" priority="12947" operator="containsText" text="Éxitoso">
      <formula>NOT(ISERROR(SEARCH("Éxitoso",W77)))</formula>
    </cfRule>
  </conditionalFormatting>
  <conditionalFormatting sqref="M77">
    <cfRule type="containsText" dxfId="12651" priority="12938" operator="containsText" text="No se pudo ejecutar">
      <formula>NOT(ISERROR(SEARCH("No se pudo ejecutar",M77)))</formula>
    </cfRule>
    <cfRule type="containsText" dxfId="12650" priority="12939" operator="containsText" text="Pendiente">
      <formula>NOT(ISERROR(SEARCH("Pendiente",M77)))</formula>
    </cfRule>
    <cfRule type="containsText" dxfId="12649" priority="12940" operator="containsText" text="No Aplica">
      <formula>NOT(ISERROR(SEARCH("No Aplica",M77)))</formula>
    </cfRule>
    <cfRule type="containsText" dxfId="12648" priority="12941" operator="containsText" text="Fallido">
      <formula>NOT(ISERROR(SEARCH("Fallido",M77)))</formula>
    </cfRule>
    <cfRule type="containsText" dxfId="12647" priority="12942" operator="containsText" text="Éxitoso">
      <formula>NOT(ISERROR(SEARCH("Éxitoso",M77)))</formula>
    </cfRule>
  </conditionalFormatting>
  <conditionalFormatting sqref="G77">
    <cfRule type="containsText" dxfId="12646" priority="12935" operator="containsText" text="Bajo">
      <formula>NOT(ISERROR(SEARCH("Bajo",G77)))</formula>
    </cfRule>
    <cfRule type="containsText" dxfId="12645" priority="12936" operator="containsText" text="Medio">
      <formula>NOT(ISERROR(SEARCH("Medio",G77)))</formula>
    </cfRule>
    <cfRule type="containsText" dxfId="12644" priority="12937" operator="containsText" text="Alto">
      <formula>NOT(ISERROR(SEARCH("Alto",G77)))</formula>
    </cfRule>
  </conditionalFormatting>
  <conditionalFormatting sqref="N78">
    <cfRule type="containsText" dxfId="12643" priority="12930" operator="containsText" text="No se pudo ejecutar">
      <formula>NOT(ISERROR(SEARCH("No se pudo ejecutar",N78)))</formula>
    </cfRule>
    <cfRule type="containsText" dxfId="12642" priority="12931" operator="containsText" text="Pendiente">
      <formula>NOT(ISERROR(SEARCH("Pendiente",N78)))</formula>
    </cfRule>
    <cfRule type="containsText" dxfId="12641" priority="12932" operator="containsText" text="No Aplica">
      <formula>NOT(ISERROR(SEARCH("No Aplica",N78)))</formula>
    </cfRule>
    <cfRule type="containsText" dxfId="12640" priority="12933" operator="containsText" text="Fallido">
      <formula>NOT(ISERROR(SEARCH("Fallido",N78)))</formula>
    </cfRule>
    <cfRule type="containsText" dxfId="12639" priority="12934" operator="containsText" text="Éxitoso">
      <formula>NOT(ISERROR(SEARCH("Éxitoso",N78)))</formula>
    </cfRule>
  </conditionalFormatting>
  <conditionalFormatting sqref="O78">
    <cfRule type="containsText" dxfId="12638" priority="12925" operator="containsText" text="No se pudo ejecutar">
      <formula>NOT(ISERROR(SEARCH("No se pudo ejecutar",O78)))</formula>
    </cfRule>
    <cfRule type="containsText" dxfId="12637" priority="12926" operator="containsText" text="Pendiente">
      <formula>NOT(ISERROR(SEARCH("Pendiente",O78)))</formula>
    </cfRule>
    <cfRule type="containsText" dxfId="12636" priority="12927" operator="containsText" text="No Aplica">
      <formula>NOT(ISERROR(SEARCH("No Aplica",O78)))</formula>
    </cfRule>
    <cfRule type="containsText" dxfId="12635" priority="12928" operator="containsText" text="Fallido">
      <formula>NOT(ISERROR(SEARCH("Fallido",O78)))</formula>
    </cfRule>
    <cfRule type="containsText" dxfId="12634" priority="12929" operator="containsText" text="Éxitoso">
      <formula>NOT(ISERROR(SEARCH("Éxitoso",O78)))</formula>
    </cfRule>
  </conditionalFormatting>
  <conditionalFormatting sqref="P78">
    <cfRule type="containsText" dxfId="12633" priority="12920" operator="containsText" text="No se pudo ejecutar">
      <formula>NOT(ISERROR(SEARCH("No se pudo ejecutar",P78)))</formula>
    </cfRule>
    <cfRule type="containsText" dxfId="12632" priority="12921" operator="containsText" text="Pendiente">
      <formula>NOT(ISERROR(SEARCH("Pendiente",P78)))</formula>
    </cfRule>
    <cfRule type="containsText" dxfId="12631" priority="12922" operator="containsText" text="No Aplica">
      <formula>NOT(ISERROR(SEARCH("No Aplica",P78)))</formula>
    </cfRule>
    <cfRule type="containsText" dxfId="12630" priority="12923" operator="containsText" text="Fallido">
      <formula>NOT(ISERROR(SEARCH("Fallido",P78)))</formula>
    </cfRule>
    <cfRule type="containsText" dxfId="12629" priority="12924" operator="containsText" text="Éxitoso">
      <formula>NOT(ISERROR(SEARCH("Éxitoso",P78)))</formula>
    </cfRule>
  </conditionalFormatting>
  <conditionalFormatting sqref="Q78">
    <cfRule type="containsText" dxfId="12628" priority="12915" operator="containsText" text="No se pudo ejecutar">
      <formula>NOT(ISERROR(SEARCH("No se pudo ejecutar",Q78)))</formula>
    </cfRule>
    <cfRule type="containsText" dxfId="12627" priority="12916" operator="containsText" text="Pendiente">
      <formula>NOT(ISERROR(SEARCH("Pendiente",Q78)))</formula>
    </cfRule>
    <cfRule type="containsText" dxfId="12626" priority="12917" operator="containsText" text="No Aplica">
      <formula>NOT(ISERROR(SEARCH("No Aplica",Q78)))</formula>
    </cfRule>
    <cfRule type="containsText" dxfId="12625" priority="12918" operator="containsText" text="Fallido">
      <formula>NOT(ISERROR(SEARCH("Fallido",Q78)))</formula>
    </cfRule>
    <cfRule type="containsText" dxfId="12624" priority="12919" operator="containsText" text="Éxitoso">
      <formula>NOT(ISERROR(SEARCH("Éxitoso",Q78)))</formula>
    </cfRule>
  </conditionalFormatting>
  <conditionalFormatting sqref="R78">
    <cfRule type="containsText" dxfId="12623" priority="12910" operator="containsText" text="No se pudo ejecutar">
      <formula>NOT(ISERROR(SEARCH("No se pudo ejecutar",R78)))</formula>
    </cfRule>
    <cfRule type="containsText" dxfId="12622" priority="12911" operator="containsText" text="Pendiente">
      <formula>NOT(ISERROR(SEARCH("Pendiente",R78)))</formula>
    </cfRule>
    <cfRule type="containsText" dxfId="12621" priority="12912" operator="containsText" text="No Aplica">
      <formula>NOT(ISERROR(SEARCH("No Aplica",R78)))</formula>
    </cfRule>
    <cfRule type="containsText" dxfId="12620" priority="12913" operator="containsText" text="Fallido">
      <formula>NOT(ISERROR(SEARCH("Fallido",R78)))</formula>
    </cfRule>
    <cfRule type="containsText" dxfId="12619" priority="12914" operator="containsText" text="Éxitoso">
      <formula>NOT(ISERROR(SEARCH("Éxitoso",R78)))</formula>
    </cfRule>
  </conditionalFormatting>
  <conditionalFormatting sqref="S78">
    <cfRule type="containsText" dxfId="12618" priority="12905" operator="containsText" text="No se pudo ejecutar">
      <formula>NOT(ISERROR(SEARCH("No se pudo ejecutar",S78)))</formula>
    </cfRule>
    <cfRule type="containsText" dxfId="12617" priority="12906" operator="containsText" text="Pendiente">
      <formula>NOT(ISERROR(SEARCH("Pendiente",S78)))</formula>
    </cfRule>
    <cfRule type="containsText" dxfId="12616" priority="12907" operator="containsText" text="No Aplica">
      <formula>NOT(ISERROR(SEARCH("No Aplica",S78)))</formula>
    </cfRule>
    <cfRule type="containsText" dxfId="12615" priority="12908" operator="containsText" text="Fallido">
      <formula>NOT(ISERROR(SEARCH("Fallido",S78)))</formula>
    </cfRule>
    <cfRule type="containsText" dxfId="12614" priority="12909" operator="containsText" text="Éxitoso">
      <formula>NOT(ISERROR(SEARCH("Éxitoso",S78)))</formula>
    </cfRule>
  </conditionalFormatting>
  <conditionalFormatting sqref="T78">
    <cfRule type="containsText" dxfId="12613" priority="12900" operator="containsText" text="No se pudo ejecutar">
      <formula>NOT(ISERROR(SEARCH("No se pudo ejecutar",T78)))</formula>
    </cfRule>
    <cfRule type="containsText" dxfId="12612" priority="12901" operator="containsText" text="Pendiente">
      <formula>NOT(ISERROR(SEARCH("Pendiente",T78)))</formula>
    </cfRule>
    <cfRule type="containsText" dxfId="12611" priority="12902" operator="containsText" text="No Aplica">
      <formula>NOT(ISERROR(SEARCH("No Aplica",T78)))</formula>
    </cfRule>
    <cfRule type="containsText" dxfId="12610" priority="12903" operator="containsText" text="Fallido">
      <formula>NOT(ISERROR(SEARCH("Fallido",T78)))</formula>
    </cfRule>
    <cfRule type="containsText" dxfId="12609" priority="12904" operator="containsText" text="Éxitoso">
      <formula>NOT(ISERROR(SEARCH("Éxitoso",T78)))</formula>
    </cfRule>
  </conditionalFormatting>
  <conditionalFormatting sqref="U78">
    <cfRule type="containsText" dxfId="12608" priority="12895" operator="containsText" text="No se pudo ejecutar">
      <formula>NOT(ISERROR(SEARCH("No se pudo ejecutar",U78)))</formula>
    </cfRule>
    <cfRule type="containsText" dxfId="12607" priority="12896" operator="containsText" text="Pendiente">
      <formula>NOT(ISERROR(SEARCH("Pendiente",U78)))</formula>
    </cfRule>
    <cfRule type="containsText" dxfId="12606" priority="12897" operator="containsText" text="No Aplica">
      <formula>NOT(ISERROR(SEARCH("No Aplica",U78)))</formula>
    </cfRule>
    <cfRule type="containsText" dxfId="12605" priority="12898" operator="containsText" text="Fallido">
      <formula>NOT(ISERROR(SEARCH("Fallido",U78)))</formula>
    </cfRule>
    <cfRule type="containsText" dxfId="12604" priority="12899" operator="containsText" text="Éxitoso">
      <formula>NOT(ISERROR(SEARCH("Éxitoso",U78)))</formula>
    </cfRule>
  </conditionalFormatting>
  <conditionalFormatting sqref="V78">
    <cfRule type="containsText" dxfId="12603" priority="12890" operator="containsText" text="No se pudo ejecutar">
      <formula>NOT(ISERROR(SEARCH("No se pudo ejecutar",V78)))</formula>
    </cfRule>
    <cfRule type="containsText" dxfId="12602" priority="12891" operator="containsText" text="Pendiente">
      <formula>NOT(ISERROR(SEARCH("Pendiente",V78)))</formula>
    </cfRule>
    <cfRule type="containsText" dxfId="12601" priority="12892" operator="containsText" text="No Aplica">
      <formula>NOT(ISERROR(SEARCH("No Aplica",V78)))</formula>
    </cfRule>
    <cfRule type="containsText" dxfId="12600" priority="12893" operator="containsText" text="Fallido">
      <formula>NOT(ISERROR(SEARCH("Fallido",V78)))</formula>
    </cfRule>
    <cfRule type="containsText" dxfId="12599" priority="12894" operator="containsText" text="Éxitoso">
      <formula>NOT(ISERROR(SEARCH("Éxitoso",V78)))</formula>
    </cfRule>
  </conditionalFormatting>
  <conditionalFormatting sqref="W78">
    <cfRule type="containsText" dxfId="12598" priority="12885" operator="containsText" text="No se pudo ejecutar">
      <formula>NOT(ISERROR(SEARCH("No se pudo ejecutar",W78)))</formula>
    </cfRule>
    <cfRule type="containsText" dxfId="12597" priority="12886" operator="containsText" text="Pendiente">
      <formula>NOT(ISERROR(SEARCH("Pendiente",W78)))</formula>
    </cfRule>
    <cfRule type="containsText" dxfId="12596" priority="12887" operator="containsText" text="No Aplica">
      <formula>NOT(ISERROR(SEARCH("No Aplica",W78)))</formula>
    </cfRule>
    <cfRule type="containsText" dxfId="12595" priority="12888" operator="containsText" text="Fallido">
      <formula>NOT(ISERROR(SEARCH("Fallido",W78)))</formula>
    </cfRule>
    <cfRule type="containsText" dxfId="12594" priority="12889" operator="containsText" text="Éxitoso">
      <formula>NOT(ISERROR(SEARCH("Éxitoso",W78)))</formula>
    </cfRule>
  </conditionalFormatting>
  <conditionalFormatting sqref="M78">
    <cfRule type="containsText" dxfId="12593" priority="12880" operator="containsText" text="No se pudo ejecutar">
      <formula>NOT(ISERROR(SEARCH("No se pudo ejecutar",M78)))</formula>
    </cfRule>
    <cfRule type="containsText" dxfId="12592" priority="12881" operator="containsText" text="Pendiente">
      <formula>NOT(ISERROR(SEARCH("Pendiente",M78)))</formula>
    </cfRule>
    <cfRule type="containsText" dxfId="12591" priority="12882" operator="containsText" text="No Aplica">
      <formula>NOT(ISERROR(SEARCH("No Aplica",M78)))</formula>
    </cfRule>
    <cfRule type="containsText" dxfId="12590" priority="12883" operator="containsText" text="Fallido">
      <formula>NOT(ISERROR(SEARCH("Fallido",M78)))</formula>
    </cfRule>
    <cfRule type="containsText" dxfId="12589" priority="12884" operator="containsText" text="Éxitoso">
      <formula>NOT(ISERROR(SEARCH("Éxitoso",M78)))</formula>
    </cfRule>
  </conditionalFormatting>
  <conditionalFormatting sqref="G78">
    <cfRule type="containsText" dxfId="12588" priority="12877" operator="containsText" text="Bajo">
      <formula>NOT(ISERROR(SEARCH("Bajo",G78)))</formula>
    </cfRule>
    <cfRule type="containsText" dxfId="12587" priority="12878" operator="containsText" text="Medio">
      <formula>NOT(ISERROR(SEARCH("Medio",G78)))</formula>
    </cfRule>
    <cfRule type="containsText" dxfId="12586" priority="12879" operator="containsText" text="Alto">
      <formula>NOT(ISERROR(SEARCH("Alto",G78)))</formula>
    </cfRule>
  </conditionalFormatting>
  <conditionalFormatting sqref="N79">
    <cfRule type="containsText" dxfId="12585" priority="12872" operator="containsText" text="No se pudo ejecutar">
      <formula>NOT(ISERROR(SEARCH("No se pudo ejecutar",N79)))</formula>
    </cfRule>
    <cfRule type="containsText" dxfId="12584" priority="12873" operator="containsText" text="Pendiente">
      <formula>NOT(ISERROR(SEARCH("Pendiente",N79)))</formula>
    </cfRule>
    <cfRule type="containsText" dxfId="12583" priority="12874" operator="containsText" text="No Aplica">
      <formula>NOT(ISERROR(SEARCH("No Aplica",N79)))</formula>
    </cfRule>
    <cfRule type="containsText" dxfId="12582" priority="12875" operator="containsText" text="Fallido">
      <formula>NOT(ISERROR(SEARCH("Fallido",N79)))</formula>
    </cfRule>
    <cfRule type="containsText" dxfId="12581" priority="12876" operator="containsText" text="Éxitoso">
      <formula>NOT(ISERROR(SEARCH("Éxitoso",N79)))</formula>
    </cfRule>
  </conditionalFormatting>
  <conditionalFormatting sqref="O79">
    <cfRule type="containsText" dxfId="12580" priority="12867" operator="containsText" text="No se pudo ejecutar">
      <formula>NOT(ISERROR(SEARCH("No se pudo ejecutar",O79)))</formula>
    </cfRule>
    <cfRule type="containsText" dxfId="12579" priority="12868" operator="containsText" text="Pendiente">
      <formula>NOT(ISERROR(SEARCH("Pendiente",O79)))</formula>
    </cfRule>
    <cfRule type="containsText" dxfId="12578" priority="12869" operator="containsText" text="No Aplica">
      <formula>NOT(ISERROR(SEARCH("No Aplica",O79)))</formula>
    </cfRule>
    <cfRule type="containsText" dxfId="12577" priority="12870" operator="containsText" text="Fallido">
      <formula>NOT(ISERROR(SEARCH("Fallido",O79)))</formula>
    </cfRule>
    <cfRule type="containsText" dxfId="12576" priority="12871" operator="containsText" text="Éxitoso">
      <formula>NOT(ISERROR(SEARCH("Éxitoso",O79)))</formula>
    </cfRule>
  </conditionalFormatting>
  <conditionalFormatting sqref="P79">
    <cfRule type="containsText" dxfId="12575" priority="12862" operator="containsText" text="No se pudo ejecutar">
      <formula>NOT(ISERROR(SEARCH("No se pudo ejecutar",P79)))</formula>
    </cfRule>
    <cfRule type="containsText" dxfId="12574" priority="12863" operator="containsText" text="Pendiente">
      <formula>NOT(ISERROR(SEARCH("Pendiente",P79)))</formula>
    </cfRule>
    <cfRule type="containsText" dxfId="12573" priority="12864" operator="containsText" text="No Aplica">
      <formula>NOT(ISERROR(SEARCH("No Aplica",P79)))</formula>
    </cfRule>
    <cfRule type="containsText" dxfId="12572" priority="12865" operator="containsText" text="Fallido">
      <formula>NOT(ISERROR(SEARCH("Fallido",P79)))</formula>
    </cfRule>
    <cfRule type="containsText" dxfId="12571" priority="12866" operator="containsText" text="Éxitoso">
      <formula>NOT(ISERROR(SEARCH("Éxitoso",P79)))</formula>
    </cfRule>
  </conditionalFormatting>
  <conditionalFormatting sqref="Q79">
    <cfRule type="containsText" dxfId="12570" priority="12857" operator="containsText" text="No se pudo ejecutar">
      <formula>NOT(ISERROR(SEARCH("No se pudo ejecutar",Q79)))</formula>
    </cfRule>
    <cfRule type="containsText" dxfId="12569" priority="12858" operator="containsText" text="Pendiente">
      <formula>NOT(ISERROR(SEARCH("Pendiente",Q79)))</formula>
    </cfRule>
    <cfRule type="containsText" dxfId="12568" priority="12859" operator="containsText" text="No Aplica">
      <formula>NOT(ISERROR(SEARCH("No Aplica",Q79)))</formula>
    </cfRule>
    <cfRule type="containsText" dxfId="12567" priority="12860" operator="containsText" text="Fallido">
      <formula>NOT(ISERROR(SEARCH("Fallido",Q79)))</formula>
    </cfRule>
    <cfRule type="containsText" dxfId="12566" priority="12861" operator="containsText" text="Éxitoso">
      <formula>NOT(ISERROR(SEARCH("Éxitoso",Q79)))</formula>
    </cfRule>
  </conditionalFormatting>
  <conditionalFormatting sqref="R79">
    <cfRule type="containsText" dxfId="12565" priority="12852" operator="containsText" text="No se pudo ejecutar">
      <formula>NOT(ISERROR(SEARCH("No se pudo ejecutar",R79)))</formula>
    </cfRule>
    <cfRule type="containsText" dxfId="12564" priority="12853" operator="containsText" text="Pendiente">
      <formula>NOT(ISERROR(SEARCH("Pendiente",R79)))</formula>
    </cfRule>
    <cfRule type="containsText" dxfId="12563" priority="12854" operator="containsText" text="No Aplica">
      <formula>NOT(ISERROR(SEARCH("No Aplica",R79)))</formula>
    </cfRule>
    <cfRule type="containsText" dxfId="12562" priority="12855" operator="containsText" text="Fallido">
      <formula>NOT(ISERROR(SEARCH("Fallido",R79)))</formula>
    </cfRule>
    <cfRule type="containsText" dxfId="12561" priority="12856" operator="containsText" text="Éxitoso">
      <formula>NOT(ISERROR(SEARCH("Éxitoso",R79)))</formula>
    </cfRule>
  </conditionalFormatting>
  <conditionalFormatting sqref="S79">
    <cfRule type="containsText" dxfId="12560" priority="12847" operator="containsText" text="No se pudo ejecutar">
      <formula>NOT(ISERROR(SEARCH("No se pudo ejecutar",S79)))</formula>
    </cfRule>
    <cfRule type="containsText" dxfId="12559" priority="12848" operator="containsText" text="Pendiente">
      <formula>NOT(ISERROR(SEARCH("Pendiente",S79)))</formula>
    </cfRule>
    <cfRule type="containsText" dxfId="12558" priority="12849" operator="containsText" text="No Aplica">
      <formula>NOT(ISERROR(SEARCH("No Aplica",S79)))</formula>
    </cfRule>
    <cfRule type="containsText" dxfId="12557" priority="12850" operator="containsText" text="Fallido">
      <formula>NOT(ISERROR(SEARCH("Fallido",S79)))</formula>
    </cfRule>
    <cfRule type="containsText" dxfId="12556" priority="12851" operator="containsText" text="Éxitoso">
      <formula>NOT(ISERROR(SEARCH("Éxitoso",S79)))</formula>
    </cfRule>
  </conditionalFormatting>
  <conditionalFormatting sqref="T79">
    <cfRule type="containsText" dxfId="12555" priority="12842" operator="containsText" text="No se pudo ejecutar">
      <formula>NOT(ISERROR(SEARCH("No se pudo ejecutar",T79)))</formula>
    </cfRule>
    <cfRule type="containsText" dxfId="12554" priority="12843" operator="containsText" text="Pendiente">
      <formula>NOT(ISERROR(SEARCH("Pendiente",T79)))</formula>
    </cfRule>
    <cfRule type="containsText" dxfId="12553" priority="12844" operator="containsText" text="No Aplica">
      <formula>NOT(ISERROR(SEARCH("No Aplica",T79)))</formula>
    </cfRule>
    <cfRule type="containsText" dxfId="12552" priority="12845" operator="containsText" text="Fallido">
      <formula>NOT(ISERROR(SEARCH("Fallido",T79)))</formula>
    </cfRule>
    <cfRule type="containsText" dxfId="12551" priority="12846" operator="containsText" text="Éxitoso">
      <formula>NOT(ISERROR(SEARCH("Éxitoso",T79)))</formula>
    </cfRule>
  </conditionalFormatting>
  <conditionalFormatting sqref="U79">
    <cfRule type="containsText" dxfId="12550" priority="12837" operator="containsText" text="No se pudo ejecutar">
      <formula>NOT(ISERROR(SEARCH("No se pudo ejecutar",U79)))</formula>
    </cfRule>
    <cfRule type="containsText" dxfId="12549" priority="12838" operator="containsText" text="Pendiente">
      <formula>NOT(ISERROR(SEARCH("Pendiente",U79)))</formula>
    </cfRule>
    <cfRule type="containsText" dxfId="12548" priority="12839" operator="containsText" text="No Aplica">
      <formula>NOT(ISERROR(SEARCH("No Aplica",U79)))</formula>
    </cfRule>
    <cfRule type="containsText" dxfId="12547" priority="12840" operator="containsText" text="Fallido">
      <formula>NOT(ISERROR(SEARCH("Fallido",U79)))</formula>
    </cfRule>
    <cfRule type="containsText" dxfId="12546" priority="12841" operator="containsText" text="Éxitoso">
      <formula>NOT(ISERROR(SEARCH("Éxitoso",U79)))</formula>
    </cfRule>
  </conditionalFormatting>
  <conditionalFormatting sqref="V79">
    <cfRule type="containsText" dxfId="12545" priority="12832" operator="containsText" text="No se pudo ejecutar">
      <formula>NOT(ISERROR(SEARCH("No se pudo ejecutar",V79)))</formula>
    </cfRule>
    <cfRule type="containsText" dxfId="12544" priority="12833" operator="containsText" text="Pendiente">
      <formula>NOT(ISERROR(SEARCH("Pendiente",V79)))</formula>
    </cfRule>
    <cfRule type="containsText" dxfId="12543" priority="12834" operator="containsText" text="No Aplica">
      <formula>NOT(ISERROR(SEARCH("No Aplica",V79)))</formula>
    </cfRule>
    <cfRule type="containsText" dxfId="12542" priority="12835" operator="containsText" text="Fallido">
      <formula>NOT(ISERROR(SEARCH("Fallido",V79)))</formula>
    </cfRule>
    <cfRule type="containsText" dxfId="12541" priority="12836" operator="containsText" text="Éxitoso">
      <formula>NOT(ISERROR(SEARCH("Éxitoso",V79)))</formula>
    </cfRule>
  </conditionalFormatting>
  <conditionalFormatting sqref="W79">
    <cfRule type="containsText" dxfId="12540" priority="12827" operator="containsText" text="No se pudo ejecutar">
      <formula>NOT(ISERROR(SEARCH("No se pudo ejecutar",W79)))</formula>
    </cfRule>
    <cfRule type="containsText" dxfId="12539" priority="12828" operator="containsText" text="Pendiente">
      <formula>NOT(ISERROR(SEARCH("Pendiente",W79)))</formula>
    </cfRule>
    <cfRule type="containsText" dxfId="12538" priority="12829" operator="containsText" text="No Aplica">
      <formula>NOT(ISERROR(SEARCH("No Aplica",W79)))</formula>
    </cfRule>
    <cfRule type="containsText" dxfId="12537" priority="12830" operator="containsText" text="Fallido">
      <formula>NOT(ISERROR(SEARCH("Fallido",W79)))</formula>
    </cfRule>
    <cfRule type="containsText" dxfId="12536" priority="12831" operator="containsText" text="Éxitoso">
      <formula>NOT(ISERROR(SEARCH("Éxitoso",W79)))</formula>
    </cfRule>
  </conditionalFormatting>
  <conditionalFormatting sqref="M79">
    <cfRule type="containsText" dxfId="12535" priority="12822" operator="containsText" text="No se pudo ejecutar">
      <formula>NOT(ISERROR(SEARCH("No se pudo ejecutar",M79)))</formula>
    </cfRule>
    <cfRule type="containsText" dxfId="12534" priority="12823" operator="containsText" text="Pendiente">
      <formula>NOT(ISERROR(SEARCH("Pendiente",M79)))</formula>
    </cfRule>
    <cfRule type="containsText" dxfId="12533" priority="12824" operator="containsText" text="No Aplica">
      <formula>NOT(ISERROR(SEARCH("No Aplica",M79)))</formula>
    </cfRule>
    <cfRule type="containsText" dxfId="12532" priority="12825" operator="containsText" text="Fallido">
      <formula>NOT(ISERROR(SEARCH("Fallido",M79)))</formula>
    </cfRule>
    <cfRule type="containsText" dxfId="12531" priority="12826" operator="containsText" text="Éxitoso">
      <formula>NOT(ISERROR(SEARCH("Éxitoso",M79)))</formula>
    </cfRule>
  </conditionalFormatting>
  <conditionalFormatting sqref="G79">
    <cfRule type="containsText" dxfId="12530" priority="12819" operator="containsText" text="Bajo">
      <formula>NOT(ISERROR(SEARCH("Bajo",G79)))</formula>
    </cfRule>
    <cfRule type="containsText" dxfId="12529" priority="12820" operator="containsText" text="Medio">
      <formula>NOT(ISERROR(SEARCH("Medio",G79)))</formula>
    </cfRule>
    <cfRule type="containsText" dxfId="12528" priority="12821" operator="containsText" text="Alto">
      <formula>NOT(ISERROR(SEARCH("Alto",G79)))</formula>
    </cfRule>
  </conditionalFormatting>
  <conditionalFormatting sqref="N80">
    <cfRule type="containsText" dxfId="12527" priority="12814" operator="containsText" text="No se pudo ejecutar">
      <formula>NOT(ISERROR(SEARCH("No se pudo ejecutar",N80)))</formula>
    </cfRule>
    <cfRule type="containsText" dxfId="12526" priority="12815" operator="containsText" text="Pendiente">
      <formula>NOT(ISERROR(SEARCH("Pendiente",N80)))</formula>
    </cfRule>
    <cfRule type="containsText" dxfId="12525" priority="12816" operator="containsText" text="No Aplica">
      <formula>NOT(ISERROR(SEARCH("No Aplica",N80)))</formula>
    </cfRule>
    <cfRule type="containsText" dxfId="12524" priority="12817" operator="containsText" text="Fallido">
      <formula>NOT(ISERROR(SEARCH("Fallido",N80)))</formula>
    </cfRule>
    <cfRule type="containsText" dxfId="12523" priority="12818" operator="containsText" text="Éxitoso">
      <formula>NOT(ISERROR(SEARCH("Éxitoso",N80)))</formula>
    </cfRule>
  </conditionalFormatting>
  <conditionalFormatting sqref="O80">
    <cfRule type="containsText" dxfId="12522" priority="12809" operator="containsText" text="No se pudo ejecutar">
      <formula>NOT(ISERROR(SEARCH("No se pudo ejecutar",O80)))</formula>
    </cfRule>
    <cfRule type="containsText" dxfId="12521" priority="12810" operator="containsText" text="Pendiente">
      <formula>NOT(ISERROR(SEARCH("Pendiente",O80)))</formula>
    </cfRule>
    <cfRule type="containsText" dxfId="12520" priority="12811" operator="containsText" text="No Aplica">
      <formula>NOT(ISERROR(SEARCH("No Aplica",O80)))</formula>
    </cfRule>
    <cfRule type="containsText" dxfId="12519" priority="12812" operator="containsText" text="Fallido">
      <formula>NOT(ISERROR(SEARCH("Fallido",O80)))</formula>
    </cfRule>
    <cfRule type="containsText" dxfId="12518" priority="12813" operator="containsText" text="Éxitoso">
      <formula>NOT(ISERROR(SEARCH("Éxitoso",O80)))</formula>
    </cfRule>
  </conditionalFormatting>
  <conditionalFormatting sqref="P80">
    <cfRule type="containsText" dxfId="12517" priority="12804" operator="containsText" text="No se pudo ejecutar">
      <formula>NOT(ISERROR(SEARCH("No se pudo ejecutar",P80)))</formula>
    </cfRule>
    <cfRule type="containsText" dxfId="12516" priority="12805" operator="containsText" text="Pendiente">
      <formula>NOT(ISERROR(SEARCH("Pendiente",P80)))</formula>
    </cfRule>
    <cfRule type="containsText" dxfId="12515" priority="12806" operator="containsText" text="No Aplica">
      <formula>NOT(ISERROR(SEARCH("No Aplica",P80)))</formula>
    </cfRule>
    <cfRule type="containsText" dxfId="12514" priority="12807" operator="containsText" text="Fallido">
      <formula>NOT(ISERROR(SEARCH("Fallido",P80)))</formula>
    </cfRule>
    <cfRule type="containsText" dxfId="12513" priority="12808" operator="containsText" text="Éxitoso">
      <formula>NOT(ISERROR(SEARCH("Éxitoso",P80)))</formula>
    </cfRule>
  </conditionalFormatting>
  <conditionalFormatting sqref="Q80">
    <cfRule type="containsText" dxfId="12512" priority="12799" operator="containsText" text="No se pudo ejecutar">
      <formula>NOT(ISERROR(SEARCH("No se pudo ejecutar",Q80)))</formula>
    </cfRule>
    <cfRule type="containsText" dxfId="12511" priority="12800" operator="containsText" text="Pendiente">
      <formula>NOT(ISERROR(SEARCH("Pendiente",Q80)))</formula>
    </cfRule>
    <cfRule type="containsText" dxfId="12510" priority="12801" operator="containsText" text="No Aplica">
      <formula>NOT(ISERROR(SEARCH("No Aplica",Q80)))</formula>
    </cfRule>
    <cfRule type="containsText" dxfId="12509" priority="12802" operator="containsText" text="Fallido">
      <formula>NOT(ISERROR(SEARCH("Fallido",Q80)))</formula>
    </cfRule>
    <cfRule type="containsText" dxfId="12508" priority="12803" operator="containsText" text="Éxitoso">
      <formula>NOT(ISERROR(SEARCH("Éxitoso",Q80)))</formula>
    </cfRule>
  </conditionalFormatting>
  <conditionalFormatting sqref="R80">
    <cfRule type="containsText" dxfId="12507" priority="12794" operator="containsText" text="No se pudo ejecutar">
      <formula>NOT(ISERROR(SEARCH("No se pudo ejecutar",R80)))</formula>
    </cfRule>
    <cfRule type="containsText" dxfId="12506" priority="12795" operator="containsText" text="Pendiente">
      <formula>NOT(ISERROR(SEARCH("Pendiente",R80)))</formula>
    </cfRule>
    <cfRule type="containsText" dxfId="12505" priority="12796" operator="containsText" text="No Aplica">
      <formula>NOT(ISERROR(SEARCH("No Aplica",R80)))</formula>
    </cfRule>
    <cfRule type="containsText" dxfId="12504" priority="12797" operator="containsText" text="Fallido">
      <formula>NOT(ISERROR(SEARCH("Fallido",R80)))</formula>
    </cfRule>
    <cfRule type="containsText" dxfId="12503" priority="12798" operator="containsText" text="Éxitoso">
      <formula>NOT(ISERROR(SEARCH("Éxitoso",R80)))</formula>
    </cfRule>
  </conditionalFormatting>
  <conditionalFormatting sqref="S80">
    <cfRule type="containsText" dxfId="12502" priority="12789" operator="containsText" text="No se pudo ejecutar">
      <formula>NOT(ISERROR(SEARCH("No se pudo ejecutar",S80)))</formula>
    </cfRule>
    <cfRule type="containsText" dxfId="12501" priority="12790" operator="containsText" text="Pendiente">
      <formula>NOT(ISERROR(SEARCH("Pendiente",S80)))</formula>
    </cfRule>
    <cfRule type="containsText" dxfId="12500" priority="12791" operator="containsText" text="No Aplica">
      <formula>NOT(ISERROR(SEARCH("No Aplica",S80)))</formula>
    </cfRule>
    <cfRule type="containsText" dxfId="12499" priority="12792" operator="containsText" text="Fallido">
      <formula>NOT(ISERROR(SEARCH("Fallido",S80)))</formula>
    </cfRule>
    <cfRule type="containsText" dxfId="12498" priority="12793" operator="containsText" text="Éxitoso">
      <formula>NOT(ISERROR(SEARCH("Éxitoso",S80)))</formula>
    </cfRule>
  </conditionalFormatting>
  <conditionalFormatting sqref="T80">
    <cfRule type="containsText" dxfId="12497" priority="12784" operator="containsText" text="No se pudo ejecutar">
      <formula>NOT(ISERROR(SEARCH("No se pudo ejecutar",T80)))</formula>
    </cfRule>
    <cfRule type="containsText" dxfId="12496" priority="12785" operator="containsText" text="Pendiente">
      <formula>NOT(ISERROR(SEARCH("Pendiente",T80)))</formula>
    </cfRule>
    <cfRule type="containsText" dxfId="12495" priority="12786" operator="containsText" text="No Aplica">
      <formula>NOT(ISERROR(SEARCH("No Aplica",T80)))</formula>
    </cfRule>
    <cfRule type="containsText" dxfId="12494" priority="12787" operator="containsText" text="Fallido">
      <formula>NOT(ISERROR(SEARCH("Fallido",T80)))</formula>
    </cfRule>
    <cfRule type="containsText" dxfId="12493" priority="12788" operator="containsText" text="Éxitoso">
      <formula>NOT(ISERROR(SEARCH("Éxitoso",T80)))</formula>
    </cfRule>
  </conditionalFormatting>
  <conditionalFormatting sqref="U80">
    <cfRule type="containsText" dxfId="12492" priority="12779" operator="containsText" text="No se pudo ejecutar">
      <formula>NOT(ISERROR(SEARCH("No se pudo ejecutar",U80)))</formula>
    </cfRule>
    <cfRule type="containsText" dxfId="12491" priority="12780" operator="containsText" text="Pendiente">
      <formula>NOT(ISERROR(SEARCH("Pendiente",U80)))</formula>
    </cfRule>
    <cfRule type="containsText" dxfId="12490" priority="12781" operator="containsText" text="No Aplica">
      <formula>NOT(ISERROR(SEARCH("No Aplica",U80)))</formula>
    </cfRule>
    <cfRule type="containsText" dxfId="12489" priority="12782" operator="containsText" text="Fallido">
      <formula>NOT(ISERROR(SEARCH("Fallido",U80)))</formula>
    </cfRule>
    <cfRule type="containsText" dxfId="12488" priority="12783" operator="containsText" text="Éxitoso">
      <formula>NOT(ISERROR(SEARCH("Éxitoso",U80)))</formula>
    </cfRule>
  </conditionalFormatting>
  <conditionalFormatting sqref="V80">
    <cfRule type="containsText" dxfId="12487" priority="12774" operator="containsText" text="No se pudo ejecutar">
      <formula>NOT(ISERROR(SEARCH("No se pudo ejecutar",V80)))</formula>
    </cfRule>
    <cfRule type="containsText" dxfId="12486" priority="12775" operator="containsText" text="Pendiente">
      <formula>NOT(ISERROR(SEARCH("Pendiente",V80)))</formula>
    </cfRule>
    <cfRule type="containsText" dxfId="12485" priority="12776" operator="containsText" text="No Aplica">
      <formula>NOT(ISERROR(SEARCH("No Aplica",V80)))</formula>
    </cfRule>
    <cfRule type="containsText" dxfId="12484" priority="12777" operator="containsText" text="Fallido">
      <formula>NOT(ISERROR(SEARCH("Fallido",V80)))</formula>
    </cfRule>
    <cfRule type="containsText" dxfId="12483" priority="12778" operator="containsText" text="Éxitoso">
      <formula>NOT(ISERROR(SEARCH("Éxitoso",V80)))</formula>
    </cfRule>
  </conditionalFormatting>
  <conditionalFormatting sqref="W80">
    <cfRule type="containsText" dxfId="12482" priority="12769" operator="containsText" text="No se pudo ejecutar">
      <formula>NOT(ISERROR(SEARCH("No se pudo ejecutar",W80)))</formula>
    </cfRule>
    <cfRule type="containsText" dxfId="12481" priority="12770" operator="containsText" text="Pendiente">
      <formula>NOT(ISERROR(SEARCH("Pendiente",W80)))</formula>
    </cfRule>
    <cfRule type="containsText" dxfId="12480" priority="12771" operator="containsText" text="No Aplica">
      <formula>NOT(ISERROR(SEARCH("No Aplica",W80)))</formula>
    </cfRule>
    <cfRule type="containsText" dxfId="12479" priority="12772" operator="containsText" text="Fallido">
      <formula>NOT(ISERROR(SEARCH("Fallido",W80)))</formula>
    </cfRule>
    <cfRule type="containsText" dxfId="12478" priority="12773" operator="containsText" text="Éxitoso">
      <formula>NOT(ISERROR(SEARCH("Éxitoso",W80)))</formula>
    </cfRule>
  </conditionalFormatting>
  <conditionalFormatting sqref="M80">
    <cfRule type="containsText" dxfId="12477" priority="12764" operator="containsText" text="No se pudo ejecutar">
      <formula>NOT(ISERROR(SEARCH("No se pudo ejecutar",M80)))</formula>
    </cfRule>
    <cfRule type="containsText" dxfId="12476" priority="12765" operator="containsText" text="Pendiente">
      <formula>NOT(ISERROR(SEARCH("Pendiente",M80)))</formula>
    </cfRule>
    <cfRule type="containsText" dxfId="12475" priority="12766" operator="containsText" text="No Aplica">
      <formula>NOT(ISERROR(SEARCH("No Aplica",M80)))</formula>
    </cfRule>
    <cfRule type="containsText" dxfId="12474" priority="12767" operator="containsText" text="Fallido">
      <formula>NOT(ISERROR(SEARCH("Fallido",M80)))</formula>
    </cfRule>
    <cfRule type="containsText" dxfId="12473" priority="12768" operator="containsText" text="Éxitoso">
      <formula>NOT(ISERROR(SEARCH("Éxitoso",M80)))</formula>
    </cfRule>
  </conditionalFormatting>
  <conditionalFormatting sqref="G80">
    <cfRule type="containsText" dxfId="12472" priority="12761" operator="containsText" text="Bajo">
      <formula>NOT(ISERROR(SEARCH("Bajo",G80)))</formula>
    </cfRule>
    <cfRule type="containsText" dxfId="12471" priority="12762" operator="containsText" text="Medio">
      <formula>NOT(ISERROR(SEARCH("Medio",G80)))</formula>
    </cfRule>
    <cfRule type="containsText" dxfId="12470" priority="12763" operator="containsText" text="Alto">
      <formula>NOT(ISERROR(SEARCH("Alto",G80)))</formula>
    </cfRule>
  </conditionalFormatting>
  <conditionalFormatting sqref="N81">
    <cfRule type="containsText" dxfId="12469" priority="12756" operator="containsText" text="No se pudo ejecutar">
      <formula>NOT(ISERROR(SEARCH("No se pudo ejecutar",N81)))</formula>
    </cfRule>
    <cfRule type="containsText" dxfId="12468" priority="12757" operator="containsText" text="Pendiente">
      <formula>NOT(ISERROR(SEARCH("Pendiente",N81)))</formula>
    </cfRule>
    <cfRule type="containsText" dxfId="12467" priority="12758" operator="containsText" text="No Aplica">
      <formula>NOT(ISERROR(SEARCH("No Aplica",N81)))</formula>
    </cfRule>
    <cfRule type="containsText" dxfId="12466" priority="12759" operator="containsText" text="Fallido">
      <formula>NOT(ISERROR(SEARCH("Fallido",N81)))</formula>
    </cfRule>
    <cfRule type="containsText" dxfId="12465" priority="12760" operator="containsText" text="Éxitoso">
      <formula>NOT(ISERROR(SEARCH("Éxitoso",N81)))</formula>
    </cfRule>
  </conditionalFormatting>
  <conditionalFormatting sqref="O81">
    <cfRule type="containsText" dxfId="12464" priority="12751" operator="containsText" text="No se pudo ejecutar">
      <formula>NOT(ISERROR(SEARCH("No se pudo ejecutar",O81)))</formula>
    </cfRule>
    <cfRule type="containsText" dxfId="12463" priority="12752" operator="containsText" text="Pendiente">
      <formula>NOT(ISERROR(SEARCH("Pendiente",O81)))</formula>
    </cfRule>
    <cfRule type="containsText" dxfId="12462" priority="12753" operator="containsText" text="No Aplica">
      <formula>NOT(ISERROR(SEARCH("No Aplica",O81)))</formula>
    </cfRule>
    <cfRule type="containsText" dxfId="12461" priority="12754" operator="containsText" text="Fallido">
      <formula>NOT(ISERROR(SEARCH("Fallido",O81)))</formula>
    </cfRule>
    <cfRule type="containsText" dxfId="12460" priority="12755" operator="containsText" text="Éxitoso">
      <formula>NOT(ISERROR(SEARCH("Éxitoso",O81)))</formula>
    </cfRule>
  </conditionalFormatting>
  <conditionalFormatting sqref="P81">
    <cfRule type="containsText" dxfId="12459" priority="12746" operator="containsText" text="No se pudo ejecutar">
      <formula>NOT(ISERROR(SEARCH("No se pudo ejecutar",P81)))</formula>
    </cfRule>
    <cfRule type="containsText" dxfId="12458" priority="12747" operator="containsText" text="Pendiente">
      <formula>NOT(ISERROR(SEARCH("Pendiente",P81)))</formula>
    </cfRule>
    <cfRule type="containsText" dxfId="12457" priority="12748" operator="containsText" text="No Aplica">
      <formula>NOT(ISERROR(SEARCH("No Aplica",P81)))</formula>
    </cfRule>
    <cfRule type="containsText" dxfId="12456" priority="12749" operator="containsText" text="Fallido">
      <formula>NOT(ISERROR(SEARCH("Fallido",P81)))</formula>
    </cfRule>
    <cfRule type="containsText" dxfId="12455" priority="12750" operator="containsText" text="Éxitoso">
      <formula>NOT(ISERROR(SEARCH("Éxitoso",P81)))</formula>
    </cfRule>
  </conditionalFormatting>
  <conditionalFormatting sqref="Q81">
    <cfRule type="containsText" dxfId="12454" priority="12741" operator="containsText" text="No se pudo ejecutar">
      <formula>NOT(ISERROR(SEARCH("No se pudo ejecutar",Q81)))</formula>
    </cfRule>
    <cfRule type="containsText" dxfId="12453" priority="12742" operator="containsText" text="Pendiente">
      <formula>NOT(ISERROR(SEARCH("Pendiente",Q81)))</formula>
    </cfRule>
    <cfRule type="containsText" dxfId="12452" priority="12743" operator="containsText" text="No Aplica">
      <formula>NOT(ISERROR(SEARCH("No Aplica",Q81)))</formula>
    </cfRule>
    <cfRule type="containsText" dxfId="12451" priority="12744" operator="containsText" text="Fallido">
      <formula>NOT(ISERROR(SEARCH("Fallido",Q81)))</formula>
    </cfRule>
    <cfRule type="containsText" dxfId="12450" priority="12745" operator="containsText" text="Éxitoso">
      <formula>NOT(ISERROR(SEARCH("Éxitoso",Q81)))</formula>
    </cfRule>
  </conditionalFormatting>
  <conditionalFormatting sqref="R81">
    <cfRule type="containsText" dxfId="12449" priority="12736" operator="containsText" text="No se pudo ejecutar">
      <formula>NOT(ISERROR(SEARCH("No se pudo ejecutar",R81)))</formula>
    </cfRule>
    <cfRule type="containsText" dxfId="12448" priority="12737" operator="containsText" text="Pendiente">
      <formula>NOT(ISERROR(SEARCH("Pendiente",R81)))</formula>
    </cfRule>
    <cfRule type="containsText" dxfId="12447" priority="12738" operator="containsText" text="No Aplica">
      <formula>NOT(ISERROR(SEARCH("No Aplica",R81)))</formula>
    </cfRule>
    <cfRule type="containsText" dxfId="12446" priority="12739" operator="containsText" text="Fallido">
      <formula>NOT(ISERROR(SEARCH("Fallido",R81)))</formula>
    </cfRule>
    <cfRule type="containsText" dxfId="12445" priority="12740" operator="containsText" text="Éxitoso">
      <formula>NOT(ISERROR(SEARCH("Éxitoso",R81)))</formula>
    </cfRule>
  </conditionalFormatting>
  <conditionalFormatting sqref="S81">
    <cfRule type="containsText" dxfId="12444" priority="12731" operator="containsText" text="No se pudo ejecutar">
      <formula>NOT(ISERROR(SEARCH("No se pudo ejecutar",S81)))</formula>
    </cfRule>
    <cfRule type="containsText" dxfId="12443" priority="12732" operator="containsText" text="Pendiente">
      <formula>NOT(ISERROR(SEARCH("Pendiente",S81)))</formula>
    </cfRule>
    <cfRule type="containsText" dxfId="12442" priority="12733" operator="containsText" text="No Aplica">
      <formula>NOT(ISERROR(SEARCH("No Aplica",S81)))</formula>
    </cfRule>
    <cfRule type="containsText" dxfId="12441" priority="12734" operator="containsText" text="Fallido">
      <formula>NOT(ISERROR(SEARCH("Fallido",S81)))</formula>
    </cfRule>
    <cfRule type="containsText" dxfId="12440" priority="12735" operator="containsText" text="Éxitoso">
      <formula>NOT(ISERROR(SEARCH("Éxitoso",S81)))</formula>
    </cfRule>
  </conditionalFormatting>
  <conditionalFormatting sqref="T81">
    <cfRule type="containsText" dxfId="12439" priority="12726" operator="containsText" text="No se pudo ejecutar">
      <formula>NOT(ISERROR(SEARCH("No se pudo ejecutar",T81)))</formula>
    </cfRule>
    <cfRule type="containsText" dxfId="12438" priority="12727" operator="containsText" text="Pendiente">
      <formula>NOT(ISERROR(SEARCH("Pendiente",T81)))</formula>
    </cfRule>
    <cfRule type="containsText" dxfId="12437" priority="12728" operator="containsText" text="No Aplica">
      <formula>NOT(ISERROR(SEARCH("No Aplica",T81)))</formula>
    </cfRule>
    <cfRule type="containsText" dxfId="12436" priority="12729" operator="containsText" text="Fallido">
      <formula>NOT(ISERROR(SEARCH("Fallido",T81)))</formula>
    </cfRule>
    <cfRule type="containsText" dxfId="12435" priority="12730" operator="containsText" text="Éxitoso">
      <formula>NOT(ISERROR(SEARCH("Éxitoso",T81)))</formula>
    </cfRule>
  </conditionalFormatting>
  <conditionalFormatting sqref="U81">
    <cfRule type="containsText" dxfId="12434" priority="12721" operator="containsText" text="No se pudo ejecutar">
      <formula>NOT(ISERROR(SEARCH("No se pudo ejecutar",U81)))</formula>
    </cfRule>
    <cfRule type="containsText" dxfId="12433" priority="12722" operator="containsText" text="Pendiente">
      <formula>NOT(ISERROR(SEARCH("Pendiente",U81)))</formula>
    </cfRule>
    <cfRule type="containsText" dxfId="12432" priority="12723" operator="containsText" text="No Aplica">
      <formula>NOT(ISERROR(SEARCH("No Aplica",U81)))</formula>
    </cfRule>
    <cfRule type="containsText" dxfId="12431" priority="12724" operator="containsText" text="Fallido">
      <formula>NOT(ISERROR(SEARCH("Fallido",U81)))</formula>
    </cfRule>
    <cfRule type="containsText" dxfId="12430" priority="12725" operator="containsText" text="Éxitoso">
      <formula>NOT(ISERROR(SEARCH("Éxitoso",U81)))</formula>
    </cfRule>
  </conditionalFormatting>
  <conditionalFormatting sqref="V81">
    <cfRule type="containsText" dxfId="12429" priority="12716" operator="containsText" text="No se pudo ejecutar">
      <formula>NOT(ISERROR(SEARCH("No se pudo ejecutar",V81)))</formula>
    </cfRule>
    <cfRule type="containsText" dxfId="12428" priority="12717" operator="containsText" text="Pendiente">
      <formula>NOT(ISERROR(SEARCH("Pendiente",V81)))</formula>
    </cfRule>
    <cfRule type="containsText" dxfId="12427" priority="12718" operator="containsText" text="No Aplica">
      <formula>NOT(ISERROR(SEARCH("No Aplica",V81)))</formula>
    </cfRule>
    <cfRule type="containsText" dxfId="12426" priority="12719" operator="containsText" text="Fallido">
      <formula>NOT(ISERROR(SEARCH("Fallido",V81)))</formula>
    </cfRule>
    <cfRule type="containsText" dxfId="12425" priority="12720" operator="containsText" text="Éxitoso">
      <formula>NOT(ISERROR(SEARCH("Éxitoso",V81)))</formula>
    </cfRule>
  </conditionalFormatting>
  <conditionalFormatting sqref="W81">
    <cfRule type="containsText" dxfId="12424" priority="12711" operator="containsText" text="No se pudo ejecutar">
      <formula>NOT(ISERROR(SEARCH("No se pudo ejecutar",W81)))</formula>
    </cfRule>
    <cfRule type="containsText" dxfId="12423" priority="12712" operator="containsText" text="Pendiente">
      <formula>NOT(ISERROR(SEARCH("Pendiente",W81)))</formula>
    </cfRule>
    <cfRule type="containsText" dxfId="12422" priority="12713" operator="containsText" text="No Aplica">
      <formula>NOT(ISERROR(SEARCH("No Aplica",W81)))</formula>
    </cfRule>
    <cfRule type="containsText" dxfId="12421" priority="12714" operator="containsText" text="Fallido">
      <formula>NOT(ISERROR(SEARCH("Fallido",W81)))</formula>
    </cfRule>
    <cfRule type="containsText" dxfId="12420" priority="12715" operator="containsText" text="Éxitoso">
      <formula>NOT(ISERROR(SEARCH("Éxitoso",W81)))</formula>
    </cfRule>
  </conditionalFormatting>
  <conditionalFormatting sqref="M81">
    <cfRule type="containsText" dxfId="12419" priority="12706" operator="containsText" text="No se pudo ejecutar">
      <formula>NOT(ISERROR(SEARCH("No se pudo ejecutar",M81)))</formula>
    </cfRule>
    <cfRule type="containsText" dxfId="12418" priority="12707" operator="containsText" text="Pendiente">
      <formula>NOT(ISERROR(SEARCH("Pendiente",M81)))</formula>
    </cfRule>
    <cfRule type="containsText" dxfId="12417" priority="12708" operator="containsText" text="No Aplica">
      <formula>NOT(ISERROR(SEARCH("No Aplica",M81)))</formula>
    </cfRule>
    <cfRule type="containsText" dxfId="12416" priority="12709" operator="containsText" text="Fallido">
      <formula>NOT(ISERROR(SEARCH("Fallido",M81)))</formula>
    </cfRule>
    <cfRule type="containsText" dxfId="12415" priority="12710" operator="containsText" text="Éxitoso">
      <formula>NOT(ISERROR(SEARCH("Éxitoso",M81)))</formula>
    </cfRule>
  </conditionalFormatting>
  <conditionalFormatting sqref="G81">
    <cfRule type="containsText" dxfId="12414" priority="12703" operator="containsText" text="Bajo">
      <formula>NOT(ISERROR(SEARCH("Bajo",G81)))</formula>
    </cfRule>
    <cfRule type="containsText" dxfId="12413" priority="12704" operator="containsText" text="Medio">
      <formula>NOT(ISERROR(SEARCH("Medio",G81)))</formula>
    </cfRule>
    <cfRule type="containsText" dxfId="12412" priority="12705" operator="containsText" text="Alto">
      <formula>NOT(ISERROR(SEARCH("Alto",G81)))</formula>
    </cfRule>
  </conditionalFormatting>
  <conditionalFormatting sqref="N82">
    <cfRule type="containsText" dxfId="12411" priority="12698" operator="containsText" text="No se pudo ejecutar">
      <formula>NOT(ISERROR(SEARCH("No se pudo ejecutar",N82)))</formula>
    </cfRule>
    <cfRule type="containsText" dxfId="12410" priority="12699" operator="containsText" text="Pendiente">
      <formula>NOT(ISERROR(SEARCH("Pendiente",N82)))</formula>
    </cfRule>
    <cfRule type="containsText" dxfId="12409" priority="12700" operator="containsText" text="No Aplica">
      <formula>NOT(ISERROR(SEARCH("No Aplica",N82)))</formula>
    </cfRule>
    <cfRule type="containsText" dxfId="12408" priority="12701" operator="containsText" text="Fallido">
      <formula>NOT(ISERROR(SEARCH("Fallido",N82)))</formula>
    </cfRule>
    <cfRule type="containsText" dxfId="12407" priority="12702" operator="containsText" text="Éxitoso">
      <formula>NOT(ISERROR(SEARCH("Éxitoso",N82)))</formula>
    </cfRule>
  </conditionalFormatting>
  <conditionalFormatting sqref="O82">
    <cfRule type="containsText" dxfId="12406" priority="12693" operator="containsText" text="No se pudo ejecutar">
      <formula>NOT(ISERROR(SEARCH("No se pudo ejecutar",O82)))</formula>
    </cfRule>
    <cfRule type="containsText" dxfId="12405" priority="12694" operator="containsText" text="Pendiente">
      <formula>NOT(ISERROR(SEARCH("Pendiente",O82)))</formula>
    </cfRule>
    <cfRule type="containsText" dxfId="12404" priority="12695" operator="containsText" text="No Aplica">
      <formula>NOT(ISERROR(SEARCH("No Aplica",O82)))</formula>
    </cfRule>
    <cfRule type="containsText" dxfId="12403" priority="12696" operator="containsText" text="Fallido">
      <formula>NOT(ISERROR(SEARCH("Fallido",O82)))</formula>
    </cfRule>
    <cfRule type="containsText" dxfId="12402" priority="12697" operator="containsText" text="Éxitoso">
      <formula>NOT(ISERROR(SEARCH("Éxitoso",O82)))</formula>
    </cfRule>
  </conditionalFormatting>
  <conditionalFormatting sqref="P82">
    <cfRule type="containsText" dxfId="12401" priority="12688" operator="containsText" text="No se pudo ejecutar">
      <formula>NOT(ISERROR(SEARCH("No se pudo ejecutar",P82)))</formula>
    </cfRule>
    <cfRule type="containsText" dxfId="12400" priority="12689" operator="containsText" text="Pendiente">
      <formula>NOT(ISERROR(SEARCH("Pendiente",P82)))</formula>
    </cfRule>
    <cfRule type="containsText" dxfId="12399" priority="12690" operator="containsText" text="No Aplica">
      <formula>NOT(ISERROR(SEARCH("No Aplica",P82)))</formula>
    </cfRule>
    <cfRule type="containsText" dxfId="12398" priority="12691" operator="containsText" text="Fallido">
      <formula>NOT(ISERROR(SEARCH("Fallido",P82)))</formula>
    </cfRule>
    <cfRule type="containsText" dxfId="12397" priority="12692" operator="containsText" text="Éxitoso">
      <formula>NOT(ISERROR(SEARCH("Éxitoso",P82)))</formula>
    </cfRule>
  </conditionalFormatting>
  <conditionalFormatting sqref="Q82">
    <cfRule type="containsText" dxfId="12396" priority="12683" operator="containsText" text="No se pudo ejecutar">
      <formula>NOT(ISERROR(SEARCH("No se pudo ejecutar",Q82)))</formula>
    </cfRule>
    <cfRule type="containsText" dxfId="12395" priority="12684" operator="containsText" text="Pendiente">
      <formula>NOT(ISERROR(SEARCH("Pendiente",Q82)))</formula>
    </cfRule>
    <cfRule type="containsText" dxfId="12394" priority="12685" operator="containsText" text="No Aplica">
      <formula>NOT(ISERROR(SEARCH("No Aplica",Q82)))</formula>
    </cfRule>
    <cfRule type="containsText" dxfId="12393" priority="12686" operator="containsText" text="Fallido">
      <formula>NOT(ISERROR(SEARCH("Fallido",Q82)))</formula>
    </cfRule>
    <cfRule type="containsText" dxfId="12392" priority="12687" operator="containsText" text="Éxitoso">
      <formula>NOT(ISERROR(SEARCH("Éxitoso",Q82)))</formula>
    </cfRule>
  </conditionalFormatting>
  <conditionalFormatting sqref="R82">
    <cfRule type="containsText" dxfId="12391" priority="12678" operator="containsText" text="No se pudo ejecutar">
      <formula>NOT(ISERROR(SEARCH("No se pudo ejecutar",R82)))</formula>
    </cfRule>
    <cfRule type="containsText" dxfId="12390" priority="12679" operator="containsText" text="Pendiente">
      <formula>NOT(ISERROR(SEARCH("Pendiente",R82)))</formula>
    </cfRule>
    <cfRule type="containsText" dxfId="12389" priority="12680" operator="containsText" text="No Aplica">
      <formula>NOT(ISERROR(SEARCH("No Aplica",R82)))</formula>
    </cfRule>
    <cfRule type="containsText" dxfId="12388" priority="12681" operator="containsText" text="Fallido">
      <formula>NOT(ISERROR(SEARCH("Fallido",R82)))</formula>
    </cfRule>
    <cfRule type="containsText" dxfId="12387" priority="12682" operator="containsText" text="Éxitoso">
      <formula>NOT(ISERROR(SEARCH("Éxitoso",R82)))</formula>
    </cfRule>
  </conditionalFormatting>
  <conditionalFormatting sqref="S82">
    <cfRule type="containsText" dxfId="12386" priority="12673" operator="containsText" text="No se pudo ejecutar">
      <formula>NOT(ISERROR(SEARCH("No se pudo ejecutar",S82)))</formula>
    </cfRule>
    <cfRule type="containsText" dxfId="12385" priority="12674" operator="containsText" text="Pendiente">
      <formula>NOT(ISERROR(SEARCH("Pendiente",S82)))</formula>
    </cfRule>
    <cfRule type="containsText" dxfId="12384" priority="12675" operator="containsText" text="No Aplica">
      <formula>NOT(ISERROR(SEARCH("No Aplica",S82)))</formula>
    </cfRule>
    <cfRule type="containsText" dxfId="12383" priority="12676" operator="containsText" text="Fallido">
      <formula>NOT(ISERROR(SEARCH("Fallido",S82)))</formula>
    </cfRule>
    <cfRule type="containsText" dxfId="12382" priority="12677" operator="containsText" text="Éxitoso">
      <formula>NOT(ISERROR(SEARCH("Éxitoso",S82)))</formula>
    </cfRule>
  </conditionalFormatting>
  <conditionalFormatting sqref="T82">
    <cfRule type="containsText" dxfId="12381" priority="12668" operator="containsText" text="No se pudo ejecutar">
      <formula>NOT(ISERROR(SEARCH("No se pudo ejecutar",T82)))</formula>
    </cfRule>
    <cfRule type="containsText" dxfId="12380" priority="12669" operator="containsText" text="Pendiente">
      <formula>NOT(ISERROR(SEARCH("Pendiente",T82)))</formula>
    </cfRule>
    <cfRule type="containsText" dxfId="12379" priority="12670" operator="containsText" text="No Aplica">
      <formula>NOT(ISERROR(SEARCH("No Aplica",T82)))</formula>
    </cfRule>
    <cfRule type="containsText" dxfId="12378" priority="12671" operator="containsText" text="Fallido">
      <formula>NOT(ISERROR(SEARCH("Fallido",T82)))</formula>
    </cfRule>
    <cfRule type="containsText" dxfId="12377" priority="12672" operator="containsText" text="Éxitoso">
      <formula>NOT(ISERROR(SEARCH("Éxitoso",T82)))</formula>
    </cfRule>
  </conditionalFormatting>
  <conditionalFormatting sqref="U82">
    <cfRule type="containsText" dxfId="12376" priority="12663" operator="containsText" text="No se pudo ejecutar">
      <formula>NOT(ISERROR(SEARCH("No se pudo ejecutar",U82)))</formula>
    </cfRule>
    <cfRule type="containsText" dxfId="12375" priority="12664" operator="containsText" text="Pendiente">
      <formula>NOT(ISERROR(SEARCH("Pendiente",U82)))</formula>
    </cfRule>
    <cfRule type="containsText" dxfId="12374" priority="12665" operator="containsText" text="No Aplica">
      <formula>NOT(ISERROR(SEARCH("No Aplica",U82)))</formula>
    </cfRule>
    <cfRule type="containsText" dxfId="12373" priority="12666" operator="containsText" text="Fallido">
      <formula>NOT(ISERROR(SEARCH("Fallido",U82)))</formula>
    </cfRule>
    <cfRule type="containsText" dxfId="12372" priority="12667" operator="containsText" text="Éxitoso">
      <formula>NOT(ISERROR(SEARCH("Éxitoso",U82)))</formula>
    </cfRule>
  </conditionalFormatting>
  <conditionalFormatting sqref="V82">
    <cfRule type="containsText" dxfId="12371" priority="12658" operator="containsText" text="No se pudo ejecutar">
      <formula>NOT(ISERROR(SEARCH("No se pudo ejecutar",V82)))</formula>
    </cfRule>
    <cfRule type="containsText" dxfId="12370" priority="12659" operator="containsText" text="Pendiente">
      <formula>NOT(ISERROR(SEARCH("Pendiente",V82)))</formula>
    </cfRule>
    <cfRule type="containsText" dxfId="12369" priority="12660" operator="containsText" text="No Aplica">
      <formula>NOT(ISERROR(SEARCH("No Aplica",V82)))</formula>
    </cfRule>
    <cfRule type="containsText" dxfId="12368" priority="12661" operator="containsText" text="Fallido">
      <formula>NOT(ISERROR(SEARCH("Fallido",V82)))</formula>
    </cfRule>
    <cfRule type="containsText" dxfId="12367" priority="12662" operator="containsText" text="Éxitoso">
      <formula>NOT(ISERROR(SEARCH("Éxitoso",V82)))</formula>
    </cfRule>
  </conditionalFormatting>
  <conditionalFormatting sqref="W82">
    <cfRule type="containsText" dxfId="12366" priority="12653" operator="containsText" text="No se pudo ejecutar">
      <formula>NOT(ISERROR(SEARCH("No se pudo ejecutar",W82)))</formula>
    </cfRule>
    <cfRule type="containsText" dxfId="12365" priority="12654" operator="containsText" text="Pendiente">
      <formula>NOT(ISERROR(SEARCH("Pendiente",W82)))</formula>
    </cfRule>
    <cfRule type="containsText" dxfId="12364" priority="12655" operator="containsText" text="No Aplica">
      <formula>NOT(ISERROR(SEARCH("No Aplica",W82)))</formula>
    </cfRule>
    <cfRule type="containsText" dxfId="12363" priority="12656" operator="containsText" text="Fallido">
      <formula>NOT(ISERROR(SEARCH("Fallido",W82)))</formula>
    </cfRule>
    <cfRule type="containsText" dxfId="12362" priority="12657" operator="containsText" text="Éxitoso">
      <formula>NOT(ISERROR(SEARCH("Éxitoso",W82)))</formula>
    </cfRule>
  </conditionalFormatting>
  <conditionalFormatting sqref="M82">
    <cfRule type="containsText" dxfId="12361" priority="12648" operator="containsText" text="No se pudo ejecutar">
      <formula>NOT(ISERROR(SEARCH("No se pudo ejecutar",M82)))</formula>
    </cfRule>
    <cfRule type="containsText" dxfId="12360" priority="12649" operator="containsText" text="Pendiente">
      <formula>NOT(ISERROR(SEARCH("Pendiente",M82)))</formula>
    </cfRule>
    <cfRule type="containsText" dxfId="12359" priority="12650" operator="containsText" text="No Aplica">
      <formula>NOT(ISERROR(SEARCH("No Aplica",M82)))</formula>
    </cfRule>
    <cfRule type="containsText" dxfId="12358" priority="12651" operator="containsText" text="Fallido">
      <formula>NOT(ISERROR(SEARCH("Fallido",M82)))</formula>
    </cfRule>
    <cfRule type="containsText" dxfId="12357" priority="12652" operator="containsText" text="Éxitoso">
      <formula>NOT(ISERROR(SEARCH("Éxitoso",M82)))</formula>
    </cfRule>
  </conditionalFormatting>
  <conditionalFormatting sqref="G82">
    <cfRule type="containsText" dxfId="12356" priority="12645" operator="containsText" text="Bajo">
      <formula>NOT(ISERROR(SEARCH("Bajo",G82)))</formula>
    </cfRule>
    <cfRule type="containsText" dxfId="12355" priority="12646" operator="containsText" text="Medio">
      <formula>NOT(ISERROR(SEARCH("Medio",G82)))</formula>
    </cfRule>
    <cfRule type="containsText" dxfId="12354" priority="12647" operator="containsText" text="Alto">
      <formula>NOT(ISERROR(SEARCH("Alto",G82)))</formula>
    </cfRule>
  </conditionalFormatting>
  <conditionalFormatting sqref="N83">
    <cfRule type="containsText" dxfId="12353" priority="12640" operator="containsText" text="No se pudo ejecutar">
      <formula>NOT(ISERROR(SEARCH("No se pudo ejecutar",N83)))</formula>
    </cfRule>
    <cfRule type="containsText" dxfId="12352" priority="12641" operator="containsText" text="Pendiente">
      <formula>NOT(ISERROR(SEARCH("Pendiente",N83)))</formula>
    </cfRule>
    <cfRule type="containsText" dxfId="12351" priority="12642" operator="containsText" text="No Aplica">
      <formula>NOT(ISERROR(SEARCH("No Aplica",N83)))</formula>
    </cfRule>
    <cfRule type="containsText" dxfId="12350" priority="12643" operator="containsText" text="Fallido">
      <formula>NOT(ISERROR(SEARCH("Fallido",N83)))</formula>
    </cfRule>
    <cfRule type="containsText" dxfId="12349" priority="12644" operator="containsText" text="Éxitoso">
      <formula>NOT(ISERROR(SEARCH("Éxitoso",N83)))</formula>
    </cfRule>
  </conditionalFormatting>
  <conditionalFormatting sqref="O83">
    <cfRule type="containsText" dxfId="12348" priority="12635" operator="containsText" text="No se pudo ejecutar">
      <formula>NOT(ISERROR(SEARCH("No se pudo ejecutar",O83)))</formula>
    </cfRule>
    <cfRule type="containsText" dxfId="12347" priority="12636" operator="containsText" text="Pendiente">
      <formula>NOT(ISERROR(SEARCH("Pendiente",O83)))</formula>
    </cfRule>
    <cfRule type="containsText" dxfId="12346" priority="12637" operator="containsText" text="No Aplica">
      <formula>NOT(ISERROR(SEARCH("No Aplica",O83)))</formula>
    </cfRule>
    <cfRule type="containsText" dxfId="12345" priority="12638" operator="containsText" text="Fallido">
      <formula>NOT(ISERROR(SEARCH("Fallido",O83)))</formula>
    </cfRule>
    <cfRule type="containsText" dxfId="12344" priority="12639" operator="containsText" text="Éxitoso">
      <formula>NOT(ISERROR(SEARCH("Éxitoso",O83)))</formula>
    </cfRule>
  </conditionalFormatting>
  <conditionalFormatting sqref="P83">
    <cfRule type="containsText" dxfId="12343" priority="12630" operator="containsText" text="No se pudo ejecutar">
      <formula>NOT(ISERROR(SEARCH("No se pudo ejecutar",P83)))</formula>
    </cfRule>
    <cfRule type="containsText" dxfId="12342" priority="12631" operator="containsText" text="Pendiente">
      <formula>NOT(ISERROR(SEARCH("Pendiente",P83)))</formula>
    </cfRule>
    <cfRule type="containsText" dxfId="12341" priority="12632" operator="containsText" text="No Aplica">
      <formula>NOT(ISERROR(SEARCH("No Aplica",P83)))</formula>
    </cfRule>
    <cfRule type="containsText" dxfId="12340" priority="12633" operator="containsText" text="Fallido">
      <formula>NOT(ISERROR(SEARCH("Fallido",P83)))</formula>
    </cfRule>
    <cfRule type="containsText" dxfId="12339" priority="12634" operator="containsText" text="Éxitoso">
      <formula>NOT(ISERROR(SEARCH("Éxitoso",P83)))</formula>
    </cfRule>
  </conditionalFormatting>
  <conditionalFormatting sqref="Q83">
    <cfRule type="containsText" dxfId="12338" priority="12625" operator="containsText" text="No se pudo ejecutar">
      <formula>NOT(ISERROR(SEARCH("No se pudo ejecutar",Q83)))</formula>
    </cfRule>
    <cfRule type="containsText" dxfId="12337" priority="12626" operator="containsText" text="Pendiente">
      <formula>NOT(ISERROR(SEARCH("Pendiente",Q83)))</formula>
    </cfRule>
    <cfRule type="containsText" dxfId="12336" priority="12627" operator="containsText" text="No Aplica">
      <formula>NOT(ISERROR(SEARCH("No Aplica",Q83)))</formula>
    </cfRule>
    <cfRule type="containsText" dxfId="12335" priority="12628" operator="containsText" text="Fallido">
      <formula>NOT(ISERROR(SEARCH("Fallido",Q83)))</formula>
    </cfRule>
    <cfRule type="containsText" dxfId="12334" priority="12629" operator="containsText" text="Éxitoso">
      <formula>NOT(ISERROR(SEARCH("Éxitoso",Q83)))</formula>
    </cfRule>
  </conditionalFormatting>
  <conditionalFormatting sqref="R83">
    <cfRule type="containsText" dxfId="12333" priority="12620" operator="containsText" text="No se pudo ejecutar">
      <formula>NOT(ISERROR(SEARCH("No se pudo ejecutar",R83)))</formula>
    </cfRule>
    <cfRule type="containsText" dxfId="12332" priority="12621" operator="containsText" text="Pendiente">
      <formula>NOT(ISERROR(SEARCH("Pendiente",R83)))</formula>
    </cfRule>
    <cfRule type="containsText" dxfId="12331" priority="12622" operator="containsText" text="No Aplica">
      <formula>NOT(ISERROR(SEARCH("No Aplica",R83)))</formula>
    </cfRule>
    <cfRule type="containsText" dxfId="12330" priority="12623" operator="containsText" text="Fallido">
      <formula>NOT(ISERROR(SEARCH("Fallido",R83)))</formula>
    </cfRule>
    <cfRule type="containsText" dxfId="12329" priority="12624" operator="containsText" text="Éxitoso">
      <formula>NOT(ISERROR(SEARCH("Éxitoso",R83)))</formula>
    </cfRule>
  </conditionalFormatting>
  <conditionalFormatting sqref="S83">
    <cfRule type="containsText" dxfId="12328" priority="12615" operator="containsText" text="No se pudo ejecutar">
      <formula>NOT(ISERROR(SEARCH("No se pudo ejecutar",S83)))</formula>
    </cfRule>
    <cfRule type="containsText" dxfId="12327" priority="12616" operator="containsText" text="Pendiente">
      <formula>NOT(ISERROR(SEARCH("Pendiente",S83)))</formula>
    </cfRule>
    <cfRule type="containsText" dxfId="12326" priority="12617" operator="containsText" text="No Aplica">
      <formula>NOT(ISERROR(SEARCH("No Aplica",S83)))</formula>
    </cfRule>
    <cfRule type="containsText" dxfId="12325" priority="12618" operator="containsText" text="Fallido">
      <formula>NOT(ISERROR(SEARCH("Fallido",S83)))</formula>
    </cfRule>
    <cfRule type="containsText" dxfId="12324" priority="12619" operator="containsText" text="Éxitoso">
      <formula>NOT(ISERROR(SEARCH("Éxitoso",S83)))</formula>
    </cfRule>
  </conditionalFormatting>
  <conditionalFormatting sqref="T83">
    <cfRule type="containsText" dxfId="12323" priority="12610" operator="containsText" text="No se pudo ejecutar">
      <formula>NOT(ISERROR(SEARCH("No se pudo ejecutar",T83)))</formula>
    </cfRule>
    <cfRule type="containsText" dxfId="12322" priority="12611" operator="containsText" text="Pendiente">
      <formula>NOT(ISERROR(SEARCH("Pendiente",T83)))</formula>
    </cfRule>
    <cfRule type="containsText" dxfId="12321" priority="12612" operator="containsText" text="No Aplica">
      <formula>NOT(ISERROR(SEARCH("No Aplica",T83)))</formula>
    </cfRule>
    <cfRule type="containsText" dxfId="12320" priority="12613" operator="containsText" text="Fallido">
      <formula>NOT(ISERROR(SEARCH("Fallido",T83)))</formula>
    </cfRule>
    <cfRule type="containsText" dxfId="12319" priority="12614" operator="containsText" text="Éxitoso">
      <formula>NOT(ISERROR(SEARCH("Éxitoso",T83)))</formula>
    </cfRule>
  </conditionalFormatting>
  <conditionalFormatting sqref="U83">
    <cfRule type="containsText" dxfId="12318" priority="12605" operator="containsText" text="No se pudo ejecutar">
      <formula>NOT(ISERROR(SEARCH("No se pudo ejecutar",U83)))</formula>
    </cfRule>
    <cfRule type="containsText" dxfId="12317" priority="12606" operator="containsText" text="Pendiente">
      <formula>NOT(ISERROR(SEARCH("Pendiente",U83)))</formula>
    </cfRule>
    <cfRule type="containsText" dxfId="12316" priority="12607" operator="containsText" text="No Aplica">
      <formula>NOT(ISERROR(SEARCH("No Aplica",U83)))</formula>
    </cfRule>
    <cfRule type="containsText" dxfId="12315" priority="12608" operator="containsText" text="Fallido">
      <formula>NOT(ISERROR(SEARCH("Fallido",U83)))</formula>
    </cfRule>
    <cfRule type="containsText" dxfId="12314" priority="12609" operator="containsText" text="Éxitoso">
      <formula>NOT(ISERROR(SEARCH("Éxitoso",U83)))</formula>
    </cfRule>
  </conditionalFormatting>
  <conditionalFormatting sqref="V83">
    <cfRule type="containsText" dxfId="12313" priority="12600" operator="containsText" text="No se pudo ejecutar">
      <formula>NOT(ISERROR(SEARCH("No se pudo ejecutar",V83)))</formula>
    </cfRule>
    <cfRule type="containsText" dxfId="12312" priority="12601" operator="containsText" text="Pendiente">
      <formula>NOT(ISERROR(SEARCH("Pendiente",V83)))</formula>
    </cfRule>
    <cfRule type="containsText" dxfId="12311" priority="12602" operator="containsText" text="No Aplica">
      <formula>NOT(ISERROR(SEARCH("No Aplica",V83)))</formula>
    </cfRule>
    <cfRule type="containsText" dxfId="12310" priority="12603" operator="containsText" text="Fallido">
      <formula>NOT(ISERROR(SEARCH("Fallido",V83)))</formula>
    </cfRule>
    <cfRule type="containsText" dxfId="12309" priority="12604" operator="containsText" text="Éxitoso">
      <formula>NOT(ISERROR(SEARCH("Éxitoso",V83)))</formula>
    </cfRule>
  </conditionalFormatting>
  <conditionalFormatting sqref="W83">
    <cfRule type="containsText" dxfId="12308" priority="12595" operator="containsText" text="No se pudo ejecutar">
      <formula>NOT(ISERROR(SEARCH("No se pudo ejecutar",W83)))</formula>
    </cfRule>
    <cfRule type="containsText" dxfId="12307" priority="12596" operator="containsText" text="Pendiente">
      <formula>NOT(ISERROR(SEARCH("Pendiente",W83)))</formula>
    </cfRule>
    <cfRule type="containsText" dxfId="12306" priority="12597" operator="containsText" text="No Aplica">
      <formula>NOT(ISERROR(SEARCH("No Aplica",W83)))</formula>
    </cfRule>
    <cfRule type="containsText" dxfId="12305" priority="12598" operator="containsText" text="Fallido">
      <formula>NOT(ISERROR(SEARCH("Fallido",W83)))</formula>
    </cfRule>
    <cfRule type="containsText" dxfId="12304" priority="12599" operator="containsText" text="Éxitoso">
      <formula>NOT(ISERROR(SEARCH("Éxitoso",W83)))</formula>
    </cfRule>
  </conditionalFormatting>
  <conditionalFormatting sqref="M83">
    <cfRule type="containsText" dxfId="12303" priority="12590" operator="containsText" text="No se pudo ejecutar">
      <formula>NOT(ISERROR(SEARCH("No se pudo ejecutar",M83)))</formula>
    </cfRule>
    <cfRule type="containsText" dxfId="12302" priority="12591" operator="containsText" text="Pendiente">
      <formula>NOT(ISERROR(SEARCH("Pendiente",M83)))</formula>
    </cfRule>
    <cfRule type="containsText" dxfId="12301" priority="12592" operator="containsText" text="No Aplica">
      <formula>NOT(ISERROR(SEARCH("No Aplica",M83)))</formula>
    </cfRule>
    <cfRule type="containsText" dxfId="12300" priority="12593" operator="containsText" text="Fallido">
      <formula>NOT(ISERROR(SEARCH("Fallido",M83)))</formula>
    </cfRule>
    <cfRule type="containsText" dxfId="12299" priority="12594" operator="containsText" text="Éxitoso">
      <formula>NOT(ISERROR(SEARCH("Éxitoso",M83)))</formula>
    </cfRule>
  </conditionalFormatting>
  <conditionalFormatting sqref="G83">
    <cfRule type="containsText" dxfId="12298" priority="12587" operator="containsText" text="Bajo">
      <formula>NOT(ISERROR(SEARCH("Bajo",G83)))</formula>
    </cfRule>
    <cfRule type="containsText" dxfId="12297" priority="12588" operator="containsText" text="Medio">
      <formula>NOT(ISERROR(SEARCH("Medio",G83)))</formula>
    </cfRule>
    <cfRule type="containsText" dxfId="12296" priority="12589" operator="containsText" text="Alto">
      <formula>NOT(ISERROR(SEARCH("Alto",G83)))</formula>
    </cfRule>
  </conditionalFormatting>
  <conditionalFormatting sqref="N84">
    <cfRule type="containsText" dxfId="12295" priority="12582" operator="containsText" text="No se pudo ejecutar">
      <formula>NOT(ISERROR(SEARCH("No se pudo ejecutar",N84)))</formula>
    </cfRule>
    <cfRule type="containsText" dxfId="12294" priority="12583" operator="containsText" text="Pendiente">
      <formula>NOT(ISERROR(SEARCH("Pendiente",N84)))</formula>
    </cfRule>
    <cfRule type="containsText" dxfId="12293" priority="12584" operator="containsText" text="No Aplica">
      <formula>NOT(ISERROR(SEARCH("No Aplica",N84)))</formula>
    </cfRule>
    <cfRule type="containsText" dxfId="12292" priority="12585" operator="containsText" text="Fallido">
      <formula>NOT(ISERROR(SEARCH("Fallido",N84)))</formula>
    </cfRule>
    <cfRule type="containsText" dxfId="12291" priority="12586" operator="containsText" text="Éxitoso">
      <formula>NOT(ISERROR(SEARCH("Éxitoso",N84)))</formula>
    </cfRule>
  </conditionalFormatting>
  <conditionalFormatting sqref="O84">
    <cfRule type="containsText" dxfId="12290" priority="12577" operator="containsText" text="No se pudo ejecutar">
      <formula>NOT(ISERROR(SEARCH("No se pudo ejecutar",O84)))</formula>
    </cfRule>
    <cfRule type="containsText" dxfId="12289" priority="12578" operator="containsText" text="Pendiente">
      <formula>NOT(ISERROR(SEARCH("Pendiente",O84)))</formula>
    </cfRule>
    <cfRule type="containsText" dxfId="12288" priority="12579" operator="containsText" text="No Aplica">
      <formula>NOT(ISERROR(SEARCH("No Aplica",O84)))</formula>
    </cfRule>
    <cfRule type="containsText" dxfId="12287" priority="12580" operator="containsText" text="Fallido">
      <formula>NOT(ISERROR(SEARCH("Fallido",O84)))</formula>
    </cfRule>
    <cfRule type="containsText" dxfId="12286" priority="12581" operator="containsText" text="Éxitoso">
      <formula>NOT(ISERROR(SEARCH("Éxitoso",O84)))</formula>
    </cfRule>
  </conditionalFormatting>
  <conditionalFormatting sqref="P84">
    <cfRule type="containsText" dxfId="12285" priority="12572" operator="containsText" text="No se pudo ejecutar">
      <formula>NOT(ISERROR(SEARCH("No se pudo ejecutar",P84)))</formula>
    </cfRule>
    <cfRule type="containsText" dxfId="12284" priority="12573" operator="containsText" text="Pendiente">
      <formula>NOT(ISERROR(SEARCH("Pendiente",P84)))</formula>
    </cfRule>
    <cfRule type="containsText" dxfId="12283" priority="12574" operator="containsText" text="No Aplica">
      <formula>NOT(ISERROR(SEARCH("No Aplica",P84)))</formula>
    </cfRule>
    <cfRule type="containsText" dxfId="12282" priority="12575" operator="containsText" text="Fallido">
      <formula>NOT(ISERROR(SEARCH("Fallido",P84)))</formula>
    </cfRule>
    <cfRule type="containsText" dxfId="12281" priority="12576" operator="containsText" text="Éxitoso">
      <formula>NOT(ISERROR(SEARCH("Éxitoso",P84)))</formula>
    </cfRule>
  </conditionalFormatting>
  <conditionalFormatting sqref="Q84">
    <cfRule type="containsText" dxfId="12280" priority="12567" operator="containsText" text="No se pudo ejecutar">
      <formula>NOT(ISERROR(SEARCH("No se pudo ejecutar",Q84)))</formula>
    </cfRule>
    <cfRule type="containsText" dxfId="12279" priority="12568" operator="containsText" text="Pendiente">
      <formula>NOT(ISERROR(SEARCH("Pendiente",Q84)))</formula>
    </cfRule>
    <cfRule type="containsText" dxfId="12278" priority="12569" operator="containsText" text="No Aplica">
      <formula>NOT(ISERROR(SEARCH("No Aplica",Q84)))</formula>
    </cfRule>
    <cfRule type="containsText" dxfId="12277" priority="12570" operator="containsText" text="Fallido">
      <formula>NOT(ISERROR(SEARCH("Fallido",Q84)))</formula>
    </cfRule>
    <cfRule type="containsText" dxfId="12276" priority="12571" operator="containsText" text="Éxitoso">
      <formula>NOT(ISERROR(SEARCH("Éxitoso",Q84)))</formula>
    </cfRule>
  </conditionalFormatting>
  <conditionalFormatting sqref="R84">
    <cfRule type="containsText" dxfId="12275" priority="12562" operator="containsText" text="No se pudo ejecutar">
      <formula>NOT(ISERROR(SEARCH("No se pudo ejecutar",R84)))</formula>
    </cfRule>
    <cfRule type="containsText" dxfId="12274" priority="12563" operator="containsText" text="Pendiente">
      <formula>NOT(ISERROR(SEARCH("Pendiente",R84)))</formula>
    </cfRule>
    <cfRule type="containsText" dxfId="12273" priority="12564" operator="containsText" text="No Aplica">
      <formula>NOT(ISERROR(SEARCH("No Aplica",R84)))</formula>
    </cfRule>
    <cfRule type="containsText" dxfId="12272" priority="12565" operator="containsText" text="Fallido">
      <formula>NOT(ISERROR(SEARCH("Fallido",R84)))</formula>
    </cfRule>
    <cfRule type="containsText" dxfId="12271" priority="12566" operator="containsText" text="Éxitoso">
      <formula>NOT(ISERROR(SEARCH("Éxitoso",R84)))</formula>
    </cfRule>
  </conditionalFormatting>
  <conditionalFormatting sqref="S84">
    <cfRule type="containsText" dxfId="12270" priority="12557" operator="containsText" text="No se pudo ejecutar">
      <formula>NOT(ISERROR(SEARCH("No se pudo ejecutar",S84)))</formula>
    </cfRule>
    <cfRule type="containsText" dxfId="12269" priority="12558" operator="containsText" text="Pendiente">
      <formula>NOT(ISERROR(SEARCH("Pendiente",S84)))</formula>
    </cfRule>
    <cfRule type="containsText" dxfId="12268" priority="12559" operator="containsText" text="No Aplica">
      <formula>NOT(ISERROR(SEARCH("No Aplica",S84)))</formula>
    </cfRule>
    <cfRule type="containsText" dxfId="12267" priority="12560" operator="containsText" text="Fallido">
      <formula>NOT(ISERROR(SEARCH("Fallido",S84)))</formula>
    </cfRule>
    <cfRule type="containsText" dxfId="12266" priority="12561" operator="containsText" text="Éxitoso">
      <formula>NOT(ISERROR(SEARCH("Éxitoso",S84)))</formula>
    </cfRule>
  </conditionalFormatting>
  <conditionalFormatting sqref="T84">
    <cfRule type="containsText" dxfId="12265" priority="12552" operator="containsText" text="No se pudo ejecutar">
      <formula>NOT(ISERROR(SEARCH("No se pudo ejecutar",T84)))</formula>
    </cfRule>
    <cfRule type="containsText" dxfId="12264" priority="12553" operator="containsText" text="Pendiente">
      <formula>NOT(ISERROR(SEARCH("Pendiente",T84)))</formula>
    </cfRule>
    <cfRule type="containsText" dxfId="12263" priority="12554" operator="containsText" text="No Aplica">
      <formula>NOT(ISERROR(SEARCH("No Aplica",T84)))</formula>
    </cfRule>
    <cfRule type="containsText" dxfId="12262" priority="12555" operator="containsText" text="Fallido">
      <formula>NOT(ISERROR(SEARCH("Fallido",T84)))</formula>
    </cfRule>
    <cfRule type="containsText" dxfId="12261" priority="12556" operator="containsText" text="Éxitoso">
      <formula>NOT(ISERROR(SEARCH("Éxitoso",T84)))</formula>
    </cfRule>
  </conditionalFormatting>
  <conditionalFormatting sqref="U84">
    <cfRule type="containsText" dxfId="12260" priority="12547" operator="containsText" text="No se pudo ejecutar">
      <formula>NOT(ISERROR(SEARCH("No se pudo ejecutar",U84)))</formula>
    </cfRule>
    <cfRule type="containsText" dxfId="12259" priority="12548" operator="containsText" text="Pendiente">
      <formula>NOT(ISERROR(SEARCH("Pendiente",U84)))</formula>
    </cfRule>
    <cfRule type="containsText" dxfId="12258" priority="12549" operator="containsText" text="No Aplica">
      <formula>NOT(ISERROR(SEARCH("No Aplica",U84)))</formula>
    </cfRule>
    <cfRule type="containsText" dxfId="12257" priority="12550" operator="containsText" text="Fallido">
      <formula>NOT(ISERROR(SEARCH("Fallido",U84)))</formula>
    </cfRule>
    <cfRule type="containsText" dxfId="12256" priority="12551" operator="containsText" text="Éxitoso">
      <formula>NOT(ISERROR(SEARCH("Éxitoso",U84)))</formula>
    </cfRule>
  </conditionalFormatting>
  <conditionalFormatting sqref="V84">
    <cfRule type="containsText" dxfId="12255" priority="12542" operator="containsText" text="No se pudo ejecutar">
      <formula>NOT(ISERROR(SEARCH("No se pudo ejecutar",V84)))</formula>
    </cfRule>
    <cfRule type="containsText" dxfId="12254" priority="12543" operator="containsText" text="Pendiente">
      <formula>NOT(ISERROR(SEARCH("Pendiente",V84)))</formula>
    </cfRule>
    <cfRule type="containsText" dxfId="12253" priority="12544" operator="containsText" text="No Aplica">
      <formula>NOT(ISERROR(SEARCH("No Aplica",V84)))</formula>
    </cfRule>
    <cfRule type="containsText" dxfId="12252" priority="12545" operator="containsText" text="Fallido">
      <formula>NOT(ISERROR(SEARCH("Fallido",V84)))</formula>
    </cfRule>
    <cfRule type="containsText" dxfId="12251" priority="12546" operator="containsText" text="Éxitoso">
      <formula>NOT(ISERROR(SEARCH("Éxitoso",V84)))</formula>
    </cfRule>
  </conditionalFormatting>
  <conditionalFormatting sqref="W84">
    <cfRule type="containsText" dxfId="12250" priority="12537" operator="containsText" text="No se pudo ejecutar">
      <formula>NOT(ISERROR(SEARCH("No se pudo ejecutar",W84)))</formula>
    </cfRule>
    <cfRule type="containsText" dxfId="12249" priority="12538" operator="containsText" text="Pendiente">
      <formula>NOT(ISERROR(SEARCH("Pendiente",W84)))</formula>
    </cfRule>
    <cfRule type="containsText" dxfId="12248" priority="12539" operator="containsText" text="No Aplica">
      <formula>NOT(ISERROR(SEARCH("No Aplica",W84)))</formula>
    </cfRule>
    <cfRule type="containsText" dxfId="12247" priority="12540" operator="containsText" text="Fallido">
      <formula>NOT(ISERROR(SEARCH("Fallido",W84)))</formula>
    </cfRule>
    <cfRule type="containsText" dxfId="12246" priority="12541" operator="containsText" text="Éxitoso">
      <formula>NOT(ISERROR(SEARCH("Éxitoso",W84)))</formula>
    </cfRule>
  </conditionalFormatting>
  <conditionalFormatting sqref="M84">
    <cfRule type="containsText" dxfId="12245" priority="12532" operator="containsText" text="No se pudo ejecutar">
      <formula>NOT(ISERROR(SEARCH("No se pudo ejecutar",M84)))</formula>
    </cfRule>
    <cfRule type="containsText" dxfId="12244" priority="12533" operator="containsText" text="Pendiente">
      <formula>NOT(ISERROR(SEARCH("Pendiente",M84)))</formula>
    </cfRule>
    <cfRule type="containsText" dxfId="12243" priority="12534" operator="containsText" text="No Aplica">
      <formula>NOT(ISERROR(SEARCH("No Aplica",M84)))</formula>
    </cfRule>
    <cfRule type="containsText" dxfId="12242" priority="12535" operator="containsText" text="Fallido">
      <formula>NOT(ISERROR(SEARCH("Fallido",M84)))</formula>
    </cfRule>
    <cfRule type="containsText" dxfId="12241" priority="12536" operator="containsText" text="Éxitoso">
      <formula>NOT(ISERROR(SEARCH("Éxitoso",M84)))</formula>
    </cfRule>
  </conditionalFormatting>
  <conditionalFormatting sqref="G84">
    <cfRule type="containsText" dxfId="12240" priority="12529" operator="containsText" text="Bajo">
      <formula>NOT(ISERROR(SEARCH("Bajo",G84)))</formula>
    </cfRule>
    <cfRule type="containsText" dxfId="12239" priority="12530" operator="containsText" text="Medio">
      <formula>NOT(ISERROR(SEARCH("Medio",G84)))</formula>
    </cfRule>
    <cfRule type="containsText" dxfId="12238" priority="12531" operator="containsText" text="Alto">
      <formula>NOT(ISERROR(SEARCH("Alto",G84)))</formula>
    </cfRule>
  </conditionalFormatting>
  <conditionalFormatting sqref="N85">
    <cfRule type="containsText" dxfId="12237" priority="12524" operator="containsText" text="No se pudo ejecutar">
      <formula>NOT(ISERROR(SEARCH("No se pudo ejecutar",N85)))</formula>
    </cfRule>
    <cfRule type="containsText" dxfId="12236" priority="12525" operator="containsText" text="Pendiente">
      <formula>NOT(ISERROR(SEARCH("Pendiente",N85)))</formula>
    </cfRule>
    <cfRule type="containsText" dxfId="12235" priority="12526" operator="containsText" text="No Aplica">
      <formula>NOT(ISERROR(SEARCH("No Aplica",N85)))</formula>
    </cfRule>
    <cfRule type="containsText" dxfId="12234" priority="12527" operator="containsText" text="Fallido">
      <formula>NOT(ISERROR(SEARCH("Fallido",N85)))</formula>
    </cfRule>
    <cfRule type="containsText" dxfId="12233" priority="12528" operator="containsText" text="Éxitoso">
      <formula>NOT(ISERROR(SEARCH("Éxitoso",N85)))</formula>
    </cfRule>
  </conditionalFormatting>
  <conditionalFormatting sqref="O85">
    <cfRule type="containsText" dxfId="12232" priority="12519" operator="containsText" text="No se pudo ejecutar">
      <formula>NOT(ISERROR(SEARCH("No se pudo ejecutar",O85)))</formula>
    </cfRule>
    <cfRule type="containsText" dxfId="12231" priority="12520" operator="containsText" text="Pendiente">
      <formula>NOT(ISERROR(SEARCH("Pendiente",O85)))</formula>
    </cfRule>
    <cfRule type="containsText" dxfId="12230" priority="12521" operator="containsText" text="No Aplica">
      <formula>NOT(ISERROR(SEARCH("No Aplica",O85)))</formula>
    </cfRule>
    <cfRule type="containsText" dxfId="12229" priority="12522" operator="containsText" text="Fallido">
      <formula>NOT(ISERROR(SEARCH("Fallido",O85)))</formula>
    </cfRule>
    <cfRule type="containsText" dxfId="12228" priority="12523" operator="containsText" text="Éxitoso">
      <formula>NOT(ISERROR(SEARCH("Éxitoso",O85)))</formula>
    </cfRule>
  </conditionalFormatting>
  <conditionalFormatting sqref="P85">
    <cfRule type="containsText" dxfId="12227" priority="12514" operator="containsText" text="No se pudo ejecutar">
      <formula>NOT(ISERROR(SEARCH("No se pudo ejecutar",P85)))</formula>
    </cfRule>
    <cfRule type="containsText" dxfId="12226" priority="12515" operator="containsText" text="Pendiente">
      <formula>NOT(ISERROR(SEARCH("Pendiente",P85)))</formula>
    </cfRule>
    <cfRule type="containsText" dxfId="12225" priority="12516" operator="containsText" text="No Aplica">
      <formula>NOT(ISERROR(SEARCH("No Aplica",P85)))</formula>
    </cfRule>
    <cfRule type="containsText" dxfId="12224" priority="12517" operator="containsText" text="Fallido">
      <formula>NOT(ISERROR(SEARCH("Fallido",P85)))</formula>
    </cfRule>
    <cfRule type="containsText" dxfId="12223" priority="12518" operator="containsText" text="Éxitoso">
      <formula>NOT(ISERROR(SEARCH("Éxitoso",P85)))</formula>
    </cfRule>
  </conditionalFormatting>
  <conditionalFormatting sqref="Q85">
    <cfRule type="containsText" dxfId="12222" priority="12509" operator="containsText" text="No se pudo ejecutar">
      <formula>NOT(ISERROR(SEARCH("No se pudo ejecutar",Q85)))</formula>
    </cfRule>
    <cfRule type="containsText" dxfId="12221" priority="12510" operator="containsText" text="Pendiente">
      <formula>NOT(ISERROR(SEARCH("Pendiente",Q85)))</formula>
    </cfRule>
    <cfRule type="containsText" dxfId="12220" priority="12511" operator="containsText" text="No Aplica">
      <formula>NOT(ISERROR(SEARCH("No Aplica",Q85)))</formula>
    </cfRule>
    <cfRule type="containsText" dxfId="12219" priority="12512" operator="containsText" text="Fallido">
      <formula>NOT(ISERROR(SEARCH("Fallido",Q85)))</formula>
    </cfRule>
    <cfRule type="containsText" dxfId="12218" priority="12513" operator="containsText" text="Éxitoso">
      <formula>NOT(ISERROR(SEARCH("Éxitoso",Q85)))</formula>
    </cfRule>
  </conditionalFormatting>
  <conditionalFormatting sqref="R85">
    <cfRule type="containsText" dxfId="12217" priority="12504" operator="containsText" text="No se pudo ejecutar">
      <formula>NOT(ISERROR(SEARCH("No se pudo ejecutar",R85)))</formula>
    </cfRule>
    <cfRule type="containsText" dxfId="12216" priority="12505" operator="containsText" text="Pendiente">
      <formula>NOT(ISERROR(SEARCH("Pendiente",R85)))</formula>
    </cfRule>
    <cfRule type="containsText" dxfId="12215" priority="12506" operator="containsText" text="No Aplica">
      <formula>NOT(ISERROR(SEARCH("No Aplica",R85)))</formula>
    </cfRule>
    <cfRule type="containsText" dxfId="12214" priority="12507" operator="containsText" text="Fallido">
      <formula>NOT(ISERROR(SEARCH("Fallido",R85)))</formula>
    </cfRule>
    <cfRule type="containsText" dxfId="12213" priority="12508" operator="containsText" text="Éxitoso">
      <formula>NOT(ISERROR(SEARCH("Éxitoso",R85)))</formula>
    </cfRule>
  </conditionalFormatting>
  <conditionalFormatting sqref="S85">
    <cfRule type="containsText" dxfId="12212" priority="12499" operator="containsText" text="No se pudo ejecutar">
      <formula>NOT(ISERROR(SEARCH("No se pudo ejecutar",S85)))</formula>
    </cfRule>
    <cfRule type="containsText" dxfId="12211" priority="12500" operator="containsText" text="Pendiente">
      <formula>NOT(ISERROR(SEARCH("Pendiente",S85)))</formula>
    </cfRule>
    <cfRule type="containsText" dxfId="12210" priority="12501" operator="containsText" text="No Aplica">
      <formula>NOT(ISERROR(SEARCH("No Aplica",S85)))</formula>
    </cfRule>
    <cfRule type="containsText" dxfId="12209" priority="12502" operator="containsText" text="Fallido">
      <formula>NOT(ISERROR(SEARCH("Fallido",S85)))</formula>
    </cfRule>
    <cfRule type="containsText" dxfId="12208" priority="12503" operator="containsText" text="Éxitoso">
      <formula>NOT(ISERROR(SEARCH("Éxitoso",S85)))</formula>
    </cfRule>
  </conditionalFormatting>
  <conditionalFormatting sqref="T85">
    <cfRule type="containsText" dxfId="12207" priority="12494" operator="containsText" text="No se pudo ejecutar">
      <formula>NOT(ISERROR(SEARCH("No se pudo ejecutar",T85)))</formula>
    </cfRule>
    <cfRule type="containsText" dxfId="12206" priority="12495" operator="containsText" text="Pendiente">
      <formula>NOT(ISERROR(SEARCH("Pendiente",T85)))</formula>
    </cfRule>
    <cfRule type="containsText" dxfId="12205" priority="12496" operator="containsText" text="No Aplica">
      <formula>NOT(ISERROR(SEARCH("No Aplica",T85)))</formula>
    </cfRule>
    <cfRule type="containsText" dxfId="12204" priority="12497" operator="containsText" text="Fallido">
      <formula>NOT(ISERROR(SEARCH("Fallido",T85)))</formula>
    </cfRule>
    <cfRule type="containsText" dxfId="12203" priority="12498" operator="containsText" text="Éxitoso">
      <formula>NOT(ISERROR(SEARCH("Éxitoso",T85)))</formula>
    </cfRule>
  </conditionalFormatting>
  <conditionalFormatting sqref="U85">
    <cfRule type="containsText" dxfId="12202" priority="12489" operator="containsText" text="No se pudo ejecutar">
      <formula>NOT(ISERROR(SEARCH("No se pudo ejecutar",U85)))</formula>
    </cfRule>
    <cfRule type="containsText" dxfId="12201" priority="12490" operator="containsText" text="Pendiente">
      <formula>NOT(ISERROR(SEARCH("Pendiente",U85)))</formula>
    </cfRule>
    <cfRule type="containsText" dxfId="12200" priority="12491" operator="containsText" text="No Aplica">
      <formula>NOT(ISERROR(SEARCH("No Aplica",U85)))</formula>
    </cfRule>
    <cfRule type="containsText" dxfId="12199" priority="12492" operator="containsText" text="Fallido">
      <formula>NOT(ISERROR(SEARCH("Fallido",U85)))</formula>
    </cfRule>
    <cfRule type="containsText" dxfId="12198" priority="12493" operator="containsText" text="Éxitoso">
      <formula>NOT(ISERROR(SEARCH("Éxitoso",U85)))</formula>
    </cfRule>
  </conditionalFormatting>
  <conditionalFormatting sqref="V85">
    <cfRule type="containsText" dxfId="12197" priority="12484" operator="containsText" text="No se pudo ejecutar">
      <formula>NOT(ISERROR(SEARCH("No se pudo ejecutar",V85)))</formula>
    </cfRule>
    <cfRule type="containsText" dxfId="12196" priority="12485" operator="containsText" text="Pendiente">
      <formula>NOT(ISERROR(SEARCH("Pendiente",V85)))</formula>
    </cfRule>
    <cfRule type="containsText" dxfId="12195" priority="12486" operator="containsText" text="No Aplica">
      <formula>NOT(ISERROR(SEARCH("No Aplica",V85)))</formula>
    </cfRule>
    <cfRule type="containsText" dxfId="12194" priority="12487" operator="containsText" text="Fallido">
      <formula>NOT(ISERROR(SEARCH("Fallido",V85)))</formula>
    </cfRule>
    <cfRule type="containsText" dxfId="12193" priority="12488" operator="containsText" text="Éxitoso">
      <formula>NOT(ISERROR(SEARCH("Éxitoso",V85)))</formula>
    </cfRule>
  </conditionalFormatting>
  <conditionalFormatting sqref="W85">
    <cfRule type="containsText" dxfId="12192" priority="12479" operator="containsText" text="No se pudo ejecutar">
      <formula>NOT(ISERROR(SEARCH("No se pudo ejecutar",W85)))</formula>
    </cfRule>
    <cfRule type="containsText" dxfId="12191" priority="12480" operator="containsText" text="Pendiente">
      <formula>NOT(ISERROR(SEARCH("Pendiente",W85)))</formula>
    </cfRule>
    <cfRule type="containsText" dxfId="12190" priority="12481" operator="containsText" text="No Aplica">
      <formula>NOT(ISERROR(SEARCH("No Aplica",W85)))</formula>
    </cfRule>
    <cfRule type="containsText" dxfId="12189" priority="12482" operator="containsText" text="Fallido">
      <formula>NOT(ISERROR(SEARCH("Fallido",W85)))</formula>
    </cfRule>
    <cfRule type="containsText" dxfId="12188" priority="12483" operator="containsText" text="Éxitoso">
      <formula>NOT(ISERROR(SEARCH("Éxitoso",W85)))</formula>
    </cfRule>
  </conditionalFormatting>
  <conditionalFormatting sqref="M85">
    <cfRule type="containsText" dxfId="12187" priority="12474" operator="containsText" text="No se pudo ejecutar">
      <formula>NOT(ISERROR(SEARCH("No se pudo ejecutar",M85)))</formula>
    </cfRule>
    <cfRule type="containsText" dxfId="12186" priority="12475" operator="containsText" text="Pendiente">
      <formula>NOT(ISERROR(SEARCH("Pendiente",M85)))</formula>
    </cfRule>
    <cfRule type="containsText" dxfId="12185" priority="12476" operator="containsText" text="No Aplica">
      <formula>NOT(ISERROR(SEARCH("No Aplica",M85)))</formula>
    </cfRule>
    <cfRule type="containsText" dxfId="12184" priority="12477" operator="containsText" text="Fallido">
      <formula>NOT(ISERROR(SEARCH("Fallido",M85)))</formula>
    </cfRule>
    <cfRule type="containsText" dxfId="12183" priority="12478" operator="containsText" text="Éxitoso">
      <formula>NOT(ISERROR(SEARCH("Éxitoso",M85)))</formula>
    </cfRule>
  </conditionalFormatting>
  <conditionalFormatting sqref="G85">
    <cfRule type="containsText" dxfId="12182" priority="12471" operator="containsText" text="Bajo">
      <formula>NOT(ISERROR(SEARCH("Bajo",G85)))</formula>
    </cfRule>
    <cfRule type="containsText" dxfId="12181" priority="12472" operator="containsText" text="Medio">
      <formula>NOT(ISERROR(SEARCH("Medio",G85)))</formula>
    </cfRule>
    <cfRule type="containsText" dxfId="12180" priority="12473" operator="containsText" text="Alto">
      <formula>NOT(ISERROR(SEARCH("Alto",G85)))</formula>
    </cfRule>
  </conditionalFormatting>
  <conditionalFormatting sqref="N86">
    <cfRule type="containsText" dxfId="12179" priority="12466" operator="containsText" text="No se pudo ejecutar">
      <formula>NOT(ISERROR(SEARCH("No se pudo ejecutar",N86)))</formula>
    </cfRule>
    <cfRule type="containsText" dxfId="12178" priority="12467" operator="containsText" text="Pendiente">
      <formula>NOT(ISERROR(SEARCH("Pendiente",N86)))</formula>
    </cfRule>
    <cfRule type="containsText" dxfId="12177" priority="12468" operator="containsText" text="No Aplica">
      <formula>NOT(ISERROR(SEARCH("No Aplica",N86)))</formula>
    </cfRule>
    <cfRule type="containsText" dxfId="12176" priority="12469" operator="containsText" text="Fallido">
      <formula>NOT(ISERROR(SEARCH("Fallido",N86)))</formula>
    </cfRule>
    <cfRule type="containsText" dxfId="12175" priority="12470" operator="containsText" text="Éxitoso">
      <formula>NOT(ISERROR(SEARCH("Éxitoso",N86)))</formula>
    </cfRule>
  </conditionalFormatting>
  <conditionalFormatting sqref="O86">
    <cfRule type="containsText" dxfId="12174" priority="12461" operator="containsText" text="No se pudo ejecutar">
      <formula>NOT(ISERROR(SEARCH("No se pudo ejecutar",O86)))</formula>
    </cfRule>
    <cfRule type="containsText" dxfId="12173" priority="12462" operator="containsText" text="Pendiente">
      <formula>NOT(ISERROR(SEARCH("Pendiente",O86)))</formula>
    </cfRule>
    <cfRule type="containsText" dxfId="12172" priority="12463" operator="containsText" text="No Aplica">
      <formula>NOT(ISERROR(SEARCH("No Aplica",O86)))</formula>
    </cfRule>
    <cfRule type="containsText" dxfId="12171" priority="12464" operator="containsText" text="Fallido">
      <formula>NOT(ISERROR(SEARCH("Fallido",O86)))</formula>
    </cfRule>
    <cfRule type="containsText" dxfId="12170" priority="12465" operator="containsText" text="Éxitoso">
      <formula>NOT(ISERROR(SEARCH("Éxitoso",O86)))</formula>
    </cfRule>
  </conditionalFormatting>
  <conditionalFormatting sqref="P86">
    <cfRule type="containsText" dxfId="12169" priority="12456" operator="containsText" text="No se pudo ejecutar">
      <formula>NOT(ISERROR(SEARCH("No se pudo ejecutar",P86)))</formula>
    </cfRule>
    <cfRule type="containsText" dxfId="12168" priority="12457" operator="containsText" text="Pendiente">
      <formula>NOT(ISERROR(SEARCH("Pendiente",P86)))</formula>
    </cfRule>
    <cfRule type="containsText" dxfId="12167" priority="12458" operator="containsText" text="No Aplica">
      <formula>NOT(ISERROR(SEARCH("No Aplica",P86)))</formula>
    </cfRule>
    <cfRule type="containsText" dxfId="12166" priority="12459" operator="containsText" text="Fallido">
      <formula>NOT(ISERROR(SEARCH("Fallido",P86)))</formula>
    </cfRule>
    <cfRule type="containsText" dxfId="12165" priority="12460" operator="containsText" text="Éxitoso">
      <formula>NOT(ISERROR(SEARCH("Éxitoso",P86)))</formula>
    </cfRule>
  </conditionalFormatting>
  <conditionalFormatting sqref="Q86">
    <cfRule type="containsText" dxfId="12164" priority="12451" operator="containsText" text="No se pudo ejecutar">
      <formula>NOT(ISERROR(SEARCH("No se pudo ejecutar",Q86)))</formula>
    </cfRule>
    <cfRule type="containsText" dxfId="12163" priority="12452" operator="containsText" text="Pendiente">
      <formula>NOT(ISERROR(SEARCH("Pendiente",Q86)))</formula>
    </cfRule>
    <cfRule type="containsText" dxfId="12162" priority="12453" operator="containsText" text="No Aplica">
      <formula>NOT(ISERROR(SEARCH("No Aplica",Q86)))</formula>
    </cfRule>
    <cfRule type="containsText" dxfId="12161" priority="12454" operator="containsText" text="Fallido">
      <formula>NOT(ISERROR(SEARCH("Fallido",Q86)))</formula>
    </cfRule>
    <cfRule type="containsText" dxfId="12160" priority="12455" operator="containsText" text="Éxitoso">
      <formula>NOT(ISERROR(SEARCH("Éxitoso",Q86)))</formula>
    </cfRule>
  </conditionalFormatting>
  <conditionalFormatting sqref="R86">
    <cfRule type="containsText" dxfId="12159" priority="12446" operator="containsText" text="No se pudo ejecutar">
      <formula>NOT(ISERROR(SEARCH("No se pudo ejecutar",R86)))</formula>
    </cfRule>
    <cfRule type="containsText" dxfId="12158" priority="12447" operator="containsText" text="Pendiente">
      <formula>NOT(ISERROR(SEARCH("Pendiente",R86)))</formula>
    </cfRule>
    <cfRule type="containsText" dxfId="12157" priority="12448" operator="containsText" text="No Aplica">
      <formula>NOT(ISERROR(SEARCH("No Aplica",R86)))</formula>
    </cfRule>
    <cfRule type="containsText" dxfId="12156" priority="12449" operator="containsText" text="Fallido">
      <formula>NOT(ISERROR(SEARCH("Fallido",R86)))</formula>
    </cfRule>
    <cfRule type="containsText" dxfId="12155" priority="12450" operator="containsText" text="Éxitoso">
      <formula>NOT(ISERROR(SEARCH("Éxitoso",R86)))</formula>
    </cfRule>
  </conditionalFormatting>
  <conditionalFormatting sqref="S86">
    <cfRule type="containsText" dxfId="12154" priority="12441" operator="containsText" text="No se pudo ejecutar">
      <formula>NOT(ISERROR(SEARCH("No se pudo ejecutar",S86)))</formula>
    </cfRule>
    <cfRule type="containsText" dxfId="12153" priority="12442" operator="containsText" text="Pendiente">
      <formula>NOT(ISERROR(SEARCH("Pendiente",S86)))</formula>
    </cfRule>
    <cfRule type="containsText" dxfId="12152" priority="12443" operator="containsText" text="No Aplica">
      <formula>NOT(ISERROR(SEARCH("No Aplica",S86)))</formula>
    </cfRule>
    <cfRule type="containsText" dxfId="12151" priority="12444" operator="containsText" text="Fallido">
      <formula>NOT(ISERROR(SEARCH("Fallido",S86)))</formula>
    </cfRule>
    <cfRule type="containsText" dxfId="12150" priority="12445" operator="containsText" text="Éxitoso">
      <formula>NOT(ISERROR(SEARCH("Éxitoso",S86)))</formula>
    </cfRule>
  </conditionalFormatting>
  <conditionalFormatting sqref="T86">
    <cfRule type="containsText" dxfId="12149" priority="12436" operator="containsText" text="No se pudo ejecutar">
      <formula>NOT(ISERROR(SEARCH("No se pudo ejecutar",T86)))</formula>
    </cfRule>
    <cfRule type="containsText" dxfId="12148" priority="12437" operator="containsText" text="Pendiente">
      <formula>NOT(ISERROR(SEARCH("Pendiente",T86)))</formula>
    </cfRule>
    <cfRule type="containsText" dxfId="12147" priority="12438" operator="containsText" text="No Aplica">
      <formula>NOT(ISERROR(SEARCH("No Aplica",T86)))</formula>
    </cfRule>
    <cfRule type="containsText" dxfId="12146" priority="12439" operator="containsText" text="Fallido">
      <formula>NOT(ISERROR(SEARCH("Fallido",T86)))</formula>
    </cfRule>
    <cfRule type="containsText" dxfId="12145" priority="12440" operator="containsText" text="Éxitoso">
      <formula>NOT(ISERROR(SEARCH("Éxitoso",T86)))</formula>
    </cfRule>
  </conditionalFormatting>
  <conditionalFormatting sqref="U86">
    <cfRule type="containsText" dxfId="12144" priority="12431" operator="containsText" text="No se pudo ejecutar">
      <formula>NOT(ISERROR(SEARCH("No se pudo ejecutar",U86)))</formula>
    </cfRule>
    <cfRule type="containsText" dxfId="12143" priority="12432" operator="containsText" text="Pendiente">
      <formula>NOT(ISERROR(SEARCH("Pendiente",U86)))</formula>
    </cfRule>
    <cfRule type="containsText" dxfId="12142" priority="12433" operator="containsText" text="No Aplica">
      <formula>NOT(ISERROR(SEARCH("No Aplica",U86)))</formula>
    </cfRule>
    <cfRule type="containsText" dxfId="12141" priority="12434" operator="containsText" text="Fallido">
      <formula>NOT(ISERROR(SEARCH("Fallido",U86)))</formula>
    </cfRule>
    <cfRule type="containsText" dxfId="12140" priority="12435" operator="containsText" text="Éxitoso">
      <formula>NOT(ISERROR(SEARCH("Éxitoso",U86)))</formula>
    </cfRule>
  </conditionalFormatting>
  <conditionalFormatting sqref="V86">
    <cfRule type="containsText" dxfId="12139" priority="12426" operator="containsText" text="No se pudo ejecutar">
      <formula>NOT(ISERROR(SEARCH("No se pudo ejecutar",V86)))</formula>
    </cfRule>
    <cfRule type="containsText" dxfId="12138" priority="12427" operator="containsText" text="Pendiente">
      <formula>NOT(ISERROR(SEARCH("Pendiente",V86)))</formula>
    </cfRule>
    <cfRule type="containsText" dxfId="12137" priority="12428" operator="containsText" text="No Aplica">
      <formula>NOT(ISERROR(SEARCH("No Aplica",V86)))</formula>
    </cfRule>
    <cfRule type="containsText" dxfId="12136" priority="12429" operator="containsText" text="Fallido">
      <formula>NOT(ISERROR(SEARCH("Fallido",V86)))</formula>
    </cfRule>
    <cfRule type="containsText" dxfId="12135" priority="12430" operator="containsText" text="Éxitoso">
      <formula>NOT(ISERROR(SEARCH("Éxitoso",V86)))</formula>
    </cfRule>
  </conditionalFormatting>
  <conditionalFormatting sqref="W86">
    <cfRule type="containsText" dxfId="12134" priority="12421" operator="containsText" text="No se pudo ejecutar">
      <formula>NOT(ISERROR(SEARCH("No se pudo ejecutar",W86)))</formula>
    </cfRule>
    <cfRule type="containsText" dxfId="12133" priority="12422" operator="containsText" text="Pendiente">
      <formula>NOT(ISERROR(SEARCH("Pendiente",W86)))</formula>
    </cfRule>
    <cfRule type="containsText" dxfId="12132" priority="12423" operator="containsText" text="No Aplica">
      <formula>NOT(ISERROR(SEARCH("No Aplica",W86)))</formula>
    </cfRule>
    <cfRule type="containsText" dxfId="12131" priority="12424" operator="containsText" text="Fallido">
      <formula>NOT(ISERROR(SEARCH("Fallido",W86)))</formula>
    </cfRule>
    <cfRule type="containsText" dxfId="12130" priority="12425" operator="containsText" text="Éxitoso">
      <formula>NOT(ISERROR(SEARCH("Éxitoso",W86)))</formula>
    </cfRule>
  </conditionalFormatting>
  <conditionalFormatting sqref="M86">
    <cfRule type="containsText" dxfId="12129" priority="12416" operator="containsText" text="No se pudo ejecutar">
      <formula>NOT(ISERROR(SEARCH("No se pudo ejecutar",M86)))</formula>
    </cfRule>
    <cfRule type="containsText" dxfId="12128" priority="12417" operator="containsText" text="Pendiente">
      <formula>NOT(ISERROR(SEARCH("Pendiente",M86)))</formula>
    </cfRule>
    <cfRule type="containsText" dxfId="12127" priority="12418" operator="containsText" text="No Aplica">
      <formula>NOT(ISERROR(SEARCH("No Aplica",M86)))</formula>
    </cfRule>
    <cfRule type="containsText" dxfId="12126" priority="12419" operator="containsText" text="Fallido">
      <formula>NOT(ISERROR(SEARCH("Fallido",M86)))</formula>
    </cfRule>
    <cfRule type="containsText" dxfId="12125" priority="12420" operator="containsText" text="Éxitoso">
      <formula>NOT(ISERROR(SEARCH("Éxitoso",M86)))</formula>
    </cfRule>
  </conditionalFormatting>
  <conditionalFormatting sqref="G86">
    <cfRule type="containsText" dxfId="12124" priority="12413" operator="containsText" text="Bajo">
      <formula>NOT(ISERROR(SEARCH("Bajo",G86)))</formula>
    </cfRule>
    <cfRule type="containsText" dxfId="12123" priority="12414" operator="containsText" text="Medio">
      <formula>NOT(ISERROR(SEARCH("Medio",G86)))</formula>
    </cfRule>
    <cfRule type="containsText" dxfId="12122" priority="12415" operator="containsText" text="Alto">
      <formula>NOT(ISERROR(SEARCH("Alto",G86)))</formula>
    </cfRule>
  </conditionalFormatting>
  <conditionalFormatting sqref="N87">
    <cfRule type="containsText" dxfId="12121" priority="12408" operator="containsText" text="No se pudo ejecutar">
      <formula>NOT(ISERROR(SEARCH("No se pudo ejecutar",N87)))</formula>
    </cfRule>
    <cfRule type="containsText" dxfId="12120" priority="12409" operator="containsText" text="Pendiente">
      <formula>NOT(ISERROR(SEARCH("Pendiente",N87)))</formula>
    </cfRule>
    <cfRule type="containsText" dxfId="12119" priority="12410" operator="containsText" text="No Aplica">
      <formula>NOT(ISERROR(SEARCH("No Aplica",N87)))</formula>
    </cfRule>
    <cfRule type="containsText" dxfId="12118" priority="12411" operator="containsText" text="Fallido">
      <formula>NOT(ISERROR(SEARCH("Fallido",N87)))</formula>
    </cfRule>
    <cfRule type="containsText" dxfId="12117" priority="12412" operator="containsText" text="Éxitoso">
      <formula>NOT(ISERROR(SEARCH("Éxitoso",N87)))</formula>
    </cfRule>
  </conditionalFormatting>
  <conditionalFormatting sqref="O87">
    <cfRule type="containsText" dxfId="12116" priority="12403" operator="containsText" text="No se pudo ejecutar">
      <formula>NOT(ISERROR(SEARCH("No se pudo ejecutar",O87)))</formula>
    </cfRule>
    <cfRule type="containsText" dxfId="12115" priority="12404" operator="containsText" text="Pendiente">
      <formula>NOT(ISERROR(SEARCH("Pendiente",O87)))</formula>
    </cfRule>
    <cfRule type="containsText" dxfId="12114" priority="12405" operator="containsText" text="No Aplica">
      <formula>NOT(ISERROR(SEARCH("No Aplica",O87)))</formula>
    </cfRule>
    <cfRule type="containsText" dxfId="12113" priority="12406" operator="containsText" text="Fallido">
      <formula>NOT(ISERROR(SEARCH("Fallido",O87)))</formula>
    </cfRule>
    <cfRule type="containsText" dxfId="12112" priority="12407" operator="containsText" text="Éxitoso">
      <formula>NOT(ISERROR(SEARCH("Éxitoso",O87)))</formula>
    </cfRule>
  </conditionalFormatting>
  <conditionalFormatting sqref="P87">
    <cfRule type="containsText" dxfId="12111" priority="12398" operator="containsText" text="No se pudo ejecutar">
      <formula>NOT(ISERROR(SEARCH("No se pudo ejecutar",P87)))</formula>
    </cfRule>
    <cfRule type="containsText" dxfId="12110" priority="12399" operator="containsText" text="Pendiente">
      <formula>NOT(ISERROR(SEARCH("Pendiente",P87)))</formula>
    </cfRule>
    <cfRule type="containsText" dxfId="12109" priority="12400" operator="containsText" text="No Aplica">
      <formula>NOT(ISERROR(SEARCH("No Aplica",P87)))</formula>
    </cfRule>
    <cfRule type="containsText" dxfId="12108" priority="12401" operator="containsText" text="Fallido">
      <formula>NOT(ISERROR(SEARCH("Fallido",P87)))</formula>
    </cfRule>
    <cfRule type="containsText" dxfId="12107" priority="12402" operator="containsText" text="Éxitoso">
      <formula>NOT(ISERROR(SEARCH("Éxitoso",P87)))</formula>
    </cfRule>
  </conditionalFormatting>
  <conditionalFormatting sqref="Q87">
    <cfRule type="containsText" dxfId="12106" priority="12393" operator="containsText" text="No se pudo ejecutar">
      <formula>NOT(ISERROR(SEARCH("No se pudo ejecutar",Q87)))</formula>
    </cfRule>
    <cfRule type="containsText" dxfId="12105" priority="12394" operator="containsText" text="Pendiente">
      <formula>NOT(ISERROR(SEARCH("Pendiente",Q87)))</formula>
    </cfRule>
    <cfRule type="containsText" dxfId="12104" priority="12395" operator="containsText" text="No Aplica">
      <formula>NOT(ISERROR(SEARCH("No Aplica",Q87)))</formula>
    </cfRule>
    <cfRule type="containsText" dxfId="12103" priority="12396" operator="containsText" text="Fallido">
      <formula>NOT(ISERROR(SEARCH("Fallido",Q87)))</formula>
    </cfRule>
    <cfRule type="containsText" dxfId="12102" priority="12397" operator="containsText" text="Éxitoso">
      <formula>NOT(ISERROR(SEARCH("Éxitoso",Q87)))</formula>
    </cfRule>
  </conditionalFormatting>
  <conditionalFormatting sqref="R87">
    <cfRule type="containsText" dxfId="12101" priority="12388" operator="containsText" text="No se pudo ejecutar">
      <formula>NOT(ISERROR(SEARCH("No se pudo ejecutar",R87)))</formula>
    </cfRule>
    <cfRule type="containsText" dxfId="12100" priority="12389" operator="containsText" text="Pendiente">
      <formula>NOT(ISERROR(SEARCH("Pendiente",R87)))</formula>
    </cfRule>
    <cfRule type="containsText" dxfId="12099" priority="12390" operator="containsText" text="No Aplica">
      <formula>NOT(ISERROR(SEARCH("No Aplica",R87)))</formula>
    </cfRule>
    <cfRule type="containsText" dxfId="12098" priority="12391" operator="containsText" text="Fallido">
      <formula>NOT(ISERROR(SEARCH("Fallido",R87)))</formula>
    </cfRule>
    <cfRule type="containsText" dxfId="12097" priority="12392" operator="containsText" text="Éxitoso">
      <formula>NOT(ISERROR(SEARCH("Éxitoso",R87)))</formula>
    </cfRule>
  </conditionalFormatting>
  <conditionalFormatting sqref="S87">
    <cfRule type="containsText" dxfId="12096" priority="12383" operator="containsText" text="No se pudo ejecutar">
      <formula>NOT(ISERROR(SEARCH("No se pudo ejecutar",S87)))</formula>
    </cfRule>
    <cfRule type="containsText" dxfId="12095" priority="12384" operator="containsText" text="Pendiente">
      <formula>NOT(ISERROR(SEARCH("Pendiente",S87)))</formula>
    </cfRule>
    <cfRule type="containsText" dxfId="12094" priority="12385" operator="containsText" text="No Aplica">
      <formula>NOT(ISERROR(SEARCH("No Aplica",S87)))</formula>
    </cfRule>
    <cfRule type="containsText" dxfId="12093" priority="12386" operator="containsText" text="Fallido">
      <formula>NOT(ISERROR(SEARCH("Fallido",S87)))</formula>
    </cfRule>
    <cfRule type="containsText" dxfId="12092" priority="12387" operator="containsText" text="Éxitoso">
      <formula>NOT(ISERROR(SEARCH("Éxitoso",S87)))</formula>
    </cfRule>
  </conditionalFormatting>
  <conditionalFormatting sqref="T87">
    <cfRule type="containsText" dxfId="12091" priority="12378" operator="containsText" text="No se pudo ejecutar">
      <formula>NOT(ISERROR(SEARCH("No se pudo ejecutar",T87)))</formula>
    </cfRule>
    <cfRule type="containsText" dxfId="12090" priority="12379" operator="containsText" text="Pendiente">
      <formula>NOT(ISERROR(SEARCH("Pendiente",T87)))</formula>
    </cfRule>
    <cfRule type="containsText" dxfId="12089" priority="12380" operator="containsText" text="No Aplica">
      <formula>NOT(ISERROR(SEARCH("No Aplica",T87)))</formula>
    </cfRule>
    <cfRule type="containsText" dxfId="12088" priority="12381" operator="containsText" text="Fallido">
      <formula>NOT(ISERROR(SEARCH("Fallido",T87)))</formula>
    </cfRule>
    <cfRule type="containsText" dxfId="12087" priority="12382" operator="containsText" text="Éxitoso">
      <formula>NOT(ISERROR(SEARCH("Éxitoso",T87)))</formula>
    </cfRule>
  </conditionalFormatting>
  <conditionalFormatting sqref="U87">
    <cfRule type="containsText" dxfId="12086" priority="12373" operator="containsText" text="No se pudo ejecutar">
      <formula>NOT(ISERROR(SEARCH("No se pudo ejecutar",U87)))</formula>
    </cfRule>
    <cfRule type="containsText" dxfId="12085" priority="12374" operator="containsText" text="Pendiente">
      <formula>NOT(ISERROR(SEARCH("Pendiente",U87)))</formula>
    </cfRule>
    <cfRule type="containsText" dxfId="12084" priority="12375" operator="containsText" text="No Aplica">
      <formula>NOT(ISERROR(SEARCH("No Aplica",U87)))</formula>
    </cfRule>
    <cfRule type="containsText" dxfId="12083" priority="12376" operator="containsText" text="Fallido">
      <formula>NOT(ISERROR(SEARCH("Fallido",U87)))</formula>
    </cfRule>
    <cfRule type="containsText" dxfId="12082" priority="12377" operator="containsText" text="Éxitoso">
      <formula>NOT(ISERROR(SEARCH("Éxitoso",U87)))</formula>
    </cfRule>
  </conditionalFormatting>
  <conditionalFormatting sqref="V87">
    <cfRule type="containsText" dxfId="12081" priority="12368" operator="containsText" text="No se pudo ejecutar">
      <formula>NOT(ISERROR(SEARCH("No se pudo ejecutar",V87)))</formula>
    </cfRule>
    <cfRule type="containsText" dxfId="12080" priority="12369" operator="containsText" text="Pendiente">
      <formula>NOT(ISERROR(SEARCH("Pendiente",V87)))</formula>
    </cfRule>
    <cfRule type="containsText" dxfId="12079" priority="12370" operator="containsText" text="No Aplica">
      <formula>NOT(ISERROR(SEARCH("No Aplica",V87)))</formula>
    </cfRule>
    <cfRule type="containsText" dxfId="12078" priority="12371" operator="containsText" text="Fallido">
      <formula>NOT(ISERROR(SEARCH("Fallido",V87)))</formula>
    </cfRule>
    <cfRule type="containsText" dxfId="12077" priority="12372" operator="containsText" text="Éxitoso">
      <formula>NOT(ISERROR(SEARCH("Éxitoso",V87)))</formula>
    </cfRule>
  </conditionalFormatting>
  <conditionalFormatting sqref="W87">
    <cfRule type="containsText" dxfId="12076" priority="12363" operator="containsText" text="No se pudo ejecutar">
      <formula>NOT(ISERROR(SEARCH("No se pudo ejecutar",W87)))</formula>
    </cfRule>
    <cfRule type="containsText" dxfId="12075" priority="12364" operator="containsText" text="Pendiente">
      <formula>NOT(ISERROR(SEARCH("Pendiente",W87)))</formula>
    </cfRule>
    <cfRule type="containsText" dxfId="12074" priority="12365" operator="containsText" text="No Aplica">
      <formula>NOT(ISERROR(SEARCH("No Aplica",W87)))</formula>
    </cfRule>
    <cfRule type="containsText" dxfId="12073" priority="12366" operator="containsText" text="Fallido">
      <formula>NOT(ISERROR(SEARCH("Fallido",W87)))</formula>
    </cfRule>
    <cfRule type="containsText" dxfId="12072" priority="12367" operator="containsText" text="Éxitoso">
      <formula>NOT(ISERROR(SEARCH("Éxitoso",W87)))</formula>
    </cfRule>
  </conditionalFormatting>
  <conditionalFormatting sqref="M87">
    <cfRule type="containsText" dxfId="12071" priority="12358" operator="containsText" text="No se pudo ejecutar">
      <formula>NOT(ISERROR(SEARCH("No se pudo ejecutar",M87)))</formula>
    </cfRule>
    <cfRule type="containsText" dxfId="12070" priority="12359" operator="containsText" text="Pendiente">
      <formula>NOT(ISERROR(SEARCH("Pendiente",M87)))</formula>
    </cfRule>
    <cfRule type="containsText" dxfId="12069" priority="12360" operator="containsText" text="No Aplica">
      <formula>NOT(ISERROR(SEARCH("No Aplica",M87)))</formula>
    </cfRule>
    <cfRule type="containsText" dxfId="12068" priority="12361" operator="containsText" text="Fallido">
      <formula>NOT(ISERROR(SEARCH("Fallido",M87)))</formula>
    </cfRule>
    <cfRule type="containsText" dxfId="12067" priority="12362" operator="containsText" text="Éxitoso">
      <formula>NOT(ISERROR(SEARCH("Éxitoso",M87)))</formula>
    </cfRule>
  </conditionalFormatting>
  <conditionalFormatting sqref="G87">
    <cfRule type="containsText" dxfId="12066" priority="12355" operator="containsText" text="Bajo">
      <formula>NOT(ISERROR(SEARCH("Bajo",G87)))</formula>
    </cfRule>
    <cfRule type="containsText" dxfId="12065" priority="12356" operator="containsText" text="Medio">
      <formula>NOT(ISERROR(SEARCH("Medio",G87)))</formula>
    </cfRule>
    <cfRule type="containsText" dxfId="12064" priority="12357" operator="containsText" text="Alto">
      <formula>NOT(ISERROR(SEARCH("Alto",G87)))</formula>
    </cfRule>
  </conditionalFormatting>
  <conditionalFormatting sqref="N88">
    <cfRule type="containsText" dxfId="12063" priority="12350" operator="containsText" text="No se pudo ejecutar">
      <formula>NOT(ISERROR(SEARCH("No se pudo ejecutar",N88)))</formula>
    </cfRule>
    <cfRule type="containsText" dxfId="12062" priority="12351" operator="containsText" text="Pendiente">
      <formula>NOT(ISERROR(SEARCH("Pendiente",N88)))</formula>
    </cfRule>
    <cfRule type="containsText" dxfId="12061" priority="12352" operator="containsText" text="No Aplica">
      <formula>NOT(ISERROR(SEARCH("No Aplica",N88)))</formula>
    </cfRule>
    <cfRule type="containsText" dxfId="12060" priority="12353" operator="containsText" text="Fallido">
      <formula>NOT(ISERROR(SEARCH("Fallido",N88)))</formula>
    </cfRule>
    <cfRule type="containsText" dxfId="12059" priority="12354" operator="containsText" text="Éxitoso">
      <formula>NOT(ISERROR(SEARCH("Éxitoso",N88)))</formula>
    </cfRule>
  </conditionalFormatting>
  <conditionalFormatting sqref="O88">
    <cfRule type="containsText" dxfId="12058" priority="12345" operator="containsText" text="No se pudo ejecutar">
      <formula>NOT(ISERROR(SEARCH("No se pudo ejecutar",O88)))</formula>
    </cfRule>
    <cfRule type="containsText" dxfId="12057" priority="12346" operator="containsText" text="Pendiente">
      <formula>NOT(ISERROR(SEARCH("Pendiente",O88)))</formula>
    </cfRule>
    <cfRule type="containsText" dxfId="12056" priority="12347" operator="containsText" text="No Aplica">
      <formula>NOT(ISERROR(SEARCH("No Aplica",O88)))</formula>
    </cfRule>
    <cfRule type="containsText" dxfId="12055" priority="12348" operator="containsText" text="Fallido">
      <formula>NOT(ISERROR(SEARCH("Fallido",O88)))</formula>
    </cfRule>
    <cfRule type="containsText" dxfId="12054" priority="12349" operator="containsText" text="Éxitoso">
      <formula>NOT(ISERROR(SEARCH("Éxitoso",O88)))</formula>
    </cfRule>
  </conditionalFormatting>
  <conditionalFormatting sqref="P88">
    <cfRule type="containsText" dxfId="12053" priority="12340" operator="containsText" text="No se pudo ejecutar">
      <formula>NOT(ISERROR(SEARCH("No se pudo ejecutar",P88)))</formula>
    </cfRule>
    <cfRule type="containsText" dxfId="12052" priority="12341" operator="containsText" text="Pendiente">
      <formula>NOT(ISERROR(SEARCH("Pendiente",P88)))</formula>
    </cfRule>
    <cfRule type="containsText" dxfId="12051" priority="12342" operator="containsText" text="No Aplica">
      <formula>NOT(ISERROR(SEARCH("No Aplica",P88)))</formula>
    </cfRule>
    <cfRule type="containsText" dxfId="12050" priority="12343" operator="containsText" text="Fallido">
      <formula>NOT(ISERROR(SEARCH("Fallido",P88)))</formula>
    </cfRule>
    <cfRule type="containsText" dxfId="12049" priority="12344" operator="containsText" text="Éxitoso">
      <formula>NOT(ISERROR(SEARCH("Éxitoso",P88)))</formula>
    </cfRule>
  </conditionalFormatting>
  <conditionalFormatting sqref="Q88">
    <cfRule type="containsText" dxfId="12048" priority="12335" operator="containsText" text="No se pudo ejecutar">
      <formula>NOT(ISERROR(SEARCH("No se pudo ejecutar",Q88)))</formula>
    </cfRule>
    <cfRule type="containsText" dxfId="12047" priority="12336" operator="containsText" text="Pendiente">
      <formula>NOT(ISERROR(SEARCH("Pendiente",Q88)))</formula>
    </cfRule>
    <cfRule type="containsText" dxfId="12046" priority="12337" operator="containsText" text="No Aplica">
      <formula>NOT(ISERROR(SEARCH("No Aplica",Q88)))</formula>
    </cfRule>
    <cfRule type="containsText" dxfId="12045" priority="12338" operator="containsText" text="Fallido">
      <formula>NOT(ISERROR(SEARCH("Fallido",Q88)))</formula>
    </cfRule>
    <cfRule type="containsText" dxfId="12044" priority="12339" operator="containsText" text="Éxitoso">
      <formula>NOT(ISERROR(SEARCH("Éxitoso",Q88)))</formula>
    </cfRule>
  </conditionalFormatting>
  <conditionalFormatting sqref="R88">
    <cfRule type="containsText" dxfId="12043" priority="12330" operator="containsText" text="No se pudo ejecutar">
      <formula>NOT(ISERROR(SEARCH("No se pudo ejecutar",R88)))</formula>
    </cfRule>
    <cfRule type="containsText" dxfId="12042" priority="12331" operator="containsText" text="Pendiente">
      <formula>NOT(ISERROR(SEARCH("Pendiente",R88)))</formula>
    </cfRule>
    <cfRule type="containsText" dxfId="12041" priority="12332" operator="containsText" text="No Aplica">
      <formula>NOT(ISERROR(SEARCH("No Aplica",R88)))</formula>
    </cfRule>
    <cfRule type="containsText" dxfId="12040" priority="12333" operator="containsText" text="Fallido">
      <formula>NOT(ISERROR(SEARCH("Fallido",R88)))</formula>
    </cfRule>
    <cfRule type="containsText" dxfId="12039" priority="12334" operator="containsText" text="Éxitoso">
      <formula>NOT(ISERROR(SEARCH("Éxitoso",R88)))</formula>
    </cfRule>
  </conditionalFormatting>
  <conditionalFormatting sqref="S88">
    <cfRule type="containsText" dxfId="12038" priority="12325" operator="containsText" text="No se pudo ejecutar">
      <formula>NOT(ISERROR(SEARCH("No se pudo ejecutar",S88)))</formula>
    </cfRule>
    <cfRule type="containsText" dxfId="12037" priority="12326" operator="containsText" text="Pendiente">
      <formula>NOT(ISERROR(SEARCH("Pendiente",S88)))</formula>
    </cfRule>
    <cfRule type="containsText" dxfId="12036" priority="12327" operator="containsText" text="No Aplica">
      <formula>NOT(ISERROR(SEARCH("No Aplica",S88)))</formula>
    </cfRule>
    <cfRule type="containsText" dxfId="12035" priority="12328" operator="containsText" text="Fallido">
      <formula>NOT(ISERROR(SEARCH("Fallido",S88)))</formula>
    </cfRule>
    <cfRule type="containsText" dxfId="12034" priority="12329" operator="containsText" text="Éxitoso">
      <formula>NOT(ISERROR(SEARCH("Éxitoso",S88)))</formula>
    </cfRule>
  </conditionalFormatting>
  <conditionalFormatting sqref="T88">
    <cfRule type="containsText" dxfId="12033" priority="12320" operator="containsText" text="No se pudo ejecutar">
      <formula>NOT(ISERROR(SEARCH("No se pudo ejecutar",T88)))</formula>
    </cfRule>
    <cfRule type="containsText" dxfId="12032" priority="12321" operator="containsText" text="Pendiente">
      <formula>NOT(ISERROR(SEARCH("Pendiente",T88)))</formula>
    </cfRule>
    <cfRule type="containsText" dxfId="12031" priority="12322" operator="containsText" text="No Aplica">
      <formula>NOT(ISERROR(SEARCH("No Aplica",T88)))</formula>
    </cfRule>
    <cfRule type="containsText" dxfId="12030" priority="12323" operator="containsText" text="Fallido">
      <formula>NOT(ISERROR(SEARCH("Fallido",T88)))</formula>
    </cfRule>
    <cfRule type="containsText" dxfId="12029" priority="12324" operator="containsText" text="Éxitoso">
      <formula>NOT(ISERROR(SEARCH("Éxitoso",T88)))</formula>
    </cfRule>
  </conditionalFormatting>
  <conditionalFormatting sqref="U88">
    <cfRule type="containsText" dxfId="12028" priority="12315" operator="containsText" text="No se pudo ejecutar">
      <formula>NOT(ISERROR(SEARCH("No se pudo ejecutar",U88)))</formula>
    </cfRule>
    <cfRule type="containsText" dxfId="12027" priority="12316" operator="containsText" text="Pendiente">
      <formula>NOT(ISERROR(SEARCH("Pendiente",U88)))</formula>
    </cfRule>
    <cfRule type="containsText" dxfId="12026" priority="12317" operator="containsText" text="No Aplica">
      <formula>NOT(ISERROR(SEARCH("No Aplica",U88)))</formula>
    </cfRule>
    <cfRule type="containsText" dxfId="12025" priority="12318" operator="containsText" text="Fallido">
      <formula>NOT(ISERROR(SEARCH("Fallido",U88)))</formula>
    </cfRule>
    <cfRule type="containsText" dxfId="12024" priority="12319" operator="containsText" text="Éxitoso">
      <formula>NOT(ISERROR(SEARCH("Éxitoso",U88)))</formula>
    </cfRule>
  </conditionalFormatting>
  <conditionalFormatting sqref="V88">
    <cfRule type="containsText" dxfId="12023" priority="12310" operator="containsText" text="No se pudo ejecutar">
      <formula>NOT(ISERROR(SEARCH("No se pudo ejecutar",V88)))</formula>
    </cfRule>
    <cfRule type="containsText" dxfId="12022" priority="12311" operator="containsText" text="Pendiente">
      <formula>NOT(ISERROR(SEARCH("Pendiente",V88)))</formula>
    </cfRule>
    <cfRule type="containsText" dxfId="12021" priority="12312" operator="containsText" text="No Aplica">
      <formula>NOT(ISERROR(SEARCH("No Aplica",V88)))</formula>
    </cfRule>
    <cfRule type="containsText" dxfId="12020" priority="12313" operator="containsText" text="Fallido">
      <formula>NOT(ISERROR(SEARCH("Fallido",V88)))</formula>
    </cfRule>
    <cfRule type="containsText" dxfId="12019" priority="12314" operator="containsText" text="Éxitoso">
      <formula>NOT(ISERROR(SEARCH("Éxitoso",V88)))</formula>
    </cfRule>
  </conditionalFormatting>
  <conditionalFormatting sqref="W88">
    <cfRule type="containsText" dxfId="12018" priority="12305" operator="containsText" text="No se pudo ejecutar">
      <formula>NOT(ISERROR(SEARCH("No se pudo ejecutar",W88)))</formula>
    </cfRule>
    <cfRule type="containsText" dxfId="12017" priority="12306" operator="containsText" text="Pendiente">
      <formula>NOT(ISERROR(SEARCH("Pendiente",W88)))</formula>
    </cfRule>
    <cfRule type="containsText" dxfId="12016" priority="12307" operator="containsText" text="No Aplica">
      <formula>NOT(ISERROR(SEARCH("No Aplica",W88)))</formula>
    </cfRule>
    <cfRule type="containsText" dxfId="12015" priority="12308" operator="containsText" text="Fallido">
      <formula>NOT(ISERROR(SEARCH("Fallido",W88)))</formula>
    </cfRule>
    <cfRule type="containsText" dxfId="12014" priority="12309" operator="containsText" text="Éxitoso">
      <formula>NOT(ISERROR(SEARCH("Éxitoso",W88)))</formula>
    </cfRule>
  </conditionalFormatting>
  <conditionalFormatting sqref="M88">
    <cfRule type="containsText" dxfId="12013" priority="12300" operator="containsText" text="No se pudo ejecutar">
      <formula>NOT(ISERROR(SEARCH("No se pudo ejecutar",M88)))</formula>
    </cfRule>
    <cfRule type="containsText" dxfId="12012" priority="12301" operator="containsText" text="Pendiente">
      <formula>NOT(ISERROR(SEARCH("Pendiente",M88)))</formula>
    </cfRule>
    <cfRule type="containsText" dxfId="12011" priority="12302" operator="containsText" text="No Aplica">
      <formula>NOT(ISERROR(SEARCH("No Aplica",M88)))</formula>
    </cfRule>
    <cfRule type="containsText" dxfId="12010" priority="12303" operator="containsText" text="Fallido">
      <formula>NOT(ISERROR(SEARCH("Fallido",M88)))</formula>
    </cfRule>
    <cfRule type="containsText" dxfId="12009" priority="12304" operator="containsText" text="Éxitoso">
      <formula>NOT(ISERROR(SEARCH("Éxitoso",M88)))</formula>
    </cfRule>
  </conditionalFormatting>
  <conditionalFormatting sqref="G88">
    <cfRule type="containsText" dxfId="12008" priority="12297" operator="containsText" text="Bajo">
      <formula>NOT(ISERROR(SEARCH("Bajo",G88)))</formula>
    </cfRule>
    <cfRule type="containsText" dxfId="12007" priority="12298" operator="containsText" text="Medio">
      <formula>NOT(ISERROR(SEARCH("Medio",G88)))</formula>
    </cfRule>
    <cfRule type="containsText" dxfId="12006" priority="12299" operator="containsText" text="Alto">
      <formula>NOT(ISERROR(SEARCH("Alto",G88)))</formula>
    </cfRule>
  </conditionalFormatting>
  <conditionalFormatting sqref="N89">
    <cfRule type="containsText" dxfId="12005" priority="12292" operator="containsText" text="No se pudo ejecutar">
      <formula>NOT(ISERROR(SEARCH("No se pudo ejecutar",N89)))</formula>
    </cfRule>
    <cfRule type="containsText" dxfId="12004" priority="12293" operator="containsText" text="Pendiente">
      <formula>NOT(ISERROR(SEARCH("Pendiente",N89)))</formula>
    </cfRule>
    <cfRule type="containsText" dxfId="12003" priority="12294" operator="containsText" text="No Aplica">
      <formula>NOT(ISERROR(SEARCH("No Aplica",N89)))</formula>
    </cfRule>
    <cfRule type="containsText" dxfId="12002" priority="12295" operator="containsText" text="Fallido">
      <formula>NOT(ISERROR(SEARCH("Fallido",N89)))</formula>
    </cfRule>
    <cfRule type="containsText" dxfId="12001" priority="12296" operator="containsText" text="Éxitoso">
      <formula>NOT(ISERROR(SEARCH("Éxitoso",N89)))</formula>
    </cfRule>
  </conditionalFormatting>
  <conditionalFormatting sqref="O89">
    <cfRule type="containsText" dxfId="12000" priority="12287" operator="containsText" text="No se pudo ejecutar">
      <formula>NOT(ISERROR(SEARCH("No se pudo ejecutar",O89)))</formula>
    </cfRule>
    <cfRule type="containsText" dxfId="11999" priority="12288" operator="containsText" text="Pendiente">
      <formula>NOT(ISERROR(SEARCH("Pendiente",O89)))</formula>
    </cfRule>
    <cfRule type="containsText" dxfId="11998" priority="12289" operator="containsText" text="No Aplica">
      <formula>NOT(ISERROR(SEARCH("No Aplica",O89)))</formula>
    </cfRule>
    <cfRule type="containsText" dxfId="11997" priority="12290" operator="containsText" text="Fallido">
      <formula>NOT(ISERROR(SEARCH("Fallido",O89)))</formula>
    </cfRule>
    <cfRule type="containsText" dxfId="11996" priority="12291" operator="containsText" text="Éxitoso">
      <formula>NOT(ISERROR(SEARCH("Éxitoso",O89)))</formula>
    </cfRule>
  </conditionalFormatting>
  <conditionalFormatting sqref="P89">
    <cfRule type="containsText" dxfId="11995" priority="12282" operator="containsText" text="No se pudo ejecutar">
      <formula>NOT(ISERROR(SEARCH("No se pudo ejecutar",P89)))</formula>
    </cfRule>
    <cfRule type="containsText" dxfId="11994" priority="12283" operator="containsText" text="Pendiente">
      <formula>NOT(ISERROR(SEARCH("Pendiente",P89)))</formula>
    </cfRule>
    <cfRule type="containsText" dxfId="11993" priority="12284" operator="containsText" text="No Aplica">
      <formula>NOT(ISERROR(SEARCH("No Aplica",P89)))</formula>
    </cfRule>
    <cfRule type="containsText" dxfId="11992" priority="12285" operator="containsText" text="Fallido">
      <formula>NOT(ISERROR(SEARCH("Fallido",P89)))</formula>
    </cfRule>
    <cfRule type="containsText" dxfId="11991" priority="12286" operator="containsText" text="Éxitoso">
      <formula>NOT(ISERROR(SEARCH("Éxitoso",P89)))</formula>
    </cfRule>
  </conditionalFormatting>
  <conditionalFormatting sqref="Q89">
    <cfRule type="containsText" dxfId="11990" priority="12277" operator="containsText" text="No se pudo ejecutar">
      <formula>NOT(ISERROR(SEARCH("No se pudo ejecutar",Q89)))</formula>
    </cfRule>
    <cfRule type="containsText" dxfId="11989" priority="12278" operator="containsText" text="Pendiente">
      <formula>NOT(ISERROR(SEARCH("Pendiente",Q89)))</formula>
    </cfRule>
    <cfRule type="containsText" dxfId="11988" priority="12279" operator="containsText" text="No Aplica">
      <formula>NOT(ISERROR(SEARCH("No Aplica",Q89)))</formula>
    </cfRule>
    <cfRule type="containsText" dxfId="11987" priority="12280" operator="containsText" text="Fallido">
      <formula>NOT(ISERROR(SEARCH("Fallido",Q89)))</formula>
    </cfRule>
    <cfRule type="containsText" dxfId="11986" priority="12281" operator="containsText" text="Éxitoso">
      <formula>NOT(ISERROR(SEARCH("Éxitoso",Q89)))</formula>
    </cfRule>
  </conditionalFormatting>
  <conditionalFormatting sqref="R89">
    <cfRule type="containsText" dxfId="11985" priority="12272" operator="containsText" text="No se pudo ejecutar">
      <formula>NOT(ISERROR(SEARCH("No se pudo ejecutar",R89)))</formula>
    </cfRule>
    <cfRule type="containsText" dxfId="11984" priority="12273" operator="containsText" text="Pendiente">
      <formula>NOT(ISERROR(SEARCH("Pendiente",R89)))</formula>
    </cfRule>
    <cfRule type="containsText" dxfId="11983" priority="12274" operator="containsText" text="No Aplica">
      <formula>NOT(ISERROR(SEARCH("No Aplica",R89)))</formula>
    </cfRule>
    <cfRule type="containsText" dxfId="11982" priority="12275" operator="containsText" text="Fallido">
      <formula>NOT(ISERROR(SEARCH("Fallido",R89)))</formula>
    </cfRule>
    <cfRule type="containsText" dxfId="11981" priority="12276" operator="containsText" text="Éxitoso">
      <formula>NOT(ISERROR(SEARCH("Éxitoso",R89)))</formula>
    </cfRule>
  </conditionalFormatting>
  <conditionalFormatting sqref="S89">
    <cfRule type="containsText" dxfId="11980" priority="12267" operator="containsText" text="No se pudo ejecutar">
      <formula>NOT(ISERROR(SEARCH("No se pudo ejecutar",S89)))</formula>
    </cfRule>
    <cfRule type="containsText" dxfId="11979" priority="12268" operator="containsText" text="Pendiente">
      <formula>NOT(ISERROR(SEARCH("Pendiente",S89)))</formula>
    </cfRule>
    <cfRule type="containsText" dxfId="11978" priority="12269" operator="containsText" text="No Aplica">
      <formula>NOT(ISERROR(SEARCH("No Aplica",S89)))</formula>
    </cfRule>
    <cfRule type="containsText" dxfId="11977" priority="12270" operator="containsText" text="Fallido">
      <formula>NOT(ISERROR(SEARCH("Fallido",S89)))</formula>
    </cfRule>
    <cfRule type="containsText" dxfId="11976" priority="12271" operator="containsText" text="Éxitoso">
      <formula>NOT(ISERROR(SEARCH("Éxitoso",S89)))</formula>
    </cfRule>
  </conditionalFormatting>
  <conditionalFormatting sqref="T89">
    <cfRule type="containsText" dxfId="11975" priority="12262" operator="containsText" text="No se pudo ejecutar">
      <formula>NOT(ISERROR(SEARCH("No se pudo ejecutar",T89)))</formula>
    </cfRule>
    <cfRule type="containsText" dxfId="11974" priority="12263" operator="containsText" text="Pendiente">
      <formula>NOT(ISERROR(SEARCH("Pendiente",T89)))</formula>
    </cfRule>
    <cfRule type="containsText" dxfId="11973" priority="12264" operator="containsText" text="No Aplica">
      <formula>NOT(ISERROR(SEARCH("No Aplica",T89)))</formula>
    </cfRule>
    <cfRule type="containsText" dxfId="11972" priority="12265" operator="containsText" text="Fallido">
      <formula>NOT(ISERROR(SEARCH("Fallido",T89)))</formula>
    </cfRule>
    <cfRule type="containsText" dxfId="11971" priority="12266" operator="containsText" text="Éxitoso">
      <formula>NOT(ISERROR(SEARCH("Éxitoso",T89)))</formula>
    </cfRule>
  </conditionalFormatting>
  <conditionalFormatting sqref="U89">
    <cfRule type="containsText" dxfId="11970" priority="12257" operator="containsText" text="No se pudo ejecutar">
      <formula>NOT(ISERROR(SEARCH("No se pudo ejecutar",U89)))</formula>
    </cfRule>
    <cfRule type="containsText" dxfId="11969" priority="12258" operator="containsText" text="Pendiente">
      <formula>NOT(ISERROR(SEARCH("Pendiente",U89)))</formula>
    </cfRule>
    <cfRule type="containsText" dxfId="11968" priority="12259" operator="containsText" text="No Aplica">
      <formula>NOT(ISERROR(SEARCH("No Aplica",U89)))</formula>
    </cfRule>
    <cfRule type="containsText" dxfId="11967" priority="12260" operator="containsText" text="Fallido">
      <formula>NOT(ISERROR(SEARCH("Fallido",U89)))</formula>
    </cfRule>
    <cfRule type="containsText" dxfId="11966" priority="12261" operator="containsText" text="Éxitoso">
      <formula>NOT(ISERROR(SEARCH("Éxitoso",U89)))</formula>
    </cfRule>
  </conditionalFormatting>
  <conditionalFormatting sqref="V89">
    <cfRule type="containsText" dxfId="11965" priority="12252" operator="containsText" text="No se pudo ejecutar">
      <formula>NOT(ISERROR(SEARCH("No se pudo ejecutar",V89)))</formula>
    </cfRule>
    <cfRule type="containsText" dxfId="11964" priority="12253" operator="containsText" text="Pendiente">
      <formula>NOT(ISERROR(SEARCH("Pendiente",V89)))</formula>
    </cfRule>
    <cfRule type="containsText" dxfId="11963" priority="12254" operator="containsText" text="No Aplica">
      <formula>NOT(ISERROR(SEARCH("No Aplica",V89)))</formula>
    </cfRule>
    <cfRule type="containsText" dxfId="11962" priority="12255" operator="containsText" text="Fallido">
      <formula>NOT(ISERROR(SEARCH("Fallido",V89)))</formula>
    </cfRule>
    <cfRule type="containsText" dxfId="11961" priority="12256" operator="containsText" text="Éxitoso">
      <formula>NOT(ISERROR(SEARCH("Éxitoso",V89)))</formula>
    </cfRule>
  </conditionalFormatting>
  <conditionalFormatting sqref="W89">
    <cfRule type="containsText" dxfId="11960" priority="12247" operator="containsText" text="No se pudo ejecutar">
      <formula>NOT(ISERROR(SEARCH("No se pudo ejecutar",W89)))</formula>
    </cfRule>
    <cfRule type="containsText" dxfId="11959" priority="12248" operator="containsText" text="Pendiente">
      <formula>NOT(ISERROR(SEARCH("Pendiente",W89)))</formula>
    </cfRule>
    <cfRule type="containsText" dxfId="11958" priority="12249" operator="containsText" text="No Aplica">
      <formula>NOT(ISERROR(SEARCH("No Aplica",W89)))</formula>
    </cfRule>
    <cfRule type="containsText" dxfId="11957" priority="12250" operator="containsText" text="Fallido">
      <formula>NOT(ISERROR(SEARCH("Fallido",W89)))</formula>
    </cfRule>
    <cfRule type="containsText" dxfId="11956" priority="12251" operator="containsText" text="Éxitoso">
      <formula>NOT(ISERROR(SEARCH("Éxitoso",W89)))</formula>
    </cfRule>
  </conditionalFormatting>
  <conditionalFormatting sqref="M89">
    <cfRule type="containsText" dxfId="11955" priority="12242" operator="containsText" text="No se pudo ejecutar">
      <formula>NOT(ISERROR(SEARCH("No se pudo ejecutar",M89)))</formula>
    </cfRule>
    <cfRule type="containsText" dxfId="11954" priority="12243" operator="containsText" text="Pendiente">
      <formula>NOT(ISERROR(SEARCH("Pendiente",M89)))</formula>
    </cfRule>
    <cfRule type="containsText" dxfId="11953" priority="12244" operator="containsText" text="No Aplica">
      <formula>NOT(ISERROR(SEARCH("No Aplica",M89)))</formula>
    </cfRule>
    <cfRule type="containsText" dxfId="11952" priority="12245" operator="containsText" text="Fallido">
      <formula>NOT(ISERROR(SEARCH("Fallido",M89)))</formula>
    </cfRule>
    <cfRule type="containsText" dxfId="11951" priority="12246" operator="containsText" text="Éxitoso">
      <formula>NOT(ISERROR(SEARCH("Éxitoso",M89)))</formula>
    </cfRule>
  </conditionalFormatting>
  <conditionalFormatting sqref="G89">
    <cfRule type="containsText" dxfId="11950" priority="12239" operator="containsText" text="Bajo">
      <formula>NOT(ISERROR(SEARCH("Bajo",G89)))</formula>
    </cfRule>
    <cfRule type="containsText" dxfId="11949" priority="12240" operator="containsText" text="Medio">
      <formula>NOT(ISERROR(SEARCH("Medio",G89)))</formula>
    </cfRule>
    <cfRule type="containsText" dxfId="11948" priority="12241" operator="containsText" text="Alto">
      <formula>NOT(ISERROR(SEARCH("Alto",G89)))</formula>
    </cfRule>
  </conditionalFormatting>
  <conditionalFormatting sqref="N90">
    <cfRule type="containsText" dxfId="11947" priority="12234" operator="containsText" text="No se pudo ejecutar">
      <formula>NOT(ISERROR(SEARCH("No se pudo ejecutar",N90)))</formula>
    </cfRule>
    <cfRule type="containsText" dxfId="11946" priority="12235" operator="containsText" text="Pendiente">
      <formula>NOT(ISERROR(SEARCH("Pendiente",N90)))</formula>
    </cfRule>
    <cfRule type="containsText" dxfId="11945" priority="12236" operator="containsText" text="No Aplica">
      <formula>NOT(ISERROR(SEARCH("No Aplica",N90)))</formula>
    </cfRule>
    <cfRule type="containsText" dxfId="11944" priority="12237" operator="containsText" text="Fallido">
      <formula>NOT(ISERROR(SEARCH("Fallido",N90)))</formula>
    </cfRule>
    <cfRule type="containsText" dxfId="11943" priority="12238" operator="containsText" text="Éxitoso">
      <formula>NOT(ISERROR(SEARCH("Éxitoso",N90)))</formula>
    </cfRule>
  </conditionalFormatting>
  <conditionalFormatting sqref="O90">
    <cfRule type="containsText" dxfId="11942" priority="12229" operator="containsText" text="No se pudo ejecutar">
      <formula>NOT(ISERROR(SEARCH("No se pudo ejecutar",O90)))</formula>
    </cfRule>
    <cfRule type="containsText" dxfId="11941" priority="12230" operator="containsText" text="Pendiente">
      <formula>NOT(ISERROR(SEARCH("Pendiente",O90)))</formula>
    </cfRule>
    <cfRule type="containsText" dxfId="11940" priority="12231" operator="containsText" text="No Aplica">
      <formula>NOT(ISERROR(SEARCH("No Aplica",O90)))</formula>
    </cfRule>
    <cfRule type="containsText" dxfId="11939" priority="12232" operator="containsText" text="Fallido">
      <formula>NOT(ISERROR(SEARCH("Fallido",O90)))</formula>
    </cfRule>
    <cfRule type="containsText" dxfId="11938" priority="12233" operator="containsText" text="Éxitoso">
      <formula>NOT(ISERROR(SEARCH("Éxitoso",O90)))</formula>
    </cfRule>
  </conditionalFormatting>
  <conditionalFormatting sqref="P90">
    <cfRule type="containsText" dxfId="11937" priority="12224" operator="containsText" text="No se pudo ejecutar">
      <formula>NOT(ISERROR(SEARCH("No se pudo ejecutar",P90)))</formula>
    </cfRule>
    <cfRule type="containsText" dxfId="11936" priority="12225" operator="containsText" text="Pendiente">
      <formula>NOT(ISERROR(SEARCH("Pendiente",P90)))</formula>
    </cfRule>
    <cfRule type="containsText" dxfId="11935" priority="12226" operator="containsText" text="No Aplica">
      <formula>NOT(ISERROR(SEARCH("No Aplica",P90)))</formula>
    </cfRule>
    <cfRule type="containsText" dxfId="11934" priority="12227" operator="containsText" text="Fallido">
      <formula>NOT(ISERROR(SEARCH("Fallido",P90)))</formula>
    </cfRule>
    <cfRule type="containsText" dxfId="11933" priority="12228" operator="containsText" text="Éxitoso">
      <formula>NOT(ISERROR(SEARCH("Éxitoso",P90)))</formula>
    </cfRule>
  </conditionalFormatting>
  <conditionalFormatting sqref="Q90">
    <cfRule type="containsText" dxfId="11932" priority="12219" operator="containsText" text="No se pudo ejecutar">
      <formula>NOT(ISERROR(SEARCH("No se pudo ejecutar",Q90)))</formula>
    </cfRule>
    <cfRule type="containsText" dxfId="11931" priority="12220" operator="containsText" text="Pendiente">
      <formula>NOT(ISERROR(SEARCH("Pendiente",Q90)))</formula>
    </cfRule>
    <cfRule type="containsText" dxfId="11930" priority="12221" operator="containsText" text="No Aplica">
      <formula>NOT(ISERROR(SEARCH("No Aplica",Q90)))</formula>
    </cfRule>
    <cfRule type="containsText" dxfId="11929" priority="12222" operator="containsText" text="Fallido">
      <formula>NOT(ISERROR(SEARCH("Fallido",Q90)))</formula>
    </cfRule>
    <cfRule type="containsText" dxfId="11928" priority="12223" operator="containsText" text="Éxitoso">
      <formula>NOT(ISERROR(SEARCH("Éxitoso",Q90)))</formula>
    </cfRule>
  </conditionalFormatting>
  <conditionalFormatting sqref="R90">
    <cfRule type="containsText" dxfId="11927" priority="12214" operator="containsText" text="No se pudo ejecutar">
      <formula>NOT(ISERROR(SEARCH("No se pudo ejecutar",R90)))</formula>
    </cfRule>
    <cfRule type="containsText" dxfId="11926" priority="12215" operator="containsText" text="Pendiente">
      <formula>NOT(ISERROR(SEARCH("Pendiente",R90)))</formula>
    </cfRule>
    <cfRule type="containsText" dxfId="11925" priority="12216" operator="containsText" text="No Aplica">
      <formula>NOT(ISERROR(SEARCH("No Aplica",R90)))</formula>
    </cfRule>
    <cfRule type="containsText" dxfId="11924" priority="12217" operator="containsText" text="Fallido">
      <formula>NOT(ISERROR(SEARCH("Fallido",R90)))</formula>
    </cfRule>
    <cfRule type="containsText" dxfId="11923" priority="12218" operator="containsText" text="Éxitoso">
      <formula>NOT(ISERROR(SEARCH("Éxitoso",R90)))</formula>
    </cfRule>
  </conditionalFormatting>
  <conditionalFormatting sqref="S90">
    <cfRule type="containsText" dxfId="11922" priority="12209" operator="containsText" text="No se pudo ejecutar">
      <formula>NOT(ISERROR(SEARCH("No se pudo ejecutar",S90)))</formula>
    </cfRule>
    <cfRule type="containsText" dxfId="11921" priority="12210" operator="containsText" text="Pendiente">
      <formula>NOT(ISERROR(SEARCH("Pendiente",S90)))</formula>
    </cfRule>
    <cfRule type="containsText" dxfId="11920" priority="12211" operator="containsText" text="No Aplica">
      <formula>NOT(ISERROR(SEARCH("No Aplica",S90)))</formula>
    </cfRule>
    <cfRule type="containsText" dxfId="11919" priority="12212" operator="containsText" text="Fallido">
      <formula>NOT(ISERROR(SEARCH("Fallido",S90)))</formula>
    </cfRule>
    <cfRule type="containsText" dxfId="11918" priority="12213" operator="containsText" text="Éxitoso">
      <formula>NOT(ISERROR(SEARCH("Éxitoso",S90)))</formula>
    </cfRule>
  </conditionalFormatting>
  <conditionalFormatting sqref="T90">
    <cfRule type="containsText" dxfId="11917" priority="12204" operator="containsText" text="No se pudo ejecutar">
      <formula>NOT(ISERROR(SEARCH("No se pudo ejecutar",T90)))</formula>
    </cfRule>
    <cfRule type="containsText" dxfId="11916" priority="12205" operator="containsText" text="Pendiente">
      <formula>NOT(ISERROR(SEARCH("Pendiente",T90)))</formula>
    </cfRule>
    <cfRule type="containsText" dxfId="11915" priority="12206" operator="containsText" text="No Aplica">
      <formula>NOT(ISERROR(SEARCH("No Aplica",T90)))</formula>
    </cfRule>
    <cfRule type="containsText" dxfId="11914" priority="12207" operator="containsText" text="Fallido">
      <formula>NOT(ISERROR(SEARCH("Fallido",T90)))</formula>
    </cfRule>
    <cfRule type="containsText" dxfId="11913" priority="12208" operator="containsText" text="Éxitoso">
      <formula>NOT(ISERROR(SEARCH("Éxitoso",T90)))</formula>
    </cfRule>
  </conditionalFormatting>
  <conditionalFormatting sqref="U90">
    <cfRule type="containsText" dxfId="11912" priority="12199" operator="containsText" text="No se pudo ejecutar">
      <formula>NOT(ISERROR(SEARCH("No se pudo ejecutar",U90)))</formula>
    </cfRule>
    <cfRule type="containsText" dxfId="11911" priority="12200" operator="containsText" text="Pendiente">
      <formula>NOT(ISERROR(SEARCH("Pendiente",U90)))</formula>
    </cfRule>
    <cfRule type="containsText" dxfId="11910" priority="12201" operator="containsText" text="No Aplica">
      <formula>NOT(ISERROR(SEARCH("No Aplica",U90)))</formula>
    </cfRule>
    <cfRule type="containsText" dxfId="11909" priority="12202" operator="containsText" text="Fallido">
      <formula>NOT(ISERROR(SEARCH("Fallido",U90)))</formula>
    </cfRule>
    <cfRule type="containsText" dxfId="11908" priority="12203" operator="containsText" text="Éxitoso">
      <formula>NOT(ISERROR(SEARCH("Éxitoso",U90)))</formula>
    </cfRule>
  </conditionalFormatting>
  <conditionalFormatting sqref="V90">
    <cfRule type="containsText" dxfId="11907" priority="12194" operator="containsText" text="No se pudo ejecutar">
      <formula>NOT(ISERROR(SEARCH("No se pudo ejecutar",V90)))</formula>
    </cfRule>
    <cfRule type="containsText" dxfId="11906" priority="12195" operator="containsText" text="Pendiente">
      <formula>NOT(ISERROR(SEARCH("Pendiente",V90)))</formula>
    </cfRule>
    <cfRule type="containsText" dxfId="11905" priority="12196" operator="containsText" text="No Aplica">
      <formula>NOT(ISERROR(SEARCH("No Aplica",V90)))</formula>
    </cfRule>
    <cfRule type="containsText" dxfId="11904" priority="12197" operator="containsText" text="Fallido">
      <formula>NOT(ISERROR(SEARCH("Fallido",V90)))</formula>
    </cfRule>
    <cfRule type="containsText" dxfId="11903" priority="12198" operator="containsText" text="Éxitoso">
      <formula>NOT(ISERROR(SEARCH("Éxitoso",V90)))</formula>
    </cfRule>
  </conditionalFormatting>
  <conditionalFormatting sqref="W90">
    <cfRule type="containsText" dxfId="11902" priority="12189" operator="containsText" text="No se pudo ejecutar">
      <formula>NOT(ISERROR(SEARCH("No se pudo ejecutar",W90)))</formula>
    </cfRule>
    <cfRule type="containsText" dxfId="11901" priority="12190" operator="containsText" text="Pendiente">
      <formula>NOT(ISERROR(SEARCH("Pendiente",W90)))</formula>
    </cfRule>
    <cfRule type="containsText" dxfId="11900" priority="12191" operator="containsText" text="No Aplica">
      <formula>NOT(ISERROR(SEARCH("No Aplica",W90)))</formula>
    </cfRule>
    <cfRule type="containsText" dxfId="11899" priority="12192" operator="containsText" text="Fallido">
      <formula>NOT(ISERROR(SEARCH("Fallido",W90)))</formula>
    </cfRule>
    <cfRule type="containsText" dxfId="11898" priority="12193" operator="containsText" text="Éxitoso">
      <formula>NOT(ISERROR(SEARCH("Éxitoso",W90)))</formula>
    </cfRule>
  </conditionalFormatting>
  <conditionalFormatting sqref="M90">
    <cfRule type="containsText" dxfId="11897" priority="12184" operator="containsText" text="No se pudo ejecutar">
      <formula>NOT(ISERROR(SEARCH("No se pudo ejecutar",M90)))</formula>
    </cfRule>
    <cfRule type="containsText" dxfId="11896" priority="12185" operator="containsText" text="Pendiente">
      <formula>NOT(ISERROR(SEARCH("Pendiente",M90)))</formula>
    </cfRule>
    <cfRule type="containsText" dxfId="11895" priority="12186" operator="containsText" text="No Aplica">
      <formula>NOT(ISERROR(SEARCH("No Aplica",M90)))</formula>
    </cfRule>
    <cfRule type="containsText" dxfId="11894" priority="12187" operator="containsText" text="Fallido">
      <formula>NOT(ISERROR(SEARCH("Fallido",M90)))</formula>
    </cfRule>
    <cfRule type="containsText" dxfId="11893" priority="12188" operator="containsText" text="Éxitoso">
      <formula>NOT(ISERROR(SEARCH("Éxitoso",M90)))</formula>
    </cfRule>
  </conditionalFormatting>
  <conditionalFormatting sqref="G90">
    <cfRule type="containsText" dxfId="11892" priority="12181" operator="containsText" text="Bajo">
      <formula>NOT(ISERROR(SEARCH("Bajo",G90)))</formula>
    </cfRule>
    <cfRule type="containsText" dxfId="11891" priority="12182" operator="containsText" text="Medio">
      <formula>NOT(ISERROR(SEARCH("Medio",G90)))</formula>
    </cfRule>
    <cfRule type="containsText" dxfId="11890" priority="12183" operator="containsText" text="Alto">
      <formula>NOT(ISERROR(SEARCH("Alto",G90)))</formula>
    </cfRule>
  </conditionalFormatting>
  <conditionalFormatting sqref="N91">
    <cfRule type="containsText" dxfId="11889" priority="12176" operator="containsText" text="No se pudo ejecutar">
      <formula>NOT(ISERROR(SEARCH("No se pudo ejecutar",N91)))</formula>
    </cfRule>
    <cfRule type="containsText" dxfId="11888" priority="12177" operator="containsText" text="Pendiente">
      <formula>NOT(ISERROR(SEARCH("Pendiente",N91)))</formula>
    </cfRule>
    <cfRule type="containsText" dxfId="11887" priority="12178" operator="containsText" text="No Aplica">
      <formula>NOT(ISERROR(SEARCH("No Aplica",N91)))</formula>
    </cfRule>
    <cfRule type="containsText" dxfId="11886" priority="12179" operator="containsText" text="Fallido">
      <formula>NOT(ISERROR(SEARCH("Fallido",N91)))</formula>
    </cfRule>
    <cfRule type="containsText" dxfId="11885" priority="12180" operator="containsText" text="Éxitoso">
      <formula>NOT(ISERROR(SEARCH("Éxitoso",N91)))</formula>
    </cfRule>
  </conditionalFormatting>
  <conditionalFormatting sqref="O91">
    <cfRule type="containsText" dxfId="11884" priority="12171" operator="containsText" text="No se pudo ejecutar">
      <formula>NOT(ISERROR(SEARCH("No se pudo ejecutar",O91)))</formula>
    </cfRule>
    <cfRule type="containsText" dxfId="11883" priority="12172" operator="containsText" text="Pendiente">
      <formula>NOT(ISERROR(SEARCH("Pendiente",O91)))</formula>
    </cfRule>
    <cfRule type="containsText" dxfId="11882" priority="12173" operator="containsText" text="No Aplica">
      <formula>NOT(ISERROR(SEARCH("No Aplica",O91)))</formula>
    </cfRule>
    <cfRule type="containsText" dxfId="11881" priority="12174" operator="containsText" text="Fallido">
      <formula>NOT(ISERROR(SEARCH("Fallido",O91)))</formula>
    </cfRule>
    <cfRule type="containsText" dxfId="11880" priority="12175" operator="containsText" text="Éxitoso">
      <formula>NOT(ISERROR(SEARCH("Éxitoso",O91)))</formula>
    </cfRule>
  </conditionalFormatting>
  <conditionalFormatting sqref="P91">
    <cfRule type="containsText" dxfId="11879" priority="12166" operator="containsText" text="No se pudo ejecutar">
      <formula>NOT(ISERROR(SEARCH("No se pudo ejecutar",P91)))</formula>
    </cfRule>
    <cfRule type="containsText" dxfId="11878" priority="12167" operator="containsText" text="Pendiente">
      <formula>NOT(ISERROR(SEARCH("Pendiente",P91)))</formula>
    </cfRule>
    <cfRule type="containsText" dxfId="11877" priority="12168" operator="containsText" text="No Aplica">
      <formula>NOT(ISERROR(SEARCH("No Aplica",P91)))</formula>
    </cfRule>
    <cfRule type="containsText" dxfId="11876" priority="12169" operator="containsText" text="Fallido">
      <formula>NOT(ISERROR(SEARCH("Fallido",P91)))</formula>
    </cfRule>
    <cfRule type="containsText" dxfId="11875" priority="12170" operator="containsText" text="Éxitoso">
      <formula>NOT(ISERROR(SEARCH("Éxitoso",P91)))</formula>
    </cfRule>
  </conditionalFormatting>
  <conditionalFormatting sqref="Q91">
    <cfRule type="containsText" dxfId="11874" priority="12161" operator="containsText" text="No se pudo ejecutar">
      <formula>NOT(ISERROR(SEARCH("No se pudo ejecutar",Q91)))</formula>
    </cfRule>
    <cfRule type="containsText" dxfId="11873" priority="12162" operator="containsText" text="Pendiente">
      <formula>NOT(ISERROR(SEARCH("Pendiente",Q91)))</formula>
    </cfRule>
    <cfRule type="containsText" dxfId="11872" priority="12163" operator="containsText" text="No Aplica">
      <formula>NOT(ISERROR(SEARCH("No Aplica",Q91)))</formula>
    </cfRule>
    <cfRule type="containsText" dxfId="11871" priority="12164" operator="containsText" text="Fallido">
      <formula>NOT(ISERROR(SEARCH("Fallido",Q91)))</formula>
    </cfRule>
    <cfRule type="containsText" dxfId="11870" priority="12165" operator="containsText" text="Éxitoso">
      <formula>NOT(ISERROR(SEARCH("Éxitoso",Q91)))</formula>
    </cfRule>
  </conditionalFormatting>
  <conditionalFormatting sqref="R91">
    <cfRule type="containsText" dxfId="11869" priority="12156" operator="containsText" text="No se pudo ejecutar">
      <formula>NOT(ISERROR(SEARCH("No se pudo ejecutar",R91)))</formula>
    </cfRule>
    <cfRule type="containsText" dxfId="11868" priority="12157" operator="containsText" text="Pendiente">
      <formula>NOT(ISERROR(SEARCH("Pendiente",R91)))</formula>
    </cfRule>
    <cfRule type="containsText" dxfId="11867" priority="12158" operator="containsText" text="No Aplica">
      <formula>NOT(ISERROR(SEARCH("No Aplica",R91)))</formula>
    </cfRule>
    <cfRule type="containsText" dxfId="11866" priority="12159" operator="containsText" text="Fallido">
      <formula>NOT(ISERROR(SEARCH("Fallido",R91)))</formula>
    </cfRule>
    <cfRule type="containsText" dxfId="11865" priority="12160" operator="containsText" text="Éxitoso">
      <formula>NOT(ISERROR(SEARCH("Éxitoso",R91)))</formula>
    </cfRule>
  </conditionalFormatting>
  <conditionalFormatting sqref="S91">
    <cfRule type="containsText" dxfId="11864" priority="12151" operator="containsText" text="No se pudo ejecutar">
      <formula>NOT(ISERROR(SEARCH("No se pudo ejecutar",S91)))</formula>
    </cfRule>
    <cfRule type="containsText" dxfId="11863" priority="12152" operator="containsText" text="Pendiente">
      <formula>NOT(ISERROR(SEARCH("Pendiente",S91)))</formula>
    </cfRule>
    <cfRule type="containsText" dxfId="11862" priority="12153" operator="containsText" text="No Aplica">
      <formula>NOT(ISERROR(SEARCH("No Aplica",S91)))</formula>
    </cfRule>
    <cfRule type="containsText" dxfId="11861" priority="12154" operator="containsText" text="Fallido">
      <formula>NOT(ISERROR(SEARCH("Fallido",S91)))</formula>
    </cfRule>
    <cfRule type="containsText" dxfId="11860" priority="12155" operator="containsText" text="Éxitoso">
      <formula>NOT(ISERROR(SEARCH("Éxitoso",S91)))</formula>
    </cfRule>
  </conditionalFormatting>
  <conditionalFormatting sqref="T91">
    <cfRule type="containsText" dxfId="11859" priority="12146" operator="containsText" text="No se pudo ejecutar">
      <formula>NOT(ISERROR(SEARCH("No se pudo ejecutar",T91)))</formula>
    </cfRule>
    <cfRule type="containsText" dxfId="11858" priority="12147" operator="containsText" text="Pendiente">
      <formula>NOT(ISERROR(SEARCH("Pendiente",T91)))</formula>
    </cfRule>
    <cfRule type="containsText" dxfId="11857" priority="12148" operator="containsText" text="No Aplica">
      <formula>NOT(ISERROR(SEARCH("No Aplica",T91)))</formula>
    </cfRule>
    <cfRule type="containsText" dxfId="11856" priority="12149" operator="containsText" text="Fallido">
      <formula>NOT(ISERROR(SEARCH("Fallido",T91)))</formula>
    </cfRule>
    <cfRule type="containsText" dxfId="11855" priority="12150" operator="containsText" text="Éxitoso">
      <formula>NOT(ISERROR(SEARCH("Éxitoso",T91)))</formula>
    </cfRule>
  </conditionalFormatting>
  <conditionalFormatting sqref="U91">
    <cfRule type="containsText" dxfId="11854" priority="12141" operator="containsText" text="No se pudo ejecutar">
      <formula>NOT(ISERROR(SEARCH("No se pudo ejecutar",U91)))</formula>
    </cfRule>
    <cfRule type="containsText" dxfId="11853" priority="12142" operator="containsText" text="Pendiente">
      <formula>NOT(ISERROR(SEARCH("Pendiente",U91)))</formula>
    </cfRule>
    <cfRule type="containsText" dxfId="11852" priority="12143" operator="containsText" text="No Aplica">
      <formula>NOT(ISERROR(SEARCH("No Aplica",U91)))</formula>
    </cfRule>
    <cfRule type="containsText" dxfId="11851" priority="12144" operator="containsText" text="Fallido">
      <formula>NOT(ISERROR(SEARCH("Fallido",U91)))</formula>
    </cfRule>
    <cfRule type="containsText" dxfId="11850" priority="12145" operator="containsText" text="Éxitoso">
      <formula>NOT(ISERROR(SEARCH("Éxitoso",U91)))</formula>
    </cfRule>
  </conditionalFormatting>
  <conditionalFormatting sqref="V91">
    <cfRule type="containsText" dxfId="11849" priority="12136" operator="containsText" text="No se pudo ejecutar">
      <formula>NOT(ISERROR(SEARCH("No se pudo ejecutar",V91)))</formula>
    </cfRule>
    <cfRule type="containsText" dxfId="11848" priority="12137" operator="containsText" text="Pendiente">
      <formula>NOT(ISERROR(SEARCH("Pendiente",V91)))</formula>
    </cfRule>
    <cfRule type="containsText" dxfId="11847" priority="12138" operator="containsText" text="No Aplica">
      <formula>NOT(ISERROR(SEARCH("No Aplica",V91)))</formula>
    </cfRule>
    <cfRule type="containsText" dxfId="11846" priority="12139" operator="containsText" text="Fallido">
      <formula>NOT(ISERROR(SEARCH("Fallido",V91)))</formula>
    </cfRule>
    <cfRule type="containsText" dxfId="11845" priority="12140" operator="containsText" text="Éxitoso">
      <formula>NOT(ISERROR(SEARCH("Éxitoso",V91)))</formula>
    </cfRule>
  </conditionalFormatting>
  <conditionalFormatting sqref="W91">
    <cfRule type="containsText" dxfId="11844" priority="12131" operator="containsText" text="No se pudo ejecutar">
      <formula>NOT(ISERROR(SEARCH("No se pudo ejecutar",W91)))</formula>
    </cfRule>
    <cfRule type="containsText" dxfId="11843" priority="12132" operator="containsText" text="Pendiente">
      <formula>NOT(ISERROR(SEARCH("Pendiente",W91)))</formula>
    </cfRule>
    <cfRule type="containsText" dxfId="11842" priority="12133" operator="containsText" text="No Aplica">
      <formula>NOT(ISERROR(SEARCH("No Aplica",W91)))</formula>
    </cfRule>
    <cfRule type="containsText" dxfId="11841" priority="12134" operator="containsText" text="Fallido">
      <formula>NOT(ISERROR(SEARCH("Fallido",W91)))</formula>
    </cfRule>
    <cfRule type="containsText" dxfId="11840" priority="12135" operator="containsText" text="Éxitoso">
      <formula>NOT(ISERROR(SEARCH("Éxitoso",W91)))</formula>
    </cfRule>
  </conditionalFormatting>
  <conditionalFormatting sqref="M91">
    <cfRule type="containsText" dxfId="11839" priority="12126" operator="containsText" text="No se pudo ejecutar">
      <formula>NOT(ISERROR(SEARCH("No se pudo ejecutar",M91)))</formula>
    </cfRule>
    <cfRule type="containsText" dxfId="11838" priority="12127" operator="containsText" text="Pendiente">
      <formula>NOT(ISERROR(SEARCH("Pendiente",M91)))</formula>
    </cfRule>
    <cfRule type="containsText" dxfId="11837" priority="12128" operator="containsText" text="No Aplica">
      <formula>NOT(ISERROR(SEARCH("No Aplica",M91)))</formula>
    </cfRule>
    <cfRule type="containsText" dxfId="11836" priority="12129" operator="containsText" text="Fallido">
      <formula>NOT(ISERROR(SEARCH("Fallido",M91)))</formula>
    </cfRule>
    <cfRule type="containsText" dxfId="11835" priority="12130" operator="containsText" text="Éxitoso">
      <formula>NOT(ISERROR(SEARCH("Éxitoso",M91)))</formula>
    </cfRule>
  </conditionalFormatting>
  <conditionalFormatting sqref="G91">
    <cfRule type="containsText" dxfId="11834" priority="12123" operator="containsText" text="Bajo">
      <formula>NOT(ISERROR(SEARCH("Bajo",G91)))</formula>
    </cfRule>
    <cfRule type="containsText" dxfId="11833" priority="12124" operator="containsText" text="Medio">
      <formula>NOT(ISERROR(SEARCH("Medio",G91)))</formula>
    </cfRule>
    <cfRule type="containsText" dxfId="11832" priority="12125" operator="containsText" text="Alto">
      <formula>NOT(ISERROR(SEARCH("Alto",G91)))</formula>
    </cfRule>
  </conditionalFormatting>
  <conditionalFormatting sqref="N92">
    <cfRule type="containsText" dxfId="11831" priority="12118" operator="containsText" text="No se pudo ejecutar">
      <formula>NOT(ISERROR(SEARCH("No se pudo ejecutar",N92)))</formula>
    </cfRule>
    <cfRule type="containsText" dxfId="11830" priority="12119" operator="containsText" text="Pendiente">
      <formula>NOT(ISERROR(SEARCH("Pendiente",N92)))</formula>
    </cfRule>
    <cfRule type="containsText" dxfId="11829" priority="12120" operator="containsText" text="No Aplica">
      <formula>NOT(ISERROR(SEARCH("No Aplica",N92)))</formula>
    </cfRule>
    <cfRule type="containsText" dxfId="11828" priority="12121" operator="containsText" text="Fallido">
      <formula>NOT(ISERROR(SEARCH("Fallido",N92)))</formula>
    </cfRule>
    <cfRule type="containsText" dxfId="11827" priority="12122" operator="containsText" text="Éxitoso">
      <formula>NOT(ISERROR(SEARCH("Éxitoso",N92)))</formula>
    </cfRule>
  </conditionalFormatting>
  <conditionalFormatting sqref="O92">
    <cfRule type="containsText" dxfId="11826" priority="12113" operator="containsText" text="No se pudo ejecutar">
      <formula>NOT(ISERROR(SEARCH("No se pudo ejecutar",O92)))</formula>
    </cfRule>
    <cfRule type="containsText" dxfId="11825" priority="12114" operator="containsText" text="Pendiente">
      <formula>NOT(ISERROR(SEARCH("Pendiente",O92)))</formula>
    </cfRule>
    <cfRule type="containsText" dxfId="11824" priority="12115" operator="containsText" text="No Aplica">
      <formula>NOT(ISERROR(SEARCH("No Aplica",O92)))</formula>
    </cfRule>
    <cfRule type="containsText" dxfId="11823" priority="12116" operator="containsText" text="Fallido">
      <formula>NOT(ISERROR(SEARCH("Fallido",O92)))</formula>
    </cfRule>
    <cfRule type="containsText" dxfId="11822" priority="12117" operator="containsText" text="Éxitoso">
      <formula>NOT(ISERROR(SEARCH("Éxitoso",O92)))</formula>
    </cfRule>
  </conditionalFormatting>
  <conditionalFormatting sqref="P92">
    <cfRule type="containsText" dxfId="11821" priority="12108" operator="containsText" text="No se pudo ejecutar">
      <formula>NOT(ISERROR(SEARCH("No se pudo ejecutar",P92)))</formula>
    </cfRule>
    <cfRule type="containsText" dxfId="11820" priority="12109" operator="containsText" text="Pendiente">
      <formula>NOT(ISERROR(SEARCH("Pendiente",P92)))</formula>
    </cfRule>
    <cfRule type="containsText" dxfId="11819" priority="12110" operator="containsText" text="No Aplica">
      <formula>NOT(ISERROR(SEARCH("No Aplica",P92)))</formula>
    </cfRule>
    <cfRule type="containsText" dxfId="11818" priority="12111" operator="containsText" text="Fallido">
      <formula>NOT(ISERROR(SEARCH("Fallido",P92)))</formula>
    </cfRule>
    <cfRule type="containsText" dxfId="11817" priority="12112" operator="containsText" text="Éxitoso">
      <formula>NOT(ISERROR(SEARCH("Éxitoso",P92)))</formula>
    </cfRule>
  </conditionalFormatting>
  <conditionalFormatting sqref="Q92">
    <cfRule type="containsText" dxfId="11816" priority="12103" operator="containsText" text="No se pudo ejecutar">
      <formula>NOT(ISERROR(SEARCH("No se pudo ejecutar",Q92)))</formula>
    </cfRule>
    <cfRule type="containsText" dxfId="11815" priority="12104" operator="containsText" text="Pendiente">
      <formula>NOT(ISERROR(SEARCH("Pendiente",Q92)))</formula>
    </cfRule>
    <cfRule type="containsText" dxfId="11814" priority="12105" operator="containsText" text="No Aplica">
      <formula>NOT(ISERROR(SEARCH("No Aplica",Q92)))</formula>
    </cfRule>
    <cfRule type="containsText" dxfId="11813" priority="12106" operator="containsText" text="Fallido">
      <formula>NOT(ISERROR(SEARCH("Fallido",Q92)))</formula>
    </cfRule>
    <cfRule type="containsText" dxfId="11812" priority="12107" operator="containsText" text="Éxitoso">
      <formula>NOT(ISERROR(SEARCH("Éxitoso",Q92)))</formula>
    </cfRule>
  </conditionalFormatting>
  <conditionalFormatting sqref="R92">
    <cfRule type="containsText" dxfId="11811" priority="12098" operator="containsText" text="No se pudo ejecutar">
      <formula>NOT(ISERROR(SEARCH("No se pudo ejecutar",R92)))</formula>
    </cfRule>
    <cfRule type="containsText" dxfId="11810" priority="12099" operator="containsText" text="Pendiente">
      <formula>NOT(ISERROR(SEARCH("Pendiente",R92)))</formula>
    </cfRule>
    <cfRule type="containsText" dxfId="11809" priority="12100" operator="containsText" text="No Aplica">
      <formula>NOT(ISERROR(SEARCH("No Aplica",R92)))</formula>
    </cfRule>
    <cfRule type="containsText" dxfId="11808" priority="12101" operator="containsText" text="Fallido">
      <formula>NOT(ISERROR(SEARCH("Fallido",R92)))</formula>
    </cfRule>
    <cfRule type="containsText" dxfId="11807" priority="12102" operator="containsText" text="Éxitoso">
      <formula>NOT(ISERROR(SEARCH("Éxitoso",R92)))</formula>
    </cfRule>
  </conditionalFormatting>
  <conditionalFormatting sqref="S92">
    <cfRule type="containsText" dxfId="11806" priority="12093" operator="containsText" text="No se pudo ejecutar">
      <formula>NOT(ISERROR(SEARCH("No se pudo ejecutar",S92)))</formula>
    </cfRule>
    <cfRule type="containsText" dxfId="11805" priority="12094" operator="containsText" text="Pendiente">
      <formula>NOT(ISERROR(SEARCH("Pendiente",S92)))</formula>
    </cfRule>
    <cfRule type="containsText" dxfId="11804" priority="12095" operator="containsText" text="No Aplica">
      <formula>NOT(ISERROR(SEARCH("No Aplica",S92)))</formula>
    </cfRule>
    <cfRule type="containsText" dxfId="11803" priority="12096" operator="containsText" text="Fallido">
      <formula>NOT(ISERROR(SEARCH("Fallido",S92)))</formula>
    </cfRule>
    <cfRule type="containsText" dxfId="11802" priority="12097" operator="containsText" text="Éxitoso">
      <formula>NOT(ISERROR(SEARCH("Éxitoso",S92)))</formula>
    </cfRule>
  </conditionalFormatting>
  <conditionalFormatting sqref="T92">
    <cfRule type="containsText" dxfId="11801" priority="12088" operator="containsText" text="No se pudo ejecutar">
      <formula>NOT(ISERROR(SEARCH("No se pudo ejecutar",T92)))</formula>
    </cfRule>
    <cfRule type="containsText" dxfId="11800" priority="12089" operator="containsText" text="Pendiente">
      <formula>NOT(ISERROR(SEARCH("Pendiente",T92)))</formula>
    </cfRule>
    <cfRule type="containsText" dxfId="11799" priority="12090" operator="containsText" text="No Aplica">
      <formula>NOT(ISERROR(SEARCH("No Aplica",T92)))</formula>
    </cfRule>
    <cfRule type="containsText" dxfId="11798" priority="12091" operator="containsText" text="Fallido">
      <formula>NOT(ISERROR(SEARCH("Fallido",T92)))</formula>
    </cfRule>
    <cfRule type="containsText" dxfId="11797" priority="12092" operator="containsText" text="Éxitoso">
      <formula>NOT(ISERROR(SEARCH("Éxitoso",T92)))</formula>
    </cfRule>
  </conditionalFormatting>
  <conditionalFormatting sqref="U92">
    <cfRule type="containsText" dxfId="11796" priority="12083" operator="containsText" text="No se pudo ejecutar">
      <formula>NOT(ISERROR(SEARCH("No se pudo ejecutar",U92)))</formula>
    </cfRule>
    <cfRule type="containsText" dxfId="11795" priority="12084" operator="containsText" text="Pendiente">
      <formula>NOT(ISERROR(SEARCH("Pendiente",U92)))</formula>
    </cfRule>
    <cfRule type="containsText" dxfId="11794" priority="12085" operator="containsText" text="No Aplica">
      <formula>NOT(ISERROR(SEARCH("No Aplica",U92)))</formula>
    </cfRule>
    <cfRule type="containsText" dxfId="11793" priority="12086" operator="containsText" text="Fallido">
      <formula>NOT(ISERROR(SEARCH("Fallido",U92)))</formula>
    </cfRule>
    <cfRule type="containsText" dxfId="11792" priority="12087" operator="containsText" text="Éxitoso">
      <formula>NOT(ISERROR(SEARCH("Éxitoso",U92)))</formula>
    </cfRule>
  </conditionalFormatting>
  <conditionalFormatting sqref="V92">
    <cfRule type="containsText" dxfId="11791" priority="12078" operator="containsText" text="No se pudo ejecutar">
      <formula>NOT(ISERROR(SEARCH("No se pudo ejecutar",V92)))</formula>
    </cfRule>
    <cfRule type="containsText" dxfId="11790" priority="12079" operator="containsText" text="Pendiente">
      <formula>NOT(ISERROR(SEARCH("Pendiente",V92)))</formula>
    </cfRule>
    <cfRule type="containsText" dxfId="11789" priority="12080" operator="containsText" text="No Aplica">
      <formula>NOT(ISERROR(SEARCH("No Aplica",V92)))</formula>
    </cfRule>
    <cfRule type="containsText" dxfId="11788" priority="12081" operator="containsText" text="Fallido">
      <formula>NOT(ISERROR(SEARCH("Fallido",V92)))</formula>
    </cfRule>
    <cfRule type="containsText" dxfId="11787" priority="12082" operator="containsText" text="Éxitoso">
      <formula>NOT(ISERROR(SEARCH("Éxitoso",V92)))</formula>
    </cfRule>
  </conditionalFormatting>
  <conditionalFormatting sqref="W92">
    <cfRule type="containsText" dxfId="11786" priority="12073" operator="containsText" text="No se pudo ejecutar">
      <formula>NOT(ISERROR(SEARCH("No se pudo ejecutar",W92)))</formula>
    </cfRule>
    <cfRule type="containsText" dxfId="11785" priority="12074" operator="containsText" text="Pendiente">
      <formula>NOT(ISERROR(SEARCH("Pendiente",W92)))</formula>
    </cfRule>
    <cfRule type="containsText" dxfId="11784" priority="12075" operator="containsText" text="No Aplica">
      <formula>NOT(ISERROR(SEARCH("No Aplica",W92)))</formula>
    </cfRule>
    <cfRule type="containsText" dxfId="11783" priority="12076" operator="containsText" text="Fallido">
      <formula>NOT(ISERROR(SEARCH("Fallido",W92)))</formula>
    </cfRule>
    <cfRule type="containsText" dxfId="11782" priority="12077" operator="containsText" text="Éxitoso">
      <formula>NOT(ISERROR(SEARCH("Éxitoso",W92)))</formula>
    </cfRule>
  </conditionalFormatting>
  <conditionalFormatting sqref="M92">
    <cfRule type="containsText" dxfId="11781" priority="12068" operator="containsText" text="No se pudo ejecutar">
      <formula>NOT(ISERROR(SEARCH("No se pudo ejecutar",M92)))</formula>
    </cfRule>
    <cfRule type="containsText" dxfId="11780" priority="12069" operator="containsText" text="Pendiente">
      <formula>NOT(ISERROR(SEARCH("Pendiente",M92)))</formula>
    </cfRule>
    <cfRule type="containsText" dxfId="11779" priority="12070" operator="containsText" text="No Aplica">
      <formula>NOT(ISERROR(SEARCH("No Aplica",M92)))</formula>
    </cfRule>
    <cfRule type="containsText" dxfId="11778" priority="12071" operator="containsText" text="Fallido">
      <formula>NOT(ISERROR(SEARCH("Fallido",M92)))</formula>
    </cfRule>
    <cfRule type="containsText" dxfId="11777" priority="12072" operator="containsText" text="Éxitoso">
      <formula>NOT(ISERROR(SEARCH("Éxitoso",M92)))</formula>
    </cfRule>
  </conditionalFormatting>
  <conditionalFormatting sqref="G92">
    <cfRule type="containsText" dxfId="11776" priority="12065" operator="containsText" text="Bajo">
      <formula>NOT(ISERROR(SEARCH("Bajo",G92)))</formula>
    </cfRule>
    <cfRule type="containsText" dxfId="11775" priority="12066" operator="containsText" text="Medio">
      <formula>NOT(ISERROR(SEARCH("Medio",G92)))</formula>
    </cfRule>
    <cfRule type="containsText" dxfId="11774" priority="12067" operator="containsText" text="Alto">
      <formula>NOT(ISERROR(SEARCH("Alto",G92)))</formula>
    </cfRule>
  </conditionalFormatting>
  <conditionalFormatting sqref="N93">
    <cfRule type="containsText" dxfId="11773" priority="12060" operator="containsText" text="No se pudo ejecutar">
      <formula>NOT(ISERROR(SEARCH("No se pudo ejecutar",N93)))</formula>
    </cfRule>
    <cfRule type="containsText" dxfId="11772" priority="12061" operator="containsText" text="Pendiente">
      <formula>NOT(ISERROR(SEARCH("Pendiente",N93)))</formula>
    </cfRule>
    <cfRule type="containsText" dxfId="11771" priority="12062" operator="containsText" text="No Aplica">
      <formula>NOT(ISERROR(SEARCH("No Aplica",N93)))</formula>
    </cfRule>
    <cfRule type="containsText" dxfId="11770" priority="12063" operator="containsText" text="Fallido">
      <formula>NOT(ISERROR(SEARCH("Fallido",N93)))</formula>
    </cfRule>
    <cfRule type="containsText" dxfId="11769" priority="12064" operator="containsText" text="Éxitoso">
      <formula>NOT(ISERROR(SEARCH("Éxitoso",N93)))</formula>
    </cfRule>
  </conditionalFormatting>
  <conditionalFormatting sqref="O93">
    <cfRule type="containsText" dxfId="11768" priority="12055" operator="containsText" text="No se pudo ejecutar">
      <formula>NOT(ISERROR(SEARCH("No se pudo ejecutar",O93)))</formula>
    </cfRule>
    <cfRule type="containsText" dxfId="11767" priority="12056" operator="containsText" text="Pendiente">
      <formula>NOT(ISERROR(SEARCH("Pendiente",O93)))</formula>
    </cfRule>
    <cfRule type="containsText" dxfId="11766" priority="12057" operator="containsText" text="No Aplica">
      <formula>NOT(ISERROR(SEARCH("No Aplica",O93)))</formula>
    </cfRule>
    <cfRule type="containsText" dxfId="11765" priority="12058" operator="containsText" text="Fallido">
      <formula>NOT(ISERROR(SEARCH("Fallido",O93)))</formula>
    </cfRule>
    <cfRule type="containsText" dxfId="11764" priority="12059" operator="containsText" text="Éxitoso">
      <formula>NOT(ISERROR(SEARCH("Éxitoso",O93)))</formula>
    </cfRule>
  </conditionalFormatting>
  <conditionalFormatting sqref="P93">
    <cfRule type="containsText" dxfId="11763" priority="12050" operator="containsText" text="No se pudo ejecutar">
      <formula>NOT(ISERROR(SEARCH("No se pudo ejecutar",P93)))</formula>
    </cfRule>
    <cfRule type="containsText" dxfId="11762" priority="12051" operator="containsText" text="Pendiente">
      <formula>NOT(ISERROR(SEARCH("Pendiente",P93)))</formula>
    </cfRule>
    <cfRule type="containsText" dxfId="11761" priority="12052" operator="containsText" text="No Aplica">
      <formula>NOT(ISERROR(SEARCH("No Aplica",P93)))</formula>
    </cfRule>
    <cfRule type="containsText" dxfId="11760" priority="12053" operator="containsText" text="Fallido">
      <formula>NOT(ISERROR(SEARCH("Fallido",P93)))</formula>
    </cfRule>
    <cfRule type="containsText" dxfId="11759" priority="12054" operator="containsText" text="Éxitoso">
      <formula>NOT(ISERROR(SEARCH("Éxitoso",P93)))</formula>
    </cfRule>
  </conditionalFormatting>
  <conditionalFormatting sqref="Q93">
    <cfRule type="containsText" dxfId="11758" priority="12045" operator="containsText" text="No se pudo ejecutar">
      <formula>NOT(ISERROR(SEARCH("No se pudo ejecutar",Q93)))</formula>
    </cfRule>
    <cfRule type="containsText" dxfId="11757" priority="12046" operator="containsText" text="Pendiente">
      <formula>NOT(ISERROR(SEARCH("Pendiente",Q93)))</formula>
    </cfRule>
    <cfRule type="containsText" dxfId="11756" priority="12047" operator="containsText" text="No Aplica">
      <formula>NOT(ISERROR(SEARCH("No Aplica",Q93)))</formula>
    </cfRule>
    <cfRule type="containsText" dxfId="11755" priority="12048" operator="containsText" text="Fallido">
      <formula>NOT(ISERROR(SEARCH("Fallido",Q93)))</formula>
    </cfRule>
    <cfRule type="containsText" dxfId="11754" priority="12049" operator="containsText" text="Éxitoso">
      <formula>NOT(ISERROR(SEARCH("Éxitoso",Q93)))</formula>
    </cfRule>
  </conditionalFormatting>
  <conditionalFormatting sqref="R93">
    <cfRule type="containsText" dxfId="11753" priority="12040" operator="containsText" text="No se pudo ejecutar">
      <formula>NOT(ISERROR(SEARCH("No se pudo ejecutar",R93)))</formula>
    </cfRule>
    <cfRule type="containsText" dxfId="11752" priority="12041" operator="containsText" text="Pendiente">
      <formula>NOT(ISERROR(SEARCH("Pendiente",R93)))</formula>
    </cfRule>
    <cfRule type="containsText" dxfId="11751" priority="12042" operator="containsText" text="No Aplica">
      <formula>NOT(ISERROR(SEARCH("No Aplica",R93)))</formula>
    </cfRule>
    <cfRule type="containsText" dxfId="11750" priority="12043" operator="containsText" text="Fallido">
      <formula>NOT(ISERROR(SEARCH("Fallido",R93)))</formula>
    </cfRule>
    <cfRule type="containsText" dxfId="11749" priority="12044" operator="containsText" text="Éxitoso">
      <formula>NOT(ISERROR(SEARCH("Éxitoso",R93)))</formula>
    </cfRule>
  </conditionalFormatting>
  <conditionalFormatting sqref="S93">
    <cfRule type="containsText" dxfId="11748" priority="12035" operator="containsText" text="No se pudo ejecutar">
      <formula>NOT(ISERROR(SEARCH("No se pudo ejecutar",S93)))</formula>
    </cfRule>
    <cfRule type="containsText" dxfId="11747" priority="12036" operator="containsText" text="Pendiente">
      <formula>NOT(ISERROR(SEARCH("Pendiente",S93)))</formula>
    </cfRule>
    <cfRule type="containsText" dxfId="11746" priority="12037" operator="containsText" text="No Aplica">
      <formula>NOT(ISERROR(SEARCH("No Aplica",S93)))</formula>
    </cfRule>
    <cfRule type="containsText" dxfId="11745" priority="12038" operator="containsText" text="Fallido">
      <formula>NOT(ISERROR(SEARCH("Fallido",S93)))</formula>
    </cfRule>
    <cfRule type="containsText" dxfId="11744" priority="12039" operator="containsText" text="Éxitoso">
      <formula>NOT(ISERROR(SEARCH("Éxitoso",S93)))</formula>
    </cfRule>
  </conditionalFormatting>
  <conditionalFormatting sqref="T93">
    <cfRule type="containsText" dxfId="11743" priority="12030" operator="containsText" text="No se pudo ejecutar">
      <formula>NOT(ISERROR(SEARCH("No se pudo ejecutar",T93)))</formula>
    </cfRule>
    <cfRule type="containsText" dxfId="11742" priority="12031" operator="containsText" text="Pendiente">
      <formula>NOT(ISERROR(SEARCH("Pendiente",T93)))</formula>
    </cfRule>
    <cfRule type="containsText" dxfId="11741" priority="12032" operator="containsText" text="No Aplica">
      <formula>NOT(ISERROR(SEARCH("No Aplica",T93)))</formula>
    </cfRule>
    <cfRule type="containsText" dxfId="11740" priority="12033" operator="containsText" text="Fallido">
      <formula>NOT(ISERROR(SEARCH("Fallido",T93)))</formula>
    </cfRule>
    <cfRule type="containsText" dxfId="11739" priority="12034" operator="containsText" text="Éxitoso">
      <formula>NOT(ISERROR(SEARCH("Éxitoso",T93)))</formula>
    </cfRule>
  </conditionalFormatting>
  <conditionalFormatting sqref="U93">
    <cfRule type="containsText" dxfId="11738" priority="12025" operator="containsText" text="No se pudo ejecutar">
      <formula>NOT(ISERROR(SEARCH("No se pudo ejecutar",U93)))</formula>
    </cfRule>
    <cfRule type="containsText" dxfId="11737" priority="12026" operator="containsText" text="Pendiente">
      <formula>NOT(ISERROR(SEARCH("Pendiente",U93)))</formula>
    </cfRule>
    <cfRule type="containsText" dxfId="11736" priority="12027" operator="containsText" text="No Aplica">
      <formula>NOT(ISERROR(SEARCH("No Aplica",U93)))</formula>
    </cfRule>
    <cfRule type="containsText" dxfId="11735" priority="12028" operator="containsText" text="Fallido">
      <formula>NOT(ISERROR(SEARCH("Fallido",U93)))</formula>
    </cfRule>
    <cfRule type="containsText" dxfId="11734" priority="12029" operator="containsText" text="Éxitoso">
      <formula>NOT(ISERROR(SEARCH("Éxitoso",U93)))</formula>
    </cfRule>
  </conditionalFormatting>
  <conditionalFormatting sqref="V93">
    <cfRule type="containsText" dxfId="11733" priority="12020" operator="containsText" text="No se pudo ejecutar">
      <formula>NOT(ISERROR(SEARCH("No se pudo ejecutar",V93)))</formula>
    </cfRule>
    <cfRule type="containsText" dxfId="11732" priority="12021" operator="containsText" text="Pendiente">
      <formula>NOT(ISERROR(SEARCH("Pendiente",V93)))</formula>
    </cfRule>
    <cfRule type="containsText" dxfId="11731" priority="12022" operator="containsText" text="No Aplica">
      <formula>NOT(ISERROR(SEARCH("No Aplica",V93)))</formula>
    </cfRule>
    <cfRule type="containsText" dxfId="11730" priority="12023" operator="containsText" text="Fallido">
      <formula>NOT(ISERROR(SEARCH("Fallido",V93)))</formula>
    </cfRule>
    <cfRule type="containsText" dxfId="11729" priority="12024" operator="containsText" text="Éxitoso">
      <formula>NOT(ISERROR(SEARCH("Éxitoso",V93)))</formula>
    </cfRule>
  </conditionalFormatting>
  <conditionalFormatting sqref="W93">
    <cfRule type="containsText" dxfId="11728" priority="12015" operator="containsText" text="No se pudo ejecutar">
      <formula>NOT(ISERROR(SEARCH("No se pudo ejecutar",W93)))</formula>
    </cfRule>
    <cfRule type="containsText" dxfId="11727" priority="12016" operator="containsText" text="Pendiente">
      <formula>NOT(ISERROR(SEARCH("Pendiente",W93)))</formula>
    </cfRule>
    <cfRule type="containsText" dxfId="11726" priority="12017" operator="containsText" text="No Aplica">
      <formula>NOT(ISERROR(SEARCH("No Aplica",W93)))</formula>
    </cfRule>
    <cfRule type="containsText" dxfId="11725" priority="12018" operator="containsText" text="Fallido">
      <formula>NOT(ISERROR(SEARCH("Fallido",W93)))</formula>
    </cfRule>
    <cfRule type="containsText" dxfId="11724" priority="12019" operator="containsText" text="Éxitoso">
      <formula>NOT(ISERROR(SEARCH("Éxitoso",W93)))</formula>
    </cfRule>
  </conditionalFormatting>
  <conditionalFormatting sqref="M93">
    <cfRule type="containsText" dxfId="11723" priority="12010" operator="containsText" text="No se pudo ejecutar">
      <formula>NOT(ISERROR(SEARCH("No se pudo ejecutar",M93)))</formula>
    </cfRule>
    <cfRule type="containsText" dxfId="11722" priority="12011" operator="containsText" text="Pendiente">
      <formula>NOT(ISERROR(SEARCH("Pendiente",M93)))</formula>
    </cfRule>
    <cfRule type="containsText" dxfId="11721" priority="12012" operator="containsText" text="No Aplica">
      <formula>NOT(ISERROR(SEARCH("No Aplica",M93)))</formula>
    </cfRule>
    <cfRule type="containsText" dxfId="11720" priority="12013" operator="containsText" text="Fallido">
      <formula>NOT(ISERROR(SEARCH("Fallido",M93)))</formula>
    </cfRule>
    <cfRule type="containsText" dxfId="11719" priority="12014" operator="containsText" text="Éxitoso">
      <formula>NOT(ISERROR(SEARCH("Éxitoso",M93)))</formula>
    </cfRule>
  </conditionalFormatting>
  <conditionalFormatting sqref="G93">
    <cfRule type="containsText" dxfId="11718" priority="12007" operator="containsText" text="Bajo">
      <formula>NOT(ISERROR(SEARCH("Bajo",G93)))</formula>
    </cfRule>
    <cfRule type="containsText" dxfId="11717" priority="12008" operator="containsText" text="Medio">
      <formula>NOT(ISERROR(SEARCH("Medio",G93)))</formula>
    </cfRule>
    <cfRule type="containsText" dxfId="11716" priority="12009" operator="containsText" text="Alto">
      <formula>NOT(ISERROR(SEARCH("Alto",G93)))</formula>
    </cfRule>
  </conditionalFormatting>
  <conditionalFormatting sqref="N94">
    <cfRule type="containsText" dxfId="11715" priority="12002" operator="containsText" text="No se pudo ejecutar">
      <formula>NOT(ISERROR(SEARCH("No se pudo ejecutar",N94)))</formula>
    </cfRule>
    <cfRule type="containsText" dxfId="11714" priority="12003" operator="containsText" text="Pendiente">
      <formula>NOT(ISERROR(SEARCH("Pendiente",N94)))</formula>
    </cfRule>
    <cfRule type="containsText" dxfId="11713" priority="12004" operator="containsText" text="No Aplica">
      <formula>NOT(ISERROR(SEARCH("No Aplica",N94)))</formula>
    </cfRule>
    <cfRule type="containsText" dxfId="11712" priority="12005" operator="containsText" text="Fallido">
      <formula>NOT(ISERROR(SEARCH("Fallido",N94)))</formula>
    </cfRule>
    <cfRule type="containsText" dxfId="11711" priority="12006" operator="containsText" text="Éxitoso">
      <formula>NOT(ISERROR(SEARCH("Éxitoso",N94)))</formula>
    </cfRule>
  </conditionalFormatting>
  <conditionalFormatting sqref="O94">
    <cfRule type="containsText" dxfId="11710" priority="11997" operator="containsText" text="No se pudo ejecutar">
      <formula>NOT(ISERROR(SEARCH("No se pudo ejecutar",O94)))</formula>
    </cfRule>
    <cfRule type="containsText" dxfId="11709" priority="11998" operator="containsText" text="Pendiente">
      <formula>NOT(ISERROR(SEARCH("Pendiente",O94)))</formula>
    </cfRule>
    <cfRule type="containsText" dxfId="11708" priority="11999" operator="containsText" text="No Aplica">
      <formula>NOT(ISERROR(SEARCH("No Aplica",O94)))</formula>
    </cfRule>
    <cfRule type="containsText" dxfId="11707" priority="12000" operator="containsText" text="Fallido">
      <formula>NOT(ISERROR(SEARCH("Fallido",O94)))</formula>
    </cfRule>
    <cfRule type="containsText" dxfId="11706" priority="12001" operator="containsText" text="Éxitoso">
      <formula>NOT(ISERROR(SEARCH("Éxitoso",O94)))</formula>
    </cfRule>
  </conditionalFormatting>
  <conditionalFormatting sqref="P94">
    <cfRule type="containsText" dxfId="11705" priority="11992" operator="containsText" text="No se pudo ejecutar">
      <formula>NOT(ISERROR(SEARCH("No se pudo ejecutar",P94)))</formula>
    </cfRule>
    <cfRule type="containsText" dxfId="11704" priority="11993" operator="containsText" text="Pendiente">
      <formula>NOT(ISERROR(SEARCH("Pendiente",P94)))</formula>
    </cfRule>
    <cfRule type="containsText" dxfId="11703" priority="11994" operator="containsText" text="No Aplica">
      <formula>NOT(ISERROR(SEARCH("No Aplica",P94)))</formula>
    </cfRule>
    <cfRule type="containsText" dxfId="11702" priority="11995" operator="containsText" text="Fallido">
      <formula>NOT(ISERROR(SEARCH("Fallido",P94)))</formula>
    </cfRule>
    <cfRule type="containsText" dxfId="11701" priority="11996" operator="containsText" text="Éxitoso">
      <formula>NOT(ISERROR(SEARCH("Éxitoso",P94)))</formula>
    </cfRule>
  </conditionalFormatting>
  <conditionalFormatting sqref="Q94">
    <cfRule type="containsText" dxfId="11700" priority="11987" operator="containsText" text="No se pudo ejecutar">
      <formula>NOT(ISERROR(SEARCH("No se pudo ejecutar",Q94)))</formula>
    </cfRule>
    <cfRule type="containsText" dxfId="11699" priority="11988" operator="containsText" text="Pendiente">
      <formula>NOT(ISERROR(SEARCH("Pendiente",Q94)))</formula>
    </cfRule>
    <cfRule type="containsText" dxfId="11698" priority="11989" operator="containsText" text="No Aplica">
      <formula>NOT(ISERROR(SEARCH("No Aplica",Q94)))</formula>
    </cfRule>
    <cfRule type="containsText" dxfId="11697" priority="11990" operator="containsText" text="Fallido">
      <formula>NOT(ISERROR(SEARCH("Fallido",Q94)))</formula>
    </cfRule>
    <cfRule type="containsText" dxfId="11696" priority="11991" operator="containsText" text="Éxitoso">
      <formula>NOT(ISERROR(SEARCH("Éxitoso",Q94)))</formula>
    </cfRule>
  </conditionalFormatting>
  <conditionalFormatting sqref="R94">
    <cfRule type="containsText" dxfId="11695" priority="11982" operator="containsText" text="No se pudo ejecutar">
      <formula>NOT(ISERROR(SEARCH("No se pudo ejecutar",R94)))</formula>
    </cfRule>
    <cfRule type="containsText" dxfId="11694" priority="11983" operator="containsText" text="Pendiente">
      <formula>NOT(ISERROR(SEARCH("Pendiente",R94)))</formula>
    </cfRule>
    <cfRule type="containsText" dxfId="11693" priority="11984" operator="containsText" text="No Aplica">
      <formula>NOT(ISERROR(SEARCH("No Aplica",R94)))</formula>
    </cfRule>
    <cfRule type="containsText" dxfId="11692" priority="11985" operator="containsText" text="Fallido">
      <formula>NOT(ISERROR(SEARCH("Fallido",R94)))</formula>
    </cfRule>
    <cfRule type="containsText" dxfId="11691" priority="11986" operator="containsText" text="Éxitoso">
      <formula>NOT(ISERROR(SEARCH("Éxitoso",R94)))</formula>
    </cfRule>
  </conditionalFormatting>
  <conditionalFormatting sqref="S94">
    <cfRule type="containsText" dxfId="11690" priority="11977" operator="containsText" text="No se pudo ejecutar">
      <formula>NOT(ISERROR(SEARCH("No se pudo ejecutar",S94)))</formula>
    </cfRule>
    <cfRule type="containsText" dxfId="11689" priority="11978" operator="containsText" text="Pendiente">
      <formula>NOT(ISERROR(SEARCH("Pendiente",S94)))</formula>
    </cfRule>
    <cfRule type="containsText" dxfId="11688" priority="11979" operator="containsText" text="No Aplica">
      <formula>NOT(ISERROR(SEARCH("No Aplica",S94)))</formula>
    </cfRule>
    <cfRule type="containsText" dxfId="11687" priority="11980" operator="containsText" text="Fallido">
      <formula>NOT(ISERROR(SEARCH("Fallido",S94)))</formula>
    </cfRule>
    <cfRule type="containsText" dxfId="11686" priority="11981" operator="containsText" text="Éxitoso">
      <formula>NOT(ISERROR(SEARCH("Éxitoso",S94)))</formula>
    </cfRule>
  </conditionalFormatting>
  <conditionalFormatting sqref="T94">
    <cfRule type="containsText" dxfId="11685" priority="11972" operator="containsText" text="No se pudo ejecutar">
      <formula>NOT(ISERROR(SEARCH("No se pudo ejecutar",T94)))</formula>
    </cfRule>
    <cfRule type="containsText" dxfId="11684" priority="11973" operator="containsText" text="Pendiente">
      <formula>NOT(ISERROR(SEARCH("Pendiente",T94)))</formula>
    </cfRule>
    <cfRule type="containsText" dxfId="11683" priority="11974" operator="containsText" text="No Aplica">
      <formula>NOT(ISERROR(SEARCH("No Aplica",T94)))</formula>
    </cfRule>
    <cfRule type="containsText" dxfId="11682" priority="11975" operator="containsText" text="Fallido">
      <formula>NOT(ISERROR(SEARCH("Fallido",T94)))</formula>
    </cfRule>
    <cfRule type="containsText" dxfId="11681" priority="11976" operator="containsText" text="Éxitoso">
      <formula>NOT(ISERROR(SEARCH("Éxitoso",T94)))</formula>
    </cfRule>
  </conditionalFormatting>
  <conditionalFormatting sqref="U94">
    <cfRule type="containsText" dxfId="11680" priority="11967" operator="containsText" text="No se pudo ejecutar">
      <formula>NOT(ISERROR(SEARCH("No se pudo ejecutar",U94)))</formula>
    </cfRule>
    <cfRule type="containsText" dxfId="11679" priority="11968" operator="containsText" text="Pendiente">
      <formula>NOT(ISERROR(SEARCH("Pendiente",U94)))</formula>
    </cfRule>
    <cfRule type="containsText" dxfId="11678" priority="11969" operator="containsText" text="No Aplica">
      <formula>NOT(ISERROR(SEARCH("No Aplica",U94)))</formula>
    </cfRule>
    <cfRule type="containsText" dxfId="11677" priority="11970" operator="containsText" text="Fallido">
      <formula>NOT(ISERROR(SEARCH("Fallido",U94)))</formula>
    </cfRule>
    <cfRule type="containsText" dxfId="11676" priority="11971" operator="containsText" text="Éxitoso">
      <formula>NOT(ISERROR(SEARCH("Éxitoso",U94)))</formula>
    </cfRule>
  </conditionalFormatting>
  <conditionalFormatting sqref="V94">
    <cfRule type="containsText" dxfId="11675" priority="11962" operator="containsText" text="No se pudo ejecutar">
      <formula>NOT(ISERROR(SEARCH("No se pudo ejecutar",V94)))</formula>
    </cfRule>
    <cfRule type="containsText" dxfId="11674" priority="11963" operator="containsText" text="Pendiente">
      <formula>NOT(ISERROR(SEARCH("Pendiente",V94)))</formula>
    </cfRule>
    <cfRule type="containsText" dxfId="11673" priority="11964" operator="containsText" text="No Aplica">
      <formula>NOT(ISERROR(SEARCH("No Aplica",V94)))</formula>
    </cfRule>
    <cfRule type="containsText" dxfId="11672" priority="11965" operator="containsText" text="Fallido">
      <formula>NOT(ISERROR(SEARCH("Fallido",V94)))</formula>
    </cfRule>
    <cfRule type="containsText" dxfId="11671" priority="11966" operator="containsText" text="Éxitoso">
      <formula>NOT(ISERROR(SEARCH("Éxitoso",V94)))</formula>
    </cfRule>
  </conditionalFormatting>
  <conditionalFormatting sqref="W94">
    <cfRule type="containsText" dxfId="11670" priority="11957" operator="containsText" text="No se pudo ejecutar">
      <formula>NOT(ISERROR(SEARCH("No se pudo ejecutar",W94)))</formula>
    </cfRule>
    <cfRule type="containsText" dxfId="11669" priority="11958" operator="containsText" text="Pendiente">
      <formula>NOT(ISERROR(SEARCH("Pendiente",W94)))</formula>
    </cfRule>
    <cfRule type="containsText" dxfId="11668" priority="11959" operator="containsText" text="No Aplica">
      <formula>NOT(ISERROR(SEARCH("No Aplica",W94)))</formula>
    </cfRule>
    <cfRule type="containsText" dxfId="11667" priority="11960" operator="containsText" text="Fallido">
      <formula>NOT(ISERROR(SEARCH("Fallido",W94)))</formula>
    </cfRule>
    <cfRule type="containsText" dxfId="11666" priority="11961" operator="containsText" text="Éxitoso">
      <formula>NOT(ISERROR(SEARCH("Éxitoso",W94)))</formula>
    </cfRule>
  </conditionalFormatting>
  <conditionalFormatting sqref="M94">
    <cfRule type="containsText" dxfId="11665" priority="11952" operator="containsText" text="No se pudo ejecutar">
      <formula>NOT(ISERROR(SEARCH("No se pudo ejecutar",M94)))</formula>
    </cfRule>
    <cfRule type="containsText" dxfId="11664" priority="11953" operator="containsText" text="Pendiente">
      <formula>NOT(ISERROR(SEARCH("Pendiente",M94)))</formula>
    </cfRule>
    <cfRule type="containsText" dxfId="11663" priority="11954" operator="containsText" text="No Aplica">
      <formula>NOT(ISERROR(SEARCH("No Aplica",M94)))</formula>
    </cfRule>
    <cfRule type="containsText" dxfId="11662" priority="11955" operator="containsText" text="Fallido">
      <formula>NOT(ISERROR(SEARCH("Fallido",M94)))</formula>
    </cfRule>
    <cfRule type="containsText" dxfId="11661" priority="11956" operator="containsText" text="Éxitoso">
      <formula>NOT(ISERROR(SEARCH("Éxitoso",M94)))</formula>
    </cfRule>
  </conditionalFormatting>
  <conditionalFormatting sqref="G94">
    <cfRule type="containsText" dxfId="11660" priority="11949" operator="containsText" text="Bajo">
      <formula>NOT(ISERROR(SEARCH("Bajo",G94)))</formula>
    </cfRule>
    <cfRule type="containsText" dxfId="11659" priority="11950" operator="containsText" text="Medio">
      <formula>NOT(ISERROR(SEARCH("Medio",G94)))</formula>
    </cfRule>
    <cfRule type="containsText" dxfId="11658" priority="11951" operator="containsText" text="Alto">
      <formula>NOT(ISERROR(SEARCH("Alto",G94)))</formula>
    </cfRule>
  </conditionalFormatting>
  <conditionalFormatting sqref="N95">
    <cfRule type="containsText" dxfId="11657" priority="11944" operator="containsText" text="No se pudo ejecutar">
      <formula>NOT(ISERROR(SEARCH("No se pudo ejecutar",N95)))</formula>
    </cfRule>
    <cfRule type="containsText" dxfId="11656" priority="11945" operator="containsText" text="Pendiente">
      <formula>NOT(ISERROR(SEARCH("Pendiente",N95)))</formula>
    </cfRule>
    <cfRule type="containsText" dxfId="11655" priority="11946" operator="containsText" text="No Aplica">
      <formula>NOT(ISERROR(SEARCH("No Aplica",N95)))</formula>
    </cfRule>
    <cfRule type="containsText" dxfId="11654" priority="11947" operator="containsText" text="Fallido">
      <formula>NOT(ISERROR(SEARCH("Fallido",N95)))</formula>
    </cfRule>
    <cfRule type="containsText" dxfId="11653" priority="11948" operator="containsText" text="Éxitoso">
      <formula>NOT(ISERROR(SEARCH("Éxitoso",N95)))</formula>
    </cfRule>
  </conditionalFormatting>
  <conditionalFormatting sqref="O95">
    <cfRule type="containsText" dxfId="11652" priority="11939" operator="containsText" text="No se pudo ejecutar">
      <formula>NOT(ISERROR(SEARCH("No se pudo ejecutar",O95)))</formula>
    </cfRule>
    <cfRule type="containsText" dxfId="11651" priority="11940" operator="containsText" text="Pendiente">
      <formula>NOT(ISERROR(SEARCH("Pendiente",O95)))</formula>
    </cfRule>
    <cfRule type="containsText" dxfId="11650" priority="11941" operator="containsText" text="No Aplica">
      <formula>NOT(ISERROR(SEARCH("No Aplica",O95)))</formula>
    </cfRule>
    <cfRule type="containsText" dxfId="11649" priority="11942" operator="containsText" text="Fallido">
      <formula>NOT(ISERROR(SEARCH("Fallido",O95)))</formula>
    </cfRule>
    <cfRule type="containsText" dxfId="11648" priority="11943" operator="containsText" text="Éxitoso">
      <formula>NOT(ISERROR(SEARCH("Éxitoso",O95)))</formula>
    </cfRule>
  </conditionalFormatting>
  <conditionalFormatting sqref="P95">
    <cfRule type="containsText" dxfId="11647" priority="11934" operator="containsText" text="No se pudo ejecutar">
      <formula>NOT(ISERROR(SEARCH("No se pudo ejecutar",P95)))</formula>
    </cfRule>
    <cfRule type="containsText" dxfId="11646" priority="11935" operator="containsText" text="Pendiente">
      <formula>NOT(ISERROR(SEARCH("Pendiente",P95)))</formula>
    </cfRule>
    <cfRule type="containsText" dxfId="11645" priority="11936" operator="containsText" text="No Aplica">
      <formula>NOT(ISERROR(SEARCH("No Aplica",P95)))</formula>
    </cfRule>
    <cfRule type="containsText" dxfId="11644" priority="11937" operator="containsText" text="Fallido">
      <formula>NOT(ISERROR(SEARCH("Fallido",P95)))</formula>
    </cfRule>
    <cfRule type="containsText" dxfId="11643" priority="11938" operator="containsText" text="Éxitoso">
      <formula>NOT(ISERROR(SEARCH("Éxitoso",P95)))</formula>
    </cfRule>
  </conditionalFormatting>
  <conditionalFormatting sqref="Q95">
    <cfRule type="containsText" dxfId="11642" priority="11929" operator="containsText" text="No se pudo ejecutar">
      <formula>NOT(ISERROR(SEARCH("No se pudo ejecutar",Q95)))</formula>
    </cfRule>
    <cfRule type="containsText" dxfId="11641" priority="11930" operator="containsText" text="Pendiente">
      <formula>NOT(ISERROR(SEARCH("Pendiente",Q95)))</formula>
    </cfRule>
    <cfRule type="containsText" dxfId="11640" priority="11931" operator="containsText" text="No Aplica">
      <formula>NOT(ISERROR(SEARCH("No Aplica",Q95)))</formula>
    </cfRule>
    <cfRule type="containsText" dxfId="11639" priority="11932" operator="containsText" text="Fallido">
      <formula>NOT(ISERROR(SEARCH("Fallido",Q95)))</formula>
    </cfRule>
    <cfRule type="containsText" dxfId="11638" priority="11933" operator="containsText" text="Éxitoso">
      <formula>NOT(ISERROR(SEARCH("Éxitoso",Q95)))</formula>
    </cfRule>
  </conditionalFormatting>
  <conditionalFormatting sqref="R95">
    <cfRule type="containsText" dxfId="11637" priority="11924" operator="containsText" text="No se pudo ejecutar">
      <formula>NOT(ISERROR(SEARCH("No se pudo ejecutar",R95)))</formula>
    </cfRule>
    <cfRule type="containsText" dxfId="11636" priority="11925" operator="containsText" text="Pendiente">
      <formula>NOT(ISERROR(SEARCH("Pendiente",R95)))</formula>
    </cfRule>
    <cfRule type="containsText" dxfId="11635" priority="11926" operator="containsText" text="No Aplica">
      <formula>NOT(ISERROR(SEARCH("No Aplica",R95)))</formula>
    </cfRule>
    <cfRule type="containsText" dxfId="11634" priority="11927" operator="containsText" text="Fallido">
      <formula>NOT(ISERROR(SEARCH("Fallido",R95)))</formula>
    </cfRule>
    <cfRule type="containsText" dxfId="11633" priority="11928" operator="containsText" text="Éxitoso">
      <formula>NOT(ISERROR(SEARCH("Éxitoso",R95)))</formula>
    </cfRule>
  </conditionalFormatting>
  <conditionalFormatting sqref="S95">
    <cfRule type="containsText" dxfId="11632" priority="11919" operator="containsText" text="No se pudo ejecutar">
      <formula>NOT(ISERROR(SEARCH("No se pudo ejecutar",S95)))</formula>
    </cfRule>
    <cfRule type="containsText" dxfId="11631" priority="11920" operator="containsText" text="Pendiente">
      <formula>NOT(ISERROR(SEARCH("Pendiente",S95)))</formula>
    </cfRule>
    <cfRule type="containsText" dxfId="11630" priority="11921" operator="containsText" text="No Aplica">
      <formula>NOT(ISERROR(SEARCH("No Aplica",S95)))</formula>
    </cfRule>
    <cfRule type="containsText" dxfId="11629" priority="11922" operator="containsText" text="Fallido">
      <formula>NOT(ISERROR(SEARCH("Fallido",S95)))</formula>
    </cfRule>
    <cfRule type="containsText" dxfId="11628" priority="11923" operator="containsText" text="Éxitoso">
      <formula>NOT(ISERROR(SEARCH("Éxitoso",S95)))</formula>
    </cfRule>
  </conditionalFormatting>
  <conditionalFormatting sqref="T95">
    <cfRule type="containsText" dxfId="11627" priority="11914" operator="containsText" text="No se pudo ejecutar">
      <formula>NOT(ISERROR(SEARCH("No se pudo ejecutar",T95)))</formula>
    </cfRule>
    <cfRule type="containsText" dxfId="11626" priority="11915" operator="containsText" text="Pendiente">
      <formula>NOT(ISERROR(SEARCH("Pendiente",T95)))</formula>
    </cfRule>
    <cfRule type="containsText" dxfId="11625" priority="11916" operator="containsText" text="No Aplica">
      <formula>NOT(ISERROR(SEARCH("No Aplica",T95)))</formula>
    </cfRule>
    <cfRule type="containsText" dxfId="11624" priority="11917" operator="containsText" text="Fallido">
      <formula>NOT(ISERROR(SEARCH("Fallido",T95)))</formula>
    </cfRule>
    <cfRule type="containsText" dxfId="11623" priority="11918" operator="containsText" text="Éxitoso">
      <formula>NOT(ISERROR(SEARCH("Éxitoso",T95)))</formula>
    </cfRule>
  </conditionalFormatting>
  <conditionalFormatting sqref="U95">
    <cfRule type="containsText" dxfId="11622" priority="11909" operator="containsText" text="No se pudo ejecutar">
      <formula>NOT(ISERROR(SEARCH("No se pudo ejecutar",U95)))</formula>
    </cfRule>
    <cfRule type="containsText" dxfId="11621" priority="11910" operator="containsText" text="Pendiente">
      <formula>NOT(ISERROR(SEARCH("Pendiente",U95)))</formula>
    </cfRule>
    <cfRule type="containsText" dxfId="11620" priority="11911" operator="containsText" text="No Aplica">
      <formula>NOT(ISERROR(SEARCH("No Aplica",U95)))</formula>
    </cfRule>
    <cfRule type="containsText" dxfId="11619" priority="11912" operator="containsText" text="Fallido">
      <formula>NOT(ISERROR(SEARCH("Fallido",U95)))</formula>
    </cfRule>
    <cfRule type="containsText" dxfId="11618" priority="11913" operator="containsText" text="Éxitoso">
      <formula>NOT(ISERROR(SEARCH("Éxitoso",U95)))</formula>
    </cfRule>
  </conditionalFormatting>
  <conditionalFormatting sqref="V95">
    <cfRule type="containsText" dxfId="11617" priority="11904" operator="containsText" text="No se pudo ejecutar">
      <formula>NOT(ISERROR(SEARCH("No se pudo ejecutar",V95)))</formula>
    </cfRule>
    <cfRule type="containsText" dxfId="11616" priority="11905" operator="containsText" text="Pendiente">
      <formula>NOT(ISERROR(SEARCH("Pendiente",V95)))</formula>
    </cfRule>
    <cfRule type="containsText" dxfId="11615" priority="11906" operator="containsText" text="No Aplica">
      <formula>NOT(ISERROR(SEARCH("No Aplica",V95)))</formula>
    </cfRule>
    <cfRule type="containsText" dxfId="11614" priority="11907" operator="containsText" text="Fallido">
      <formula>NOT(ISERROR(SEARCH("Fallido",V95)))</formula>
    </cfRule>
    <cfRule type="containsText" dxfId="11613" priority="11908" operator="containsText" text="Éxitoso">
      <formula>NOT(ISERROR(SEARCH("Éxitoso",V95)))</formula>
    </cfRule>
  </conditionalFormatting>
  <conditionalFormatting sqref="W95">
    <cfRule type="containsText" dxfId="11612" priority="11899" operator="containsText" text="No se pudo ejecutar">
      <formula>NOT(ISERROR(SEARCH("No se pudo ejecutar",W95)))</formula>
    </cfRule>
    <cfRule type="containsText" dxfId="11611" priority="11900" operator="containsText" text="Pendiente">
      <formula>NOT(ISERROR(SEARCH("Pendiente",W95)))</formula>
    </cfRule>
    <cfRule type="containsText" dxfId="11610" priority="11901" operator="containsText" text="No Aplica">
      <formula>NOT(ISERROR(SEARCH("No Aplica",W95)))</formula>
    </cfRule>
    <cfRule type="containsText" dxfId="11609" priority="11902" operator="containsText" text="Fallido">
      <formula>NOT(ISERROR(SEARCH("Fallido",W95)))</formula>
    </cfRule>
    <cfRule type="containsText" dxfId="11608" priority="11903" operator="containsText" text="Éxitoso">
      <formula>NOT(ISERROR(SEARCH("Éxitoso",W95)))</formula>
    </cfRule>
  </conditionalFormatting>
  <conditionalFormatting sqref="M95">
    <cfRule type="containsText" dxfId="11607" priority="11894" operator="containsText" text="No se pudo ejecutar">
      <formula>NOT(ISERROR(SEARCH("No se pudo ejecutar",M95)))</formula>
    </cfRule>
    <cfRule type="containsText" dxfId="11606" priority="11895" operator="containsText" text="Pendiente">
      <formula>NOT(ISERROR(SEARCH("Pendiente",M95)))</formula>
    </cfRule>
    <cfRule type="containsText" dxfId="11605" priority="11896" operator="containsText" text="No Aplica">
      <formula>NOT(ISERROR(SEARCH("No Aplica",M95)))</formula>
    </cfRule>
    <cfRule type="containsText" dxfId="11604" priority="11897" operator="containsText" text="Fallido">
      <formula>NOT(ISERROR(SEARCH("Fallido",M95)))</formula>
    </cfRule>
    <cfRule type="containsText" dxfId="11603" priority="11898" operator="containsText" text="Éxitoso">
      <formula>NOT(ISERROR(SEARCH("Éxitoso",M95)))</formula>
    </cfRule>
  </conditionalFormatting>
  <conditionalFormatting sqref="G95">
    <cfRule type="containsText" dxfId="11602" priority="11891" operator="containsText" text="Bajo">
      <formula>NOT(ISERROR(SEARCH("Bajo",G95)))</formula>
    </cfRule>
    <cfRule type="containsText" dxfId="11601" priority="11892" operator="containsText" text="Medio">
      <formula>NOT(ISERROR(SEARCH("Medio",G95)))</formula>
    </cfRule>
    <cfRule type="containsText" dxfId="11600" priority="11893" operator="containsText" text="Alto">
      <formula>NOT(ISERROR(SEARCH("Alto",G95)))</formula>
    </cfRule>
  </conditionalFormatting>
  <conditionalFormatting sqref="N96">
    <cfRule type="containsText" dxfId="11599" priority="11886" operator="containsText" text="No se pudo ejecutar">
      <formula>NOT(ISERROR(SEARCH("No se pudo ejecutar",N96)))</formula>
    </cfRule>
    <cfRule type="containsText" dxfId="11598" priority="11887" operator="containsText" text="Pendiente">
      <formula>NOT(ISERROR(SEARCH("Pendiente",N96)))</formula>
    </cfRule>
    <cfRule type="containsText" dxfId="11597" priority="11888" operator="containsText" text="No Aplica">
      <formula>NOT(ISERROR(SEARCH("No Aplica",N96)))</formula>
    </cfRule>
    <cfRule type="containsText" dxfId="11596" priority="11889" operator="containsText" text="Fallido">
      <formula>NOT(ISERROR(SEARCH("Fallido",N96)))</formula>
    </cfRule>
    <cfRule type="containsText" dxfId="11595" priority="11890" operator="containsText" text="Éxitoso">
      <formula>NOT(ISERROR(SEARCH("Éxitoso",N96)))</formula>
    </cfRule>
  </conditionalFormatting>
  <conditionalFormatting sqref="O96">
    <cfRule type="containsText" dxfId="11594" priority="11881" operator="containsText" text="No se pudo ejecutar">
      <formula>NOT(ISERROR(SEARCH("No se pudo ejecutar",O96)))</formula>
    </cfRule>
    <cfRule type="containsText" dxfId="11593" priority="11882" operator="containsText" text="Pendiente">
      <formula>NOT(ISERROR(SEARCH("Pendiente",O96)))</formula>
    </cfRule>
    <cfRule type="containsText" dxfId="11592" priority="11883" operator="containsText" text="No Aplica">
      <formula>NOT(ISERROR(SEARCH("No Aplica",O96)))</formula>
    </cfRule>
    <cfRule type="containsText" dxfId="11591" priority="11884" operator="containsText" text="Fallido">
      <formula>NOT(ISERROR(SEARCH("Fallido",O96)))</formula>
    </cfRule>
    <cfRule type="containsText" dxfId="11590" priority="11885" operator="containsText" text="Éxitoso">
      <formula>NOT(ISERROR(SEARCH("Éxitoso",O96)))</formula>
    </cfRule>
  </conditionalFormatting>
  <conditionalFormatting sqref="P96">
    <cfRule type="containsText" dxfId="11589" priority="11876" operator="containsText" text="No se pudo ejecutar">
      <formula>NOT(ISERROR(SEARCH("No se pudo ejecutar",P96)))</formula>
    </cfRule>
    <cfRule type="containsText" dxfId="11588" priority="11877" operator="containsText" text="Pendiente">
      <formula>NOT(ISERROR(SEARCH("Pendiente",P96)))</formula>
    </cfRule>
    <cfRule type="containsText" dxfId="11587" priority="11878" operator="containsText" text="No Aplica">
      <formula>NOT(ISERROR(SEARCH("No Aplica",P96)))</formula>
    </cfRule>
    <cfRule type="containsText" dxfId="11586" priority="11879" operator="containsText" text="Fallido">
      <formula>NOT(ISERROR(SEARCH("Fallido",P96)))</formula>
    </cfRule>
    <cfRule type="containsText" dxfId="11585" priority="11880" operator="containsText" text="Éxitoso">
      <formula>NOT(ISERROR(SEARCH("Éxitoso",P96)))</formula>
    </cfRule>
  </conditionalFormatting>
  <conditionalFormatting sqref="Q96">
    <cfRule type="containsText" dxfId="11584" priority="11871" operator="containsText" text="No se pudo ejecutar">
      <formula>NOT(ISERROR(SEARCH("No se pudo ejecutar",Q96)))</formula>
    </cfRule>
    <cfRule type="containsText" dxfId="11583" priority="11872" operator="containsText" text="Pendiente">
      <formula>NOT(ISERROR(SEARCH("Pendiente",Q96)))</formula>
    </cfRule>
    <cfRule type="containsText" dxfId="11582" priority="11873" operator="containsText" text="No Aplica">
      <formula>NOT(ISERROR(SEARCH("No Aplica",Q96)))</formula>
    </cfRule>
    <cfRule type="containsText" dxfId="11581" priority="11874" operator="containsText" text="Fallido">
      <formula>NOT(ISERROR(SEARCH("Fallido",Q96)))</formula>
    </cfRule>
    <cfRule type="containsText" dxfId="11580" priority="11875" operator="containsText" text="Éxitoso">
      <formula>NOT(ISERROR(SEARCH("Éxitoso",Q96)))</formula>
    </cfRule>
  </conditionalFormatting>
  <conditionalFormatting sqref="R96">
    <cfRule type="containsText" dxfId="11579" priority="11866" operator="containsText" text="No se pudo ejecutar">
      <formula>NOT(ISERROR(SEARCH("No se pudo ejecutar",R96)))</formula>
    </cfRule>
    <cfRule type="containsText" dxfId="11578" priority="11867" operator="containsText" text="Pendiente">
      <formula>NOT(ISERROR(SEARCH("Pendiente",R96)))</formula>
    </cfRule>
    <cfRule type="containsText" dxfId="11577" priority="11868" operator="containsText" text="No Aplica">
      <formula>NOT(ISERROR(SEARCH("No Aplica",R96)))</formula>
    </cfRule>
    <cfRule type="containsText" dxfId="11576" priority="11869" operator="containsText" text="Fallido">
      <formula>NOT(ISERROR(SEARCH("Fallido",R96)))</formula>
    </cfRule>
    <cfRule type="containsText" dxfId="11575" priority="11870" operator="containsText" text="Éxitoso">
      <formula>NOT(ISERROR(SEARCH("Éxitoso",R96)))</formula>
    </cfRule>
  </conditionalFormatting>
  <conditionalFormatting sqref="S96">
    <cfRule type="containsText" dxfId="11574" priority="11861" operator="containsText" text="No se pudo ejecutar">
      <formula>NOT(ISERROR(SEARCH("No se pudo ejecutar",S96)))</formula>
    </cfRule>
    <cfRule type="containsText" dxfId="11573" priority="11862" operator="containsText" text="Pendiente">
      <formula>NOT(ISERROR(SEARCH("Pendiente",S96)))</formula>
    </cfRule>
    <cfRule type="containsText" dxfId="11572" priority="11863" operator="containsText" text="No Aplica">
      <formula>NOT(ISERROR(SEARCH("No Aplica",S96)))</formula>
    </cfRule>
    <cfRule type="containsText" dxfId="11571" priority="11864" operator="containsText" text="Fallido">
      <formula>NOT(ISERROR(SEARCH("Fallido",S96)))</formula>
    </cfRule>
    <cfRule type="containsText" dxfId="11570" priority="11865" operator="containsText" text="Éxitoso">
      <formula>NOT(ISERROR(SEARCH("Éxitoso",S96)))</formula>
    </cfRule>
  </conditionalFormatting>
  <conditionalFormatting sqref="T96">
    <cfRule type="containsText" dxfId="11569" priority="11856" operator="containsText" text="No se pudo ejecutar">
      <formula>NOT(ISERROR(SEARCH("No se pudo ejecutar",T96)))</formula>
    </cfRule>
    <cfRule type="containsText" dxfId="11568" priority="11857" operator="containsText" text="Pendiente">
      <formula>NOT(ISERROR(SEARCH("Pendiente",T96)))</formula>
    </cfRule>
    <cfRule type="containsText" dxfId="11567" priority="11858" operator="containsText" text="No Aplica">
      <formula>NOT(ISERROR(SEARCH("No Aplica",T96)))</formula>
    </cfRule>
    <cfRule type="containsText" dxfId="11566" priority="11859" operator="containsText" text="Fallido">
      <formula>NOT(ISERROR(SEARCH("Fallido",T96)))</formula>
    </cfRule>
    <cfRule type="containsText" dxfId="11565" priority="11860" operator="containsText" text="Éxitoso">
      <formula>NOT(ISERROR(SEARCH("Éxitoso",T96)))</formula>
    </cfRule>
  </conditionalFormatting>
  <conditionalFormatting sqref="U96">
    <cfRule type="containsText" dxfId="11564" priority="11851" operator="containsText" text="No se pudo ejecutar">
      <formula>NOT(ISERROR(SEARCH("No se pudo ejecutar",U96)))</formula>
    </cfRule>
    <cfRule type="containsText" dxfId="11563" priority="11852" operator="containsText" text="Pendiente">
      <formula>NOT(ISERROR(SEARCH("Pendiente",U96)))</formula>
    </cfRule>
    <cfRule type="containsText" dxfId="11562" priority="11853" operator="containsText" text="No Aplica">
      <formula>NOT(ISERROR(SEARCH("No Aplica",U96)))</formula>
    </cfRule>
    <cfRule type="containsText" dxfId="11561" priority="11854" operator="containsText" text="Fallido">
      <formula>NOT(ISERROR(SEARCH("Fallido",U96)))</formula>
    </cfRule>
    <cfRule type="containsText" dxfId="11560" priority="11855" operator="containsText" text="Éxitoso">
      <formula>NOT(ISERROR(SEARCH("Éxitoso",U96)))</formula>
    </cfRule>
  </conditionalFormatting>
  <conditionalFormatting sqref="V96">
    <cfRule type="containsText" dxfId="11559" priority="11846" operator="containsText" text="No se pudo ejecutar">
      <formula>NOT(ISERROR(SEARCH("No se pudo ejecutar",V96)))</formula>
    </cfRule>
    <cfRule type="containsText" dxfId="11558" priority="11847" operator="containsText" text="Pendiente">
      <formula>NOT(ISERROR(SEARCH("Pendiente",V96)))</formula>
    </cfRule>
    <cfRule type="containsText" dxfId="11557" priority="11848" operator="containsText" text="No Aplica">
      <formula>NOT(ISERROR(SEARCH("No Aplica",V96)))</formula>
    </cfRule>
    <cfRule type="containsText" dxfId="11556" priority="11849" operator="containsText" text="Fallido">
      <formula>NOT(ISERROR(SEARCH("Fallido",V96)))</formula>
    </cfRule>
    <cfRule type="containsText" dxfId="11555" priority="11850" operator="containsText" text="Éxitoso">
      <formula>NOT(ISERROR(SEARCH("Éxitoso",V96)))</formula>
    </cfRule>
  </conditionalFormatting>
  <conditionalFormatting sqref="W96">
    <cfRule type="containsText" dxfId="11554" priority="11841" operator="containsText" text="No se pudo ejecutar">
      <formula>NOT(ISERROR(SEARCH("No se pudo ejecutar",W96)))</formula>
    </cfRule>
    <cfRule type="containsText" dxfId="11553" priority="11842" operator="containsText" text="Pendiente">
      <formula>NOT(ISERROR(SEARCH("Pendiente",W96)))</formula>
    </cfRule>
    <cfRule type="containsText" dxfId="11552" priority="11843" operator="containsText" text="No Aplica">
      <formula>NOT(ISERROR(SEARCH("No Aplica",W96)))</formula>
    </cfRule>
    <cfRule type="containsText" dxfId="11551" priority="11844" operator="containsText" text="Fallido">
      <formula>NOT(ISERROR(SEARCH("Fallido",W96)))</formula>
    </cfRule>
    <cfRule type="containsText" dxfId="11550" priority="11845" operator="containsText" text="Éxitoso">
      <formula>NOT(ISERROR(SEARCH("Éxitoso",W96)))</formula>
    </cfRule>
  </conditionalFormatting>
  <conditionalFormatting sqref="M96">
    <cfRule type="containsText" dxfId="11549" priority="11836" operator="containsText" text="No se pudo ejecutar">
      <formula>NOT(ISERROR(SEARCH("No se pudo ejecutar",M96)))</formula>
    </cfRule>
    <cfRule type="containsText" dxfId="11548" priority="11837" operator="containsText" text="Pendiente">
      <formula>NOT(ISERROR(SEARCH("Pendiente",M96)))</formula>
    </cfRule>
    <cfRule type="containsText" dxfId="11547" priority="11838" operator="containsText" text="No Aplica">
      <formula>NOT(ISERROR(SEARCH("No Aplica",M96)))</formula>
    </cfRule>
    <cfRule type="containsText" dxfId="11546" priority="11839" operator="containsText" text="Fallido">
      <formula>NOT(ISERROR(SEARCH("Fallido",M96)))</formula>
    </cfRule>
    <cfRule type="containsText" dxfId="11545" priority="11840" operator="containsText" text="Éxitoso">
      <formula>NOT(ISERROR(SEARCH("Éxitoso",M96)))</formula>
    </cfRule>
  </conditionalFormatting>
  <conditionalFormatting sqref="G96">
    <cfRule type="containsText" dxfId="11544" priority="11833" operator="containsText" text="Bajo">
      <formula>NOT(ISERROR(SEARCH("Bajo",G96)))</formula>
    </cfRule>
    <cfRule type="containsText" dxfId="11543" priority="11834" operator="containsText" text="Medio">
      <formula>NOT(ISERROR(SEARCH("Medio",G96)))</formula>
    </cfRule>
    <cfRule type="containsText" dxfId="11542" priority="11835" operator="containsText" text="Alto">
      <formula>NOT(ISERROR(SEARCH("Alto",G96)))</formula>
    </cfRule>
  </conditionalFormatting>
  <conditionalFormatting sqref="N97">
    <cfRule type="containsText" dxfId="11541" priority="11828" operator="containsText" text="No se pudo ejecutar">
      <formula>NOT(ISERROR(SEARCH("No se pudo ejecutar",N97)))</formula>
    </cfRule>
    <cfRule type="containsText" dxfId="11540" priority="11829" operator="containsText" text="Pendiente">
      <formula>NOT(ISERROR(SEARCH("Pendiente",N97)))</formula>
    </cfRule>
    <cfRule type="containsText" dxfId="11539" priority="11830" operator="containsText" text="No Aplica">
      <formula>NOT(ISERROR(SEARCH("No Aplica",N97)))</formula>
    </cfRule>
    <cfRule type="containsText" dxfId="11538" priority="11831" operator="containsText" text="Fallido">
      <formula>NOT(ISERROR(SEARCH("Fallido",N97)))</formula>
    </cfRule>
    <cfRule type="containsText" dxfId="11537" priority="11832" operator="containsText" text="Éxitoso">
      <formula>NOT(ISERROR(SEARCH("Éxitoso",N97)))</formula>
    </cfRule>
  </conditionalFormatting>
  <conditionalFormatting sqref="O97">
    <cfRule type="containsText" dxfId="11536" priority="11823" operator="containsText" text="No se pudo ejecutar">
      <formula>NOT(ISERROR(SEARCH("No se pudo ejecutar",O97)))</formula>
    </cfRule>
    <cfRule type="containsText" dxfId="11535" priority="11824" operator="containsText" text="Pendiente">
      <formula>NOT(ISERROR(SEARCH("Pendiente",O97)))</formula>
    </cfRule>
    <cfRule type="containsText" dxfId="11534" priority="11825" operator="containsText" text="No Aplica">
      <formula>NOT(ISERROR(SEARCH("No Aplica",O97)))</formula>
    </cfRule>
    <cfRule type="containsText" dxfId="11533" priority="11826" operator="containsText" text="Fallido">
      <formula>NOT(ISERROR(SEARCH("Fallido",O97)))</formula>
    </cfRule>
    <cfRule type="containsText" dxfId="11532" priority="11827" operator="containsText" text="Éxitoso">
      <formula>NOT(ISERROR(SEARCH("Éxitoso",O97)))</formula>
    </cfRule>
  </conditionalFormatting>
  <conditionalFormatting sqref="P97">
    <cfRule type="containsText" dxfId="11531" priority="11818" operator="containsText" text="No se pudo ejecutar">
      <formula>NOT(ISERROR(SEARCH("No se pudo ejecutar",P97)))</formula>
    </cfRule>
    <cfRule type="containsText" dxfId="11530" priority="11819" operator="containsText" text="Pendiente">
      <formula>NOT(ISERROR(SEARCH("Pendiente",P97)))</formula>
    </cfRule>
    <cfRule type="containsText" dxfId="11529" priority="11820" operator="containsText" text="No Aplica">
      <formula>NOT(ISERROR(SEARCH("No Aplica",P97)))</formula>
    </cfRule>
    <cfRule type="containsText" dxfId="11528" priority="11821" operator="containsText" text="Fallido">
      <formula>NOT(ISERROR(SEARCH("Fallido",P97)))</formula>
    </cfRule>
    <cfRule type="containsText" dxfId="11527" priority="11822" operator="containsText" text="Éxitoso">
      <formula>NOT(ISERROR(SEARCH("Éxitoso",P97)))</formula>
    </cfRule>
  </conditionalFormatting>
  <conditionalFormatting sqref="Q97">
    <cfRule type="containsText" dxfId="11526" priority="11813" operator="containsText" text="No se pudo ejecutar">
      <formula>NOT(ISERROR(SEARCH("No se pudo ejecutar",Q97)))</formula>
    </cfRule>
    <cfRule type="containsText" dxfId="11525" priority="11814" operator="containsText" text="Pendiente">
      <formula>NOT(ISERROR(SEARCH("Pendiente",Q97)))</formula>
    </cfRule>
    <cfRule type="containsText" dxfId="11524" priority="11815" operator="containsText" text="No Aplica">
      <formula>NOT(ISERROR(SEARCH("No Aplica",Q97)))</formula>
    </cfRule>
    <cfRule type="containsText" dxfId="11523" priority="11816" operator="containsText" text="Fallido">
      <formula>NOT(ISERROR(SEARCH("Fallido",Q97)))</formula>
    </cfRule>
    <cfRule type="containsText" dxfId="11522" priority="11817" operator="containsText" text="Éxitoso">
      <formula>NOT(ISERROR(SEARCH("Éxitoso",Q97)))</formula>
    </cfRule>
  </conditionalFormatting>
  <conditionalFormatting sqref="R97">
    <cfRule type="containsText" dxfId="11521" priority="11808" operator="containsText" text="No se pudo ejecutar">
      <formula>NOT(ISERROR(SEARCH("No se pudo ejecutar",R97)))</formula>
    </cfRule>
    <cfRule type="containsText" dxfId="11520" priority="11809" operator="containsText" text="Pendiente">
      <formula>NOT(ISERROR(SEARCH("Pendiente",R97)))</formula>
    </cfRule>
    <cfRule type="containsText" dxfId="11519" priority="11810" operator="containsText" text="No Aplica">
      <formula>NOT(ISERROR(SEARCH("No Aplica",R97)))</formula>
    </cfRule>
    <cfRule type="containsText" dxfId="11518" priority="11811" operator="containsText" text="Fallido">
      <formula>NOT(ISERROR(SEARCH("Fallido",R97)))</formula>
    </cfRule>
    <cfRule type="containsText" dxfId="11517" priority="11812" operator="containsText" text="Éxitoso">
      <formula>NOT(ISERROR(SEARCH("Éxitoso",R97)))</formula>
    </cfRule>
  </conditionalFormatting>
  <conditionalFormatting sqref="S97">
    <cfRule type="containsText" dxfId="11516" priority="11803" operator="containsText" text="No se pudo ejecutar">
      <formula>NOT(ISERROR(SEARCH("No se pudo ejecutar",S97)))</formula>
    </cfRule>
    <cfRule type="containsText" dxfId="11515" priority="11804" operator="containsText" text="Pendiente">
      <formula>NOT(ISERROR(SEARCH("Pendiente",S97)))</formula>
    </cfRule>
    <cfRule type="containsText" dxfId="11514" priority="11805" operator="containsText" text="No Aplica">
      <formula>NOT(ISERROR(SEARCH("No Aplica",S97)))</formula>
    </cfRule>
    <cfRule type="containsText" dxfId="11513" priority="11806" operator="containsText" text="Fallido">
      <formula>NOT(ISERROR(SEARCH("Fallido",S97)))</formula>
    </cfRule>
    <cfRule type="containsText" dxfId="11512" priority="11807" operator="containsText" text="Éxitoso">
      <formula>NOT(ISERROR(SEARCH("Éxitoso",S97)))</formula>
    </cfRule>
  </conditionalFormatting>
  <conditionalFormatting sqref="T97">
    <cfRule type="containsText" dxfId="11511" priority="11798" operator="containsText" text="No se pudo ejecutar">
      <formula>NOT(ISERROR(SEARCH("No se pudo ejecutar",T97)))</formula>
    </cfRule>
    <cfRule type="containsText" dxfId="11510" priority="11799" operator="containsText" text="Pendiente">
      <formula>NOT(ISERROR(SEARCH("Pendiente",T97)))</formula>
    </cfRule>
    <cfRule type="containsText" dxfId="11509" priority="11800" operator="containsText" text="No Aplica">
      <formula>NOT(ISERROR(SEARCH("No Aplica",T97)))</formula>
    </cfRule>
    <cfRule type="containsText" dxfId="11508" priority="11801" operator="containsText" text="Fallido">
      <formula>NOT(ISERROR(SEARCH("Fallido",T97)))</formula>
    </cfRule>
    <cfRule type="containsText" dxfId="11507" priority="11802" operator="containsText" text="Éxitoso">
      <formula>NOT(ISERROR(SEARCH("Éxitoso",T97)))</formula>
    </cfRule>
  </conditionalFormatting>
  <conditionalFormatting sqref="U97">
    <cfRule type="containsText" dxfId="11506" priority="11793" operator="containsText" text="No se pudo ejecutar">
      <formula>NOT(ISERROR(SEARCH("No se pudo ejecutar",U97)))</formula>
    </cfRule>
    <cfRule type="containsText" dxfId="11505" priority="11794" operator="containsText" text="Pendiente">
      <formula>NOT(ISERROR(SEARCH("Pendiente",U97)))</formula>
    </cfRule>
    <cfRule type="containsText" dxfId="11504" priority="11795" operator="containsText" text="No Aplica">
      <formula>NOT(ISERROR(SEARCH("No Aplica",U97)))</formula>
    </cfRule>
    <cfRule type="containsText" dxfId="11503" priority="11796" operator="containsText" text="Fallido">
      <formula>NOT(ISERROR(SEARCH("Fallido",U97)))</formula>
    </cfRule>
    <cfRule type="containsText" dxfId="11502" priority="11797" operator="containsText" text="Éxitoso">
      <formula>NOT(ISERROR(SEARCH("Éxitoso",U97)))</formula>
    </cfRule>
  </conditionalFormatting>
  <conditionalFormatting sqref="V97">
    <cfRule type="containsText" dxfId="11501" priority="11788" operator="containsText" text="No se pudo ejecutar">
      <formula>NOT(ISERROR(SEARCH("No se pudo ejecutar",V97)))</formula>
    </cfRule>
    <cfRule type="containsText" dxfId="11500" priority="11789" operator="containsText" text="Pendiente">
      <formula>NOT(ISERROR(SEARCH("Pendiente",V97)))</formula>
    </cfRule>
    <cfRule type="containsText" dxfId="11499" priority="11790" operator="containsText" text="No Aplica">
      <formula>NOT(ISERROR(SEARCH("No Aplica",V97)))</formula>
    </cfRule>
    <cfRule type="containsText" dxfId="11498" priority="11791" operator="containsText" text="Fallido">
      <formula>NOT(ISERROR(SEARCH("Fallido",V97)))</formula>
    </cfRule>
    <cfRule type="containsText" dxfId="11497" priority="11792" operator="containsText" text="Éxitoso">
      <formula>NOT(ISERROR(SEARCH("Éxitoso",V97)))</formula>
    </cfRule>
  </conditionalFormatting>
  <conditionalFormatting sqref="W97">
    <cfRule type="containsText" dxfId="11496" priority="11783" operator="containsText" text="No se pudo ejecutar">
      <formula>NOT(ISERROR(SEARCH("No se pudo ejecutar",W97)))</formula>
    </cfRule>
    <cfRule type="containsText" dxfId="11495" priority="11784" operator="containsText" text="Pendiente">
      <formula>NOT(ISERROR(SEARCH("Pendiente",W97)))</formula>
    </cfRule>
    <cfRule type="containsText" dxfId="11494" priority="11785" operator="containsText" text="No Aplica">
      <formula>NOT(ISERROR(SEARCH("No Aplica",W97)))</formula>
    </cfRule>
    <cfRule type="containsText" dxfId="11493" priority="11786" operator="containsText" text="Fallido">
      <formula>NOT(ISERROR(SEARCH("Fallido",W97)))</formula>
    </cfRule>
    <cfRule type="containsText" dxfId="11492" priority="11787" operator="containsText" text="Éxitoso">
      <formula>NOT(ISERROR(SEARCH("Éxitoso",W97)))</formula>
    </cfRule>
  </conditionalFormatting>
  <conditionalFormatting sqref="M97">
    <cfRule type="containsText" dxfId="11491" priority="11778" operator="containsText" text="No se pudo ejecutar">
      <formula>NOT(ISERROR(SEARCH("No se pudo ejecutar",M97)))</formula>
    </cfRule>
    <cfRule type="containsText" dxfId="11490" priority="11779" operator="containsText" text="Pendiente">
      <formula>NOT(ISERROR(SEARCH("Pendiente",M97)))</formula>
    </cfRule>
    <cfRule type="containsText" dxfId="11489" priority="11780" operator="containsText" text="No Aplica">
      <formula>NOT(ISERROR(SEARCH("No Aplica",M97)))</formula>
    </cfRule>
    <cfRule type="containsText" dxfId="11488" priority="11781" operator="containsText" text="Fallido">
      <formula>NOT(ISERROR(SEARCH("Fallido",M97)))</formula>
    </cfRule>
    <cfRule type="containsText" dxfId="11487" priority="11782" operator="containsText" text="Éxitoso">
      <formula>NOT(ISERROR(SEARCH("Éxitoso",M97)))</formula>
    </cfRule>
  </conditionalFormatting>
  <conditionalFormatting sqref="G97">
    <cfRule type="containsText" dxfId="11486" priority="11775" operator="containsText" text="Bajo">
      <formula>NOT(ISERROR(SEARCH("Bajo",G97)))</formula>
    </cfRule>
    <cfRule type="containsText" dxfId="11485" priority="11776" operator="containsText" text="Medio">
      <formula>NOT(ISERROR(SEARCH("Medio",G97)))</formula>
    </cfRule>
    <cfRule type="containsText" dxfId="11484" priority="11777" operator="containsText" text="Alto">
      <formula>NOT(ISERROR(SEARCH("Alto",G97)))</formula>
    </cfRule>
  </conditionalFormatting>
  <conditionalFormatting sqref="N98">
    <cfRule type="containsText" dxfId="11483" priority="11770" operator="containsText" text="No se pudo ejecutar">
      <formula>NOT(ISERROR(SEARCH("No se pudo ejecutar",N98)))</formula>
    </cfRule>
    <cfRule type="containsText" dxfId="11482" priority="11771" operator="containsText" text="Pendiente">
      <formula>NOT(ISERROR(SEARCH("Pendiente",N98)))</formula>
    </cfRule>
    <cfRule type="containsText" dxfId="11481" priority="11772" operator="containsText" text="No Aplica">
      <formula>NOT(ISERROR(SEARCH("No Aplica",N98)))</formula>
    </cfRule>
    <cfRule type="containsText" dxfId="11480" priority="11773" operator="containsText" text="Fallido">
      <formula>NOT(ISERROR(SEARCH("Fallido",N98)))</formula>
    </cfRule>
    <cfRule type="containsText" dxfId="11479" priority="11774" operator="containsText" text="Éxitoso">
      <formula>NOT(ISERROR(SEARCH("Éxitoso",N98)))</formula>
    </cfRule>
  </conditionalFormatting>
  <conditionalFormatting sqref="O98">
    <cfRule type="containsText" dxfId="11478" priority="11765" operator="containsText" text="No se pudo ejecutar">
      <formula>NOT(ISERROR(SEARCH("No se pudo ejecutar",O98)))</formula>
    </cfRule>
    <cfRule type="containsText" dxfId="11477" priority="11766" operator="containsText" text="Pendiente">
      <formula>NOT(ISERROR(SEARCH("Pendiente",O98)))</formula>
    </cfRule>
    <cfRule type="containsText" dxfId="11476" priority="11767" operator="containsText" text="No Aplica">
      <formula>NOT(ISERROR(SEARCH("No Aplica",O98)))</formula>
    </cfRule>
    <cfRule type="containsText" dxfId="11475" priority="11768" operator="containsText" text="Fallido">
      <formula>NOT(ISERROR(SEARCH("Fallido",O98)))</formula>
    </cfRule>
    <cfRule type="containsText" dxfId="11474" priority="11769" operator="containsText" text="Éxitoso">
      <formula>NOT(ISERROR(SEARCH("Éxitoso",O98)))</formula>
    </cfRule>
  </conditionalFormatting>
  <conditionalFormatting sqref="P98">
    <cfRule type="containsText" dxfId="11473" priority="11760" operator="containsText" text="No se pudo ejecutar">
      <formula>NOT(ISERROR(SEARCH("No se pudo ejecutar",P98)))</formula>
    </cfRule>
    <cfRule type="containsText" dxfId="11472" priority="11761" operator="containsText" text="Pendiente">
      <formula>NOT(ISERROR(SEARCH("Pendiente",P98)))</formula>
    </cfRule>
    <cfRule type="containsText" dxfId="11471" priority="11762" operator="containsText" text="No Aplica">
      <formula>NOT(ISERROR(SEARCH("No Aplica",P98)))</formula>
    </cfRule>
    <cfRule type="containsText" dxfId="11470" priority="11763" operator="containsText" text="Fallido">
      <formula>NOT(ISERROR(SEARCH("Fallido",P98)))</formula>
    </cfRule>
    <cfRule type="containsText" dxfId="11469" priority="11764" operator="containsText" text="Éxitoso">
      <formula>NOT(ISERROR(SEARCH("Éxitoso",P98)))</formula>
    </cfRule>
  </conditionalFormatting>
  <conditionalFormatting sqref="Q98">
    <cfRule type="containsText" dxfId="11468" priority="11755" operator="containsText" text="No se pudo ejecutar">
      <formula>NOT(ISERROR(SEARCH("No se pudo ejecutar",Q98)))</formula>
    </cfRule>
    <cfRule type="containsText" dxfId="11467" priority="11756" operator="containsText" text="Pendiente">
      <formula>NOT(ISERROR(SEARCH("Pendiente",Q98)))</formula>
    </cfRule>
    <cfRule type="containsText" dxfId="11466" priority="11757" operator="containsText" text="No Aplica">
      <formula>NOT(ISERROR(SEARCH("No Aplica",Q98)))</formula>
    </cfRule>
    <cfRule type="containsText" dxfId="11465" priority="11758" operator="containsText" text="Fallido">
      <formula>NOT(ISERROR(SEARCH("Fallido",Q98)))</formula>
    </cfRule>
    <cfRule type="containsText" dxfId="11464" priority="11759" operator="containsText" text="Éxitoso">
      <formula>NOT(ISERROR(SEARCH("Éxitoso",Q98)))</formula>
    </cfRule>
  </conditionalFormatting>
  <conditionalFormatting sqref="R98">
    <cfRule type="containsText" dxfId="11463" priority="11750" operator="containsText" text="No se pudo ejecutar">
      <formula>NOT(ISERROR(SEARCH("No se pudo ejecutar",R98)))</formula>
    </cfRule>
    <cfRule type="containsText" dxfId="11462" priority="11751" operator="containsText" text="Pendiente">
      <formula>NOT(ISERROR(SEARCH("Pendiente",R98)))</formula>
    </cfRule>
    <cfRule type="containsText" dxfId="11461" priority="11752" operator="containsText" text="No Aplica">
      <formula>NOT(ISERROR(SEARCH("No Aplica",R98)))</formula>
    </cfRule>
    <cfRule type="containsText" dxfId="11460" priority="11753" operator="containsText" text="Fallido">
      <formula>NOT(ISERROR(SEARCH("Fallido",R98)))</formula>
    </cfRule>
    <cfRule type="containsText" dxfId="11459" priority="11754" operator="containsText" text="Éxitoso">
      <formula>NOT(ISERROR(SEARCH("Éxitoso",R98)))</formula>
    </cfRule>
  </conditionalFormatting>
  <conditionalFormatting sqref="S98">
    <cfRule type="containsText" dxfId="11458" priority="11745" operator="containsText" text="No se pudo ejecutar">
      <formula>NOT(ISERROR(SEARCH("No se pudo ejecutar",S98)))</formula>
    </cfRule>
    <cfRule type="containsText" dxfId="11457" priority="11746" operator="containsText" text="Pendiente">
      <formula>NOT(ISERROR(SEARCH("Pendiente",S98)))</formula>
    </cfRule>
    <cfRule type="containsText" dxfId="11456" priority="11747" operator="containsText" text="No Aplica">
      <formula>NOT(ISERROR(SEARCH("No Aplica",S98)))</formula>
    </cfRule>
    <cfRule type="containsText" dxfId="11455" priority="11748" operator="containsText" text="Fallido">
      <formula>NOT(ISERROR(SEARCH("Fallido",S98)))</formula>
    </cfRule>
    <cfRule type="containsText" dxfId="11454" priority="11749" operator="containsText" text="Éxitoso">
      <formula>NOT(ISERROR(SEARCH("Éxitoso",S98)))</formula>
    </cfRule>
  </conditionalFormatting>
  <conditionalFormatting sqref="T98">
    <cfRule type="containsText" dxfId="11453" priority="11740" operator="containsText" text="No se pudo ejecutar">
      <formula>NOT(ISERROR(SEARCH("No se pudo ejecutar",T98)))</formula>
    </cfRule>
    <cfRule type="containsText" dxfId="11452" priority="11741" operator="containsText" text="Pendiente">
      <formula>NOT(ISERROR(SEARCH("Pendiente",T98)))</formula>
    </cfRule>
    <cfRule type="containsText" dxfId="11451" priority="11742" operator="containsText" text="No Aplica">
      <formula>NOT(ISERROR(SEARCH("No Aplica",T98)))</formula>
    </cfRule>
    <cfRule type="containsText" dxfId="11450" priority="11743" operator="containsText" text="Fallido">
      <formula>NOT(ISERROR(SEARCH("Fallido",T98)))</formula>
    </cfRule>
    <cfRule type="containsText" dxfId="11449" priority="11744" operator="containsText" text="Éxitoso">
      <formula>NOT(ISERROR(SEARCH("Éxitoso",T98)))</formula>
    </cfRule>
  </conditionalFormatting>
  <conditionalFormatting sqref="U98">
    <cfRule type="containsText" dxfId="11448" priority="11735" operator="containsText" text="No se pudo ejecutar">
      <formula>NOT(ISERROR(SEARCH("No se pudo ejecutar",U98)))</formula>
    </cfRule>
    <cfRule type="containsText" dxfId="11447" priority="11736" operator="containsText" text="Pendiente">
      <formula>NOT(ISERROR(SEARCH("Pendiente",U98)))</formula>
    </cfRule>
    <cfRule type="containsText" dxfId="11446" priority="11737" operator="containsText" text="No Aplica">
      <formula>NOT(ISERROR(SEARCH("No Aplica",U98)))</formula>
    </cfRule>
    <cfRule type="containsText" dxfId="11445" priority="11738" operator="containsText" text="Fallido">
      <formula>NOT(ISERROR(SEARCH("Fallido",U98)))</formula>
    </cfRule>
    <cfRule type="containsText" dxfId="11444" priority="11739" operator="containsText" text="Éxitoso">
      <formula>NOT(ISERROR(SEARCH("Éxitoso",U98)))</formula>
    </cfRule>
  </conditionalFormatting>
  <conditionalFormatting sqref="V98">
    <cfRule type="containsText" dxfId="11443" priority="11730" operator="containsText" text="No se pudo ejecutar">
      <formula>NOT(ISERROR(SEARCH("No se pudo ejecutar",V98)))</formula>
    </cfRule>
    <cfRule type="containsText" dxfId="11442" priority="11731" operator="containsText" text="Pendiente">
      <formula>NOT(ISERROR(SEARCH("Pendiente",V98)))</formula>
    </cfRule>
    <cfRule type="containsText" dxfId="11441" priority="11732" operator="containsText" text="No Aplica">
      <formula>NOT(ISERROR(SEARCH("No Aplica",V98)))</formula>
    </cfRule>
    <cfRule type="containsText" dxfId="11440" priority="11733" operator="containsText" text="Fallido">
      <formula>NOT(ISERROR(SEARCH("Fallido",V98)))</formula>
    </cfRule>
    <cfRule type="containsText" dxfId="11439" priority="11734" operator="containsText" text="Éxitoso">
      <formula>NOT(ISERROR(SEARCH("Éxitoso",V98)))</formula>
    </cfRule>
  </conditionalFormatting>
  <conditionalFormatting sqref="W98">
    <cfRule type="containsText" dxfId="11438" priority="11725" operator="containsText" text="No se pudo ejecutar">
      <formula>NOT(ISERROR(SEARCH("No se pudo ejecutar",W98)))</formula>
    </cfRule>
    <cfRule type="containsText" dxfId="11437" priority="11726" operator="containsText" text="Pendiente">
      <formula>NOT(ISERROR(SEARCH("Pendiente",W98)))</formula>
    </cfRule>
    <cfRule type="containsText" dxfId="11436" priority="11727" operator="containsText" text="No Aplica">
      <formula>NOT(ISERROR(SEARCH("No Aplica",W98)))</formula>
    </cfRule>
    <cfRule type="containsText" dxfId="11435" priority="11728" operator="containsText" text="Fallido">
      <formula>NOT(ISERROR(SEARCH("Fallido",W98)))</formula>
    </cfRule>
    <cfRule type="containsText" dxfId="11434" priority="11729" operator="containsText" text="Éxitoso">
      <formula>NOT(ISERROR(SEARCH("Éxitoso",W98)))</formula>
    </cfRule>
  </conditionalFormatting>
  <conditionalFormatting sqref="M98">
    <cfRule type="containsText" dxfId="11433" priority="11720" operator="containsText" text="No se pudo ejecutar">
      <formula>NOT(ISERROR(SEARCH("No se pudo ejecutar",M98)))</formula>
    </cfRule>
    <cfRule type="containsText" dxfId="11432" priority="11721" operator="containsText" text="Pendiente">
      <formula>NOT(ISERROR(SEARCH("Pendiente",M98)))</formula>
    </cfRule>
    <cfRule type="containsText" dxfId="11431" priority="11722" operator="containsText" text="No Aplica">
      <formula>NOT(ISERROR(SEARCH("No Aplica",M98)))</formula>
    </cfRule>
    <cfRule type="containsText" dxfId="11430" priority="11723" operator="containsText" text="Fallido">
      <formula>NOT(ISERROR(SEARCH("Fallido",M98)))</formula>
    </cfRule>
    <cfRule type="containsText" dxfId="11429" priority="11724" operator="containsText" text="Éxitoso">
      <formula>NOT(ISERROR(SEARCH("Éxitoso",M98)))</formula>
    </cfRule>
  </conditionalFormatting>
  <conditionalFormatting sqref="G98">
    <cfRule type="containsText" dxfId="11428" priority="11717" operator="containsText" text="Bajo">
      <formula>NOT(ISERROR(SEARCH("Bajo",G98)))</formula>
    </cfRule>
    <cfRule type="containsText" dxfId="11427" priority="11718" operator="containsText" text="Medio">
      <formula>NOT(ISERROR(SEARCH("Medio",G98)))</formula>
    </cfRule>
    <cfRule type="containsText" dxfId="11426" priority="11719" operator="containsText" text="Alto">
      <formula>NOT(ISERROR(SEARCH("Alto",G98)))</formula>
    </cfRule>
  </conditionalFormatting>
  <conditionalFormatting sqref="N99">
    <cfRule type="containsText" dxfId="11425" priority="11712" operator="containsText" text="No se pudo ejecutar">
      <formula>NOT(ISERROR(SEARCH("No se pudo ejecutar",N99)))</formula>
    </cfRule>
    <cfRule type="containsText" dxfId="11424" priority="11713" operator="containsText" text="Pendiente">
      <formula>NOT(ISERROR(SEARCH("Pendiente",N99)))</formula>
    </cfRule>
    <cfRule type="containsText" dxfId="11423" priority="11714" operator="containsText" text="No Aplica">
      <formula>NOT(ISERROR(SEARCH("No Aplica",N99)))</formula>
    </cfRule>
    <cfRule type="containsText" dxfId="11422" priority="11715" operator="containsText" text="Fallido">
      <formula>NOT(ISERROR(SEARCH("Fallido",N99)))</formula>
    </cfRule>
    <cfRule type="containsText" dxfId="11421" priority="11716" operator="containsText" text="Éxitoso">
      <formula>NOT(ISERROR(SEARCH("Éxitoso",N99)))</formula>
    </cfRule>
  </conditionalFormatting>
  <conditionalFormatting sqref="O99">
    <cfRule type="containsText" dxfId="11420" priority="11707" operator="containsText" text="No se pudo ejecutar">
      <formula>NOT(ISERROR(SEARCH("No se pudo ejecutar",O99)))</formula>
    </cfRule>
    <cfRule type="containsText" dxfId="11419" priority="11708" operator="containsText" text="Pendiente">
      <formula>NOT(ISERROR(SEARCH("Pendiente",O99)))</formula>
    </cfRule>
    <cfRule type="containsText" dxfId="11418" priority="11709" operator="containsText" text="No Aplica">
      <formula>NOT(ISERROR(SEARCH("No Aplica",O99)))</formula>
    </cfRule>
    <cfRule type="containsText" dxfId="11417" priority="11710" operator="containsText" text="Fallido">
      <formula>NOT(ISERROR(SEARCH("Fallido",O99)))</formula>
    </cfRule>
    <cfRule type="containsText" dxfId="11416" priority="11711" operator="containsText" text="Éxitoso">
      <formula>NOT(ISERROR(SEARCH("Éxitoso",O99)))</formula>
    </cfRule>
  </conditionalFormatting>
  <conditionalFormatting sqref="P99">
    <cfRule type="containsText" dxfId="11415" priority="11702" operator="containsText" text="No se pudo ejecutar">
      <formula>NOT(ISERROR(SEARCH("No se pudo ejecutar",P99)))</formula>
    </cfRule>
    <cfRule type="containsText" dxfId="11414" priority="11703" operator="containsText" text="Pendiente">
      <formula>NOT(ISERROR(SEARCH("Pendiente",P99)))</formula>
    </cfRule>
    <cfRule type="containsText" dxfId="11413" priority="11704" operator="containsText" text="No Aplica">
      <formula>NOT(ISERROR(SEARCH("No Aplica",P99)))</formula>
    </cfRule>
    <cfRule type="containsText" dxfId="11412" priority="11705" operator="containsText" text="Fallido">
      <formula>NOT(ISERROR(SEARCH("Fallido",P99)))</formula>
    </cfRule>
    <cfRule type="containsText" dxfId="11411" priority="11706" operator="containsText" text="Éxitoso">
      <formula>NOT(ISERROR(SEARCH("Éxitoso",P99)))</formula>
    </cfRule>
  </conditionalFormatting>
  <conditionalFormatting sqref="Q99">
    <cfRule type="containsText" dxfId="11410" priority="11697" operator="containsText" text="No se pudo ejecutar">
      <formula>NOT(ISERROR(SEARCH("No se pudo ejecutar",Q99)))</formula>
    </cfRule>
    <cfRule type="containsText" dxfId="11409" priority="11698" operator="containsText" text="Pendiente">
      <formula>NOT(ISERROR(SEARCH("Pendiente",Q99)))</formula>
    </cfRule>
    <cfRule type="containsText" dxfId="11408" priority="11699" operator="containsText" text="No Aplica">
      <formula>NOT(ISERROR(SEARCH("No Aplica",Q99)))</formula>
    </cfRule>
    <cfRule type="containsText" dxfId="11407" priority="11700" operator="containsText" text="Fallido">
      <formula>NOT(ISERROR(SEARCH("Fallido",Q99)))</formula>
    </cfRule>
    <cfRule type="containsText" dxfId="11406" priority="11701" operator="containsText" text="Éxitoso">
      <formula>NOT(ISERROR(SEARCH("Éxitoso",Q99)))</formula>
    </cfRule>
  </conditionalFormatting>
  <conditionalFormatting sqref="R99">
    <cfRule type="containsText" dxfId="11405" priority="11692" operator="containsText" text="No se pudo ejecutar">
      <formula>NOT(ISERROR(SEARCH("No se pudo ejecutar",R99)))</formula>
    </cfRule>
    <cfRule type="containsText" dxfId="11404" priority="11693" operator="containsText" text="Pendiente">
      <formula>NOT(ISERROR(SEARCH("Pendiente",R99)))</formula>
    </cfRule>
    <cfRule type="containsText" dxfId="11403" priority="11694" operator="containsText" text="No Aplica">
      <formula>NOT(ISERROR(SEARCH("No Aplica",R99)))</formula>
    </cfRule>
    <cfRule type="containsText" dxfId="11402" priority="11695" operator="containsText" text="Fallido">
      <formula>NOT(ISERROR(SEARCH("Fallido",R99)))</formula>
    </cfRule>
    <cfRule type="containsText" dxfId="11401" priority="11696" operator="containsText" text="Éxitoso">
      <formula>NOT(ISERROR(SEARCH("Éxitoso",R99)))</formula>
    </cfRule>
  </conditionalFormatting>
  <conditionalFormatting sqref="S99">
    <cfRule type="containsText" dxfId="11400" priority="11687" operator="containsText" text="No se pudo ejecutar">
      <formula>NOT(ISERROR(SEARCH("No se pudo ejecutar",S99)))</formula>
    </cfRule>
    <cfRule type="containsText" dxfId="11399" priority="11688" operator="containsText" text="Pendiente">
      <formula>NOT(ISERROR(SEARCH("Pendiente",S99)))</formula>
    </cfRule>
    <cfRule type="containsText" dxfId="11398" priority="11689" operator="containsText" text="No Aplica">
      <formula>NOT(ISERROR(SEARCH("No Aplica",S99)))</formula>
    </cfRule>
    <cfRule type="containsText" dxfId="11397" priority="11690" operator="containsText" text="Fallido">
      <formula>NOT(ISERROR(SEARCH("Fallido",S99)))</formula>
    </cfRule>
    <cfRule type="containsText" dxfId="11396" priority="11691" operator="containsText" text="Éxitoso">
      <formula>NOT(ISERROR(SEARCH("Éxitoso",S99)))</formula>
    </cfRule>
  </conditionalFormatting>
  <conditionalFormatting sqref="T99">
    <cfRule type="containsText" dxfId="11395" priority="11682" operator="containsText" text="No se pudo ejecutar">
      <formula>NOT(ISERROR(SEARCH("No se pudo ejecutar",T99)))</formula>
    </cfRule>
    <cfRule type="containsText" dxfId="11394" priority="11683" operator="containsText" text="Pendiente">
      <formula>NOT(ISERROR(SEARCH("Pendiente",T99)))</formula>
    </cfRule>
    <cfRule type="containsText" dxfId="11393" priority="11684" operator="containsText" text="No Aplica">
      <formula>NOT(ISERROR(SEARCH("No Aplica",T99)))</formula>
    </cfRule>
    <cfRule type="containsText" dxfId="11392" priority="11685" operator="containsText" text="Fallido">
      <formula>NOT(ISERROR(SEARCH("Fallido",T99)))</formula>
    </cfRule>
    <cfRule type="containsText" dxfId="11391" priority="11686" operator="containsText" text="Éxitoso">
      <formula>NOT(ISERROR(SEARCH("Éxitoso",T99)))</formula>
    </cfRule>
  </conditionalFormatting>
  <conditionalFormatting sqref="U99">
    <cfRule type="containsText" dxfId="11390" priority="11677" operator="containsText" text="No se pudo ejecutar">
      <formula>NOT(ISERROR(SEARCH("No se pudo ejecutar",U99)))</formula>
    </cfRule>
    <cfRule type="containsText" dxfId="11389" priority="11678" operator="containsText" text="Pendiente">
      <formula>NOT(ISERROR(SEARCH("Pendiente",U99)))</formula>
    </cfRule>
    <cfRule type="containsText" dxfId="11388" priority="11679" operator="containsText" text="No Aplica">
      <formula>NOT(ISERROR(SEARCH("No Aplica",U99)))</formula>
    </cfRule>
    <cfRule type="containsText" dxfId="11387" priority="11680" operator="containsText" text="Fallido">
      <formula>NOT(ISERROR(SEARCH("Fallido",U99)))</formula>
    </cfRule>
    <cfRule type="containsText" dxfId="11386" priority="11681" operator="containsText" text="Éxitoso">
      <formula>NOT(ISERROR(SEARCH("Éxitoso",U99)))</formula>
    </cfRule>
  </conditionalFormatting>
  <conditionalFormatting sqref="V99">
    <cfRule type="containsText" dxfId="11385" priority="11672" operator="containsText" text="No se pudo ejecutar">
      <formula>NOT(ISERROR(SEARCH("No se pudo ejecutar",V99)))</formula>
    </cfRule>
    <cfRule type="containsText" dxfId="11384" priority="11673" operator="containsText" text="Pendiente">
      <formula>NOT(ISERROR(SEARCH("Pendiente",V99)))</formula>
    </cfRule>
    <cfRule type="containsText" dxfId="11383" priority="11674" operator="containsText" text="No Aplica">
      <formula>NOT(ISERROR(SEARCH("No Aplica",V99)))</formula>
    </cfRule>
    <cfRule type="containsText" dxfId="11382" priority="11675" operator="containsText" text="Fallido">
      <formula>NOT(ISERROR(SEARCH("Fallido",V99)))</formula>
    </cfRule>
    <cfRule type="containsText" dxfId="11381" priority="11676" operator="containsText" text="Éxitoso">
      <formula>NOT(ISERROR(SEARCH("Éxitoso",V99)))</formula>
    </cfRule>
  </conditionalFormatting>
  <conditionalFormatting sqref="W99">
    <cfRule type="containsText" dxfId="11380" priority="11667" operator="containsText" text="No se pudo ejecutar">
      <formula>NOT(ISERROR(SEARCH("No se pudo ejecutar",W99)))</formula>
    </cfRule>
    <cfRule type="containsText" dxfId="11379" priority="11668" operator="containsText" text="Pendiente">
      <formula>NOT(ISERROR(SEARCH("Pendiente",W99)))</formula>
    </cfRule>
    <cfRule type="containsText" dxfId="11378" priority="11669" operator="containsText" text="No Aplica">
      <formula>NOT(ISERROR(SEARCH("No Aplica",W99)))</formula>
    </cfRule>
    <cfRule type="containsText" dxfId="11377" priority="11670" operator="containsText" text="Fallido">
      <formula>NOT(ISERROR(SEARCH("Fallido",W99)))</formula>
    </cfRule>
    <cfRule type="containsText" dxfId="11376" priority="11671" operator="containsText" text="Éxitoso">
      <formula>NOT(ISERROR(SEARCH("Éxitoso",W99)))</formula>
    </cfRule>
  </conditionalFormatting>
  <conditionalFormatting sqref="M99">
    <cfRule type="containsText" dxfId="11375" priority="11662" operator="containsText" text="No se pudo ejecutar">
      <formula>NOT(ISERROR(SEARCH("No se pudo ejecutar",M99)))</formula>
    </cfRule>
    <cfRule type="containsText" dxfId="11374" priority="11663" operator="containsText" text="Pendiente">
      <formula>NOT(ISERROR(SEARCH("Pendiente",M99)))</formula>
    </cfRule>
    <cfRule type="containsText" dxfId="11373" priority="11664" operator="containsText" text="No Aplica">
      <formula>NOT(ISERROR(SEARCH("No Aplica",M99)))</formula>
    </cfRule>
    <cfRule type="containsText" dxfId="11372" priority="11665" operator="containsText" text="Fallido">
      <formula>NOT(ISERROR(SEARCH("Fallido",M99)))</formula>
    </cfRule>
    <cfRule type="containsText" dxfId="11371" priority="11666" operator="containsText" text="Éxitoso">
      <formula>NOT(ISERROR(SEARCH("Éxitoso",M99)))</formula>
    </cfRule>
  </conditionalFormatting>
  <conditionalFormatting sqref="G99">
    <cfRule type="containsText" dxfId="11370" priority="11659" operator="containsText" text="Bajo">
      <formula>NOT(ISERROR(SEARCH("Bajo",G99)))</formula>
    </cfRule>
    <cfRule type="containsText" dxfId="11369" priority="11660" operator="containsText" text="Medio">
      <formula>NOT(ISERROR(SEARCH("Medio",G99)))</formula>
    </cfRule>
    <cfRule type="containsText" dxfId="11368" priority="11661" operator="containsText" text="Alto">
      <formula>NOT(ISERROR(SEARCH("Alto",G99)))</formula>
    </cfRule>
  </conditionalFormatting>
  <conditionalFormatting sqref="N100">
    <cfRule type="containsText" dxfId="11367" priority="11654" operator="containsText" text="No se pudo ejecutar">
      <formula>NOT(ISERROR(SEARCH("No se pudo ejecutar",N100)))</formula>
    </cfRule>
    <cfRule type="containsText" dxfId="11366" priority="11655" operator="containsText" text="Pendiente">
      <formula>NOT(ISERROR(SEARCH("Pendiente",N100)))</formula>
    </cfRule>
    <cfRule type="containsText" dxfId="11365" priority="11656" operator="containsText" text="No Aplica">
      <formula>NOT(ISERROR(SEARCH("No Aplica",N100)))</formula>
    </cfRule>
    <cfRule type="containsText" dxfId="11364" priority="11657" operator="containsText" text="Fallido">
      <formula>NOT(ISERROR(SEARCH("Fallido",N100)))</formula>
    </cfRule>
    <cfRule type="containsText" dxfId="11363" priority="11658" operator="containsText" text="Éxitoso">
      <formula>NOT(ISERROR(SEARCH("Éxitoso",N100)))</formula>
    </cfRule>
  </conditionalFormatting>
  <conditionalFormatting sqref="O100">
    <cfRule type="containsText" dxfId="11362" priority="11649" operator="containsText" text="No se pudo ejecutar">
      <formula>NOT(ISERROR(SEARCH("No se pudo ejecutar",O100)))</formula>
    </cfRule>
    <cfRule type="containsText" dxfId="11361" priority="11650" operator="containsText" text="Pendiente">
      <formula>NOT(ISERROR(SEARCH("Pendiente",O100)))</formula>
    </cfRule>
    <cfRule type="containsText" dxfId="11360" priority="11651" operator="containsText" text="No Aplica">
      <formula>NOT(ISERROR(SEARCH("No Aplica",O100)))</formula>
    </cfRule>
    <cfRule type="containsText" dxfId="11359" priority="11652" operator="containsText" text="Fallido">
      <formula>NOT(ISERROR(SEARCH("Fallido",O100)))</formula>
    </cfRule>
    <cfRule type="containsText" dxfId="11358" priority="11653" operator="containsText" text="Éxitoso">
      <formula>NOT(ISERROR(SEARCH("Éxitoso",O100)))</formula>
    </cfRule>
  </conditionalFormatting>
  <conditionalFormatting sqref="P100">
    <cfRule type="containsText" dxfId="11357" priority="11644" operator="containsText" text="No se pudo ejecutar">
      <formula>NOT(ISERROR(SEARCH("No se pudo ejecutar",P100)))</formula>
    </cfRule>
    <cfRule type="containsText" dxfId="11356" priority="11645" operator="containsText" text="Pendiente">
      <formula>NOT(ISERROR(SEARCH("Pendiente",P100)))</formula>
    </cfRule>
    <cfRule type="containsText" dxfId="11355" priority="11646" operator="containsText" text="No Aplica">
      <formula>NOT(ISERROR(SEARCH("No Aplica",P100)))</formula>
    </cfRule>
    <cfRule type="containsText" dxfId="11354" priority="11647" operator="containsText" text="Fallido">
      <formula>NOT(ISERROR(SEARCH("Fallido",P100)))</formula>
    </cfRule>
    <cfRule type="containsText" dxfId="11353" priority="11648" operator="containsText" text="Éxitoso">
      <formula>NOT(ISERROR(SEARCH("Éxitoso",P100)))</formula>
    </cfRule>
  </conditionalFormatting>
  <conditionalFormatting sqref="Q100">
    <cfRule type="containsText" dxfId="11352" priority="11639" operator="containsText" text="No se pudo ejecutar">
      <formula>NOT(ISERROR(SEARCH("No se pudo ejecutar",Q100)))</formula>
    </cfRule>
    <cfRule type="containsText" dxfId="11351" priority="11640" operator="containsText" text="Pendiente">
      <formula>NOT(ISERROR(SEARCH("Pendiente",Q100)))</formula>
    </cfRule>
    <cfRule type="containsText" dxfId="11350" priority="11641" operator="containsText" text="No Aplica">
      <formula>NOT(ISERROR(SEARCH("No Aplica",Q100)))</formula>
    </cfRule>
    <cfRule type="containsText" dxfId="11349" priority="11642" operator="containsText" text="Fallido">
      <formula>NOT(ISERROR(SEARCH("Fallido",Q100)))</formula>
    </cfRule>
    <cfRule type="containsText" dxfId="11348" priority="11643" operator="containsText" text="Éxitoso">
      <formula>NOT(ISERROR(SEARCH("Éxitoso",Q100)))</formula>
    </cfRule>
  </conditionalFormatting>
  <conditionalFormatting sqref="R100">
    <cfRule type="containsText" dxfId="11347" priority="11634" operator="containsText" text="No se pudo ejecutar">
      <formula>NOT(ISERROR(SEARCH("No se pudo ejecutar",R100)))</formula>
    </cfRule>
    <cfRule type="containsText" dxfId="11346" priority="11635" operator="containsText" text="Pendiente">
      <formula>NOT(ISERROR(SEARCH("Pendiente",R100)))</formula>
    </cfRule>
    <cfRule type="containsText" dxfId="11345" priority="11636" operator="containsText" text="No Aplica">
      <formula>NOT(ISERROR(SEARCH("No Aplica",R100)))</formula>
    </cfRule>
    <cfRule type="containsText" dxfId="11344" priority="11637" operator="containsText" text="Fallido">
      <formula>NOT(ISERROR(SEARCH("Fallido",R100)))</formula>
    </cfRule>
    <cfRule type="containsText" dxfId="11343" priority="11638" operator="containsText" text="Éxitoso">
      <formula>NOT(ISERROR(SEARCH("Éxitoso",R100)))</formula>
    </cfRule>
  </conditionalFormatting>
  <conditionalFormatting sqref="S100">
    <cfRule type="containsText" dxfId="11342" priority="11629" operator="containsText" text="No se pudo ejecutar">
      <formula>NOT(ISERROR(SEARCH("No se pudo ejecutar",S100)))</formula>
    </cfRule>
    <cfRule type="containsText" dxfId="11341" priority="11630" operator="containsText" text="Pendiente">
      <formula>NOT(ISERROR(SEARCH("Pendiente",S100)))</formula>
    </cfRule>
    <cfRule type="containsText" dxfId="11340" priority="11631" operator="containsText" text="No Aplica">
      <formula>NOT(ISERROR(SEARCH("No Aplica",S100)))</formula>
    </cfRule>
    <cfRule type="containsText" dxfId="11339" priority="11632" operator="containsText" text="Fallido">
      <formula>NOT(ISERROR(SEARCH("Fallido",S100)))</formula>
    </cfRule>
    <cfRule type="containsText" dxfId="11338" priority="11633" operator="containsText" text="Éxitoso">
      <formula>NOT(ISERROR(SEARCH("Éxitoso",S100)))</formula>
    </cfRule>
  </conditionalFormatting>
  <conditionalFormatting sqref="T100">
    <cfRule type="containsText" dxfId="11337" priority="11624" operator="containsText" text="No se pudo ejecutar">
      <formula>NOT(ISERROR(SEARCH("No se pudo ejecutar",T100)))</formula>
    </cfRule>
    <cfRule type="containsText" dxfId="11336" priority="11625" operator="containsText" text="Pendiente">
      <formula>NOT(ISERROR(SEARCH("Pendiente",T100)))</formula>
    </cfRule>
    <cfRule type="containsText" dxfId="11335" priority="11626" operator="containsText" text="No Aplica">
      <formula>NOT(ISERROR(SEARCH("No Aplica",T100)))</formula>
    </cfRule>
    <cfRule type="containsText" dxfId="11334" priority="11627" operator="containsText" text="Fallido">
      <formula>NOT(ISERROR(SEARCH("Fallido",T100)))</formula>
    </cfRule>
    <cfRule type="containsText" dxfId="11333" priority="11628" operator="containsText" text="Éxitoso">
      <formula>NOT(ISERROR(SEARCH("Éxitoso",T100)))</formula>
    </cfRule>
  </conditionalFormatting>
  <conditionalFormatting sqref="U100">
    <cfRule type="containsText" dxfId="11332" priority="11619" operator="containsText" text="No se pudo ejecutar">
      <formula>NOT(ISERROR(SEARCH("No se pudo ejecutar",U100)))</formula>
    </cfRule>
    <cfRule type="containsText" dxfId="11331" priority="11620" operator="containsText" text="Pendiente">
      <formula>NOT(ISERROR(SEARCH("Pendiente",U100)))</formula>
    </cfRule>
    <cfRule type="containsText" dxfId="11330" priority="11621" operator="containsText" text="No Aplica">
      <formula>NOT(ISERROR(SEARCH("No Aplica",U100)))</formula>
    </cfRule>
    <cfRule type="containsText" dxfId="11329" priority="11622" operator="containsText" text="Fallido">
      <formula>NOT(ISERROR(SEARCH("Fallido",U100)))</formula>
    </cfRule>
    <cfRule type="containsText" dxfId="11328" priority="11623" operator="containsText" text="Éxitoso">
      <formula>NOT(ISERROR(SEARCH("Éxitoso",U100)))</formula>
    </cfRule>
  </conditionalFormatting>
  <conditionalFormatting sqref="V100">
    <cfRule type="containsText" dxfId="11327" priority="11614" operator="containsText" text="No se pudo ejecutar">
      <formula>NOT(ISERROR(SEARCH("No se pudo ejecutar",V100)))</formula>
    </cfRule>
    <cfRule type="containsText" dxfId="11326" priority="11615" operator="containsText" text="Pendiente">
      <formula>NOT(ISERROR(SEARCH("Pendiente",V100)))</formula>
    </cfRule>
    <cfRule type="containsText" dxfId="11325" priority="11616" operator="containsText" text="No Aplica">
      <formula>NOT(ISERROR(SEARCH("No Aplica",V100)))</formula>
    </cfRule>
    <cfRule type="containsText" dxfId="11324" priority="11617" operator="containsText" text="Fallido">
      <formula>NOT(ISERROR(SEARCH("Fallido",V100)))</formula>
    </cfRule>
    <cfRule type="containsText" dxfId="11323" priority="11618" operator="containsText" text="Éxitoso">
      <formula>NOT(ISERROR(SEARCH("Éxitoso",V100)))</formula>
    </cfRule>
  </conditionalFormatting>
  <conditionalFormatting sqref="W100">
    <cfRule type="containsText" dxfId="11322" priority="11609" operator="containsText" text="No se pudo ejecutar">
      <formula>NOT(ISERROR(SEARCH("No se pudo ejecutar",W100)))</formula>
    </cfRule>
    <cfRule type="containsText" dxfId="11321" priority="11610" operator="containsText" text="Pendiente">
      <formula>NOT(ISERROR(SEARCH("Pendiente",W100)))</formula>
    </cfRule>
    <cfRule type="containsText" dxfId="11320" priority="11611" operator="containsText" text="No Aplica">
      <formula>NOT(ISERROR(SEARCH("No Aplica",W100)))</formula>
    </cfRule>
    <cfRule type="containsText" dxfId="11319" priority="11612" operator="containsText" text="Fallido">
      <formula>NOT(ISERROR(SEARCH("Fallido",W100)))</formula>
    </cfRule>
    <cfRule type="containsText" dxfId="11318" priority="11613" operator="containsText" text="Éxitoso">
      <formula>NOT(ISERROR(SEARCH("Éxitoso",W100)))</formula>
    </cfRule>
  </conditionalFormatting>
  <conditionalFormatting sqref="M100">
    <cfRule type="containsText" dxfId="11317" priority="11604" operator="containsText" text="No se pudo ejecutar">
      <formula>NOT(ISERROR(SEARCH("No se pudo ejecutar",M100)))</formula>
    </cfRule>
    <cfRule type="containsText" dxfId="11316" priority="11605" operator="containsText" text="Pendiente">
      <formula>NOT(ISERROR(SEARCH("Pendiente",M100)))</formula>
    </cfRule>
    <cfRule type="containsText" dxfId="11315" priority="11606" operator="containsText" text="No Aplica">
      <formula>NOT(ISERROR(SEARCH("No Aplica",M100)))</formula>
    </cfRule>
    <cfRule type="containsText" dxfId="11314" priority="11607" operator="containsText" text="Fallido">
      <formula>NOT(ISERROR(SEARCH("Fallido",M100)))</formula>
    </cfRule>
    <cfRule type="containsText" dxfId="11313" priority="11608" operator="containsText" text="Éxitoso">
      <formula>NOT(ISERROR(SEARCH("Éxitoso",M100)))</formula>
    </cfRule>
  </conditionalFormatting>
  <conditionalFormatting sqref="G100">
    <cfRule type="containsText" dxfId="11312" priority="11601" operator="containsText" text="Bajo">
      <formula>NOT(ISERROR(SEARCH("Bajo",G100)))</formula>
    </cfRule>
    <cfRule type="containsText" dxfId="11311" priority="11602" operator="containsText" text="Medio">
      <formula>NOT(ISERROR(SEARCH("Medio",G100)))</formula>
    </cfRule>
    <cfRule type="containsText" dxfId="11310" priority="11603" operator="containsText" text="Alto">
      <formula>NOT(ISERROR(SEARCH("Alto",G100)))</formula>
    </cfRule>
  </conditionalFormatting>
  <conditionalFormatting sqref="N101">
    <cfRule type="containsText" dxfId="11309" priority="11596" operator="containsText" text="No se pudo ejecutar">
      <formula>NOT(ISERROR(SEARCH("No se pudo ejecutar",N101)))</formula>
    </cfRule>
    <cfRule type="containsText" dxfId="11308" priority="11597" operator="containsText" text="Pendiente">
      <formula>NOT(ISERROR(SEARCH("Pendiente",N101)))</formula>
    </cfRule>
    <cfRule type="containsText" dxfId="11307" priority="11598" operator="containsText" text="No Aplica">
      <formula>NOT(ISERROR(SEARCH("No Aplica",N101)))</formula>
    </cfRule>
    <cfRule type="containsText" dxfId="11306" priority="11599" operator="containsText" text="Fallido">
      <formula>NOT(ISERROR(SEARCH("Fallido",N101)))</formula>
    </cfRule>
    <cfRule type="containsText" dxfId="11305" priority="11600" operator="containsText" text="Éxitoso">
      <formula>NOT(ISERROR(SEARCH("Éxitoso",N101)))</formula>
    </cfRule>
  </conditionalFormatting>
  <conditionalFormatting sqref="O101">
    <cfRule type="containsText" dxfId="11304" priority="11591" operator="containsText" text="No se pudo ejecutar">
      <formula>NOT(ISERROR(SEARCH("No se pudo ejecutar",O101)))</formula>
    </cfRule>
    <cfRule type="containsText" dxfId="11303" priority="11592" operator="containsText" text="Pendiente">
      <formula>NOT(ISERROR(SEARCH("Pendiente",O101)))</formula>
    </cfRule>
    <cfRule type="containsText" dxfId="11302" priority="11593" operator="containsText" text="No Aplica">
      <formula>NOT(ISERROR(SEARCH("No Aplica",O101)))</formula>
    </cfRule>
    <cfRule type="containsText" dxfId="11301" priority="11594" operator="containsText" text="Fallido">
      <formula>NOT(ISERROR(SEARCH("Fallido",O101)))</formula>
    </cfRule>
    <cfRule type="containsText" dxfId="11300" priority="11595" operator="containsText" text="Éxitoso">
      <formula>NOT(ISERROR(SEARCH("Éxitoso",O101)))</formula>
    </cfRule>
  </conditionalFormatting>
  <conditionalFormatting sqref="P101">
    <cfRule type="containsText" dxfId="11299" priority="11586" operator="containsText" text="No se pudo ejecutar">
      <formula>NOT(ISERROR(SEARCH("No se pudo ejecutar",P101)))</formula>
    </cfRule>
    <cfRule type="containsText" dxfId="11298" priority="11587" operator="containsText" text="Pendiente">
      <formula>NOT(ISERROR(SEARCH("Pendiente",P101)))</formula>
    </cfRule>
    <cfRule type="containsText" dxfId="11297" priority="11588" operator="containsText" text="No Aplica">
      <formula>NOT(ISERROR(SEARCH("No Aplica",P101)))</formula>
    </cfRule>
    <cfRule type="containsText" dxfId="11296" priority="11589" operator="containsText" text="Fallido">
      <formula>NOT(ISERROR(SEARCH("Fallido",P101)))</formula>
    </cfRule>
    <cfRule type="containsText" dxfId="11295" priority="11590" operator="containsText" text="Éxitoso">
      <formula>NOT(ISERROR(SEARCH("Éxitoso",P101)))</formula>
    </cfRule>
  </conditionalFormatting>
  <conditionalFormatting sqref="Q101">
    <cfRule type="containsText" dxfId="11294" priority="11581" operator="containsText" text="No se pudo ejecutar">
      <formula>NOT(ISERROR(SEARCH("No se pudo ejecutar",Q101)))</formula>
    </cfRule>
    <cfRule type="containsText" dxfId="11293" priority="11582" operator="containsText" text="Pendiente">
      <formula>NOT(ISERROR(SEARCH("Pendiente",Q101)))</formula>
    </cfRule>
    <cfRule type="containsText" dxfId="11292" priority="11583" operator="containsText" text="No Aplica">
      <formula>NOT(ISERROR(SEARCH("No Aplica",Q101)))</formula>
    </cfRule>
    <cfRule type="containsText" dxfId="11291" priority="11584" operator="containsText" text="Fallido">
      <formula>NOT(ISERROR(SEARCH("Fallido",Q101)))</formula>
    </cfRule>
    <cfRule type="containsText" dxfId="11290" priority="11585" operator="containsText" text="Éxitoso">
      <formula>NOT(ISERROR(SEARCH("Éxitoso",Q101)))</formula>
    </cfRule>
  </conditionalFormatting>
  <conditionalFormatting sqref="R101">
    <cfRule type="containsText" dxfId="11289" priority="11576" operator="containsText" text="No se pudo ejecutar">
      <formula>NOT(ISERROR(SEARCH("No se pudo ejecutar",R101)))</formula>
    </cfRule>
    <cfRule type="containsText" dxfId="11288" priority="11577" operator="containsText" text="Pendiente">
      <formula>NOT(ISERROR(SEARCH("Pendiente",R101)))</formula>
    </cfRule>
    <cfRule type="containsText" dxfId="11287" priority="11578" operator="containsText" text="No Aplica">
      <formula>NOT(ISERROR(SEARCH("No Aplica",R101)))</formula>
    </cfRule>
    <cfRule type="containsText" dxfId="11286" priority="11579" operator="containsText" text="Fallido">
      <formula>NOT(ISERROR(SEARCH("Fallido",R101)))</formula>
    </cfRule>
    <cfRule type="containsText" dxfId="11285" priority="11580" operator="containsText" text="Éxitoso">
      <formula>NOT(ISERROR(SEARCH("Éxitoso",R101)))</formula>
    </cfRule>
  </conditionalFormatting>
  <conditionalFormatting sqref="S101">
    <cfRule type="containsText" dxfId="11284" priority="11571" operator="containsText" text="No se pudo ejecutar">
      <formula>NOT(ISERROR(SEARCH("No se pudo ejecutar",S101)))</formula>
    </cfRule>
    <cfRule type="containsText" dxfId="11283" priority="11572" operator="containsText" text="Pendiente">
      <formula>NOT(ISERROR(SEARCH("Pendiente",S101)))</formula>
    </cfRule>
    <cfRule type="containsText" dxfId="11282" priority="11573" operator="containsText" text="No Aplica">
      <formula>NOT(ISERROR(SEARCH("No Aplica",S101)))</formula>
    </cfRule>
    <cfRule type="containsText" dxfId="11281" priority="11574" operator="containsText" text="Fallido">
      <formula>NOT(ISERROR(SEARCH("Fallido",S101)))</formula>
    </cfRule>
    <cfRule type="containsText" dxfId="11280" priority="11575" operator="containsText" text="Éxitoso">
      <formula>NOT(ISERROR(SEARCH("Éxitoso",S101)))</formula>
    </cfRule>
  </conditionalFormatting>
  <conditionalFormatting sqref="T101">
    <cfRule type="containsText" dxfId="11279" priority="11566" operator="containsText" text="No se pudo ejecutar">
      <formula>NOT(ISERROR(SEARCH("No se pudo ejecutar",T101)))</formula>
    </cfRule>
    <cfRule type="containsText" dxfId="11278" priority="11567" operator="containsText" text="Pendiente">
      <formula>NOT(ISERROR(SEARCH("Pendiente",T101)))</formula>
    </cfRule>
    <cfRule type="containsText" dxfId="11277" priority="11568" operator="containsText" text="No Aplica">
      <formula>NOT(ISERROR(SEARCH("No Aplica",T101)))</formula>
    </cfRule>
    <cfRule type="containsText" dxfId="11276" priority="11569" operator="containsText" text="Fallido">
      <formula>NOT(ISERROR(SEARCH("Fallido",T101)))</formula>
    </cfRule>
    <cfRule type="containsText" dxfId="11275" priority="11570" operator="containsText" text="Éxitoso">
      <formula>NOT(ISERROR(SEARCH("Éxitoso",T101)))</formula>
    </cfRule>
  </conditionalFormatting>
  <conditionalFormatting sqref="U101">
    <cfRule type="containsText" dxfId="11274" priority="11561" operator="containsText" text="No se pudo ejecutar">
      <formula>NOT(ISERROR(SEARCH("No se pudo ejecutar",U101)))</formula>
    </cfRule>
    <cfRule type="containsText" dxfId="11273" priority="11562" operator="containsText" text="Pendiente">
      <formula>NOT(ISERROR(SEARCH("Pendiente",U101)))</formula>
    </cfRule>
    <cfRule type="containsText" dxfId="11272" priority="11563" operator="containsText" text="No Aplica">
      <formula>NOT(ISERROR(SEARCH("No Aplica",U101)))</formula>
    </cfRule>
    <cfRule type="containsText" dxfId="11271" priority="11564" operator="containsText" text="Fallido">
      <formula>NOT(ISERROR(SEARCH("Fallido",U101)))</formula>
    </cfRule>
    <cfRule type="containsText" dxfId="11270" priority="11565" operator="containsText" text="Éxitoso">
      <formula>NOT(ISERROR(SEARCH("Éxitoso",U101)))</formula>
    </cfRule>
  </conditionalFormatting>
  <conditionalFormatting sqref="V101">
    <cfRule type="containsText" dxfId="11269" priority="11556" operator="containsText" text="No se pudo ejecutar">
      <formula>NOT(ISERROR(SEARCH("No se pudo ejecutar",V101)))</formula>
    </cfRule>
    <cfRule type="containsText" dxfId="11268" priority="11557" operator="containsText" text="Pendiente">
      <formula>NOT(ISERROR(SEARCH("Pendiente",V101)))</formula>
    </cfRule>
    <cfRule type="containsText" dxfId="11267" priority="11558" operator="containsText" text="No Aplica">
      <formula>NOT(ISERROR(SEARCH("No Aplica",V101)))</formula>
    </cfRule>
    <cfRule type="containsText" dxfId="11266" priority="11559" operator="containsText" text="Fallido">
      <formula>NOT(ISERROR(SEARCH("Fallido",V101)))</formula>
    </cfRule>
    <cfRule type="containsText" dxfId="11265" priority="11560" operator="containsText" text="Éxitoso">
      <formula>NOT(ISERROR(SEARCH("Éxitoso",V101)))</formula>
    </cfRule>
  </conditionalFormatting>
  <conditionalFormatting sqref="W101">
    <cfRule type="containsText" dxfId="11264" priority="11551" operator="containsText" text="No se pudo ejecutar">
      <formula>NOT(ISERROR(SEARCH("No se pudo ejecutar",W101)))</formula>
    </cfRule>
    <cfRule type="containsText" dxfId="11263" priority="11552" operator="containsText" text="Pendiente">
      <formula>NOT(ISERROR(SEARCH("Pendiente",W101)))</formula>
    </cfRule>
    <cfRule type="containsText" dxfId="11262" priority="11553" operator="containsText" text="No Aplica">
      <formula>NOT(ISERROR(SEARCH("No Aplica",W101)))</formula>
    </cfRule>
    <cfRule type="containsText" dxfId="11261" priority="11554" operator="containsText" text="Fallido">
      <formula>NOT(ISERROR(SEARCH("Fallido",W101)))</formula>
    </cfRule>
    <cfRule type="containsText" dxfId="11260" priority="11555" operator="containsText" text="Éxitoso">
      <formula>NOT(ISERROR(SEARCH("Éxitoso",W101)))</formula>
    </cfRule>
  </conditionalFormatting>
  <conditionalFormatting sqref="M101">
    <cfRule type="containsText" dxfId="11259" priority="11546" operator="containsText" text="No se pudo ejecutar">
      <formula>NOT(ISERROR(SEARCH("No se pudo ejecutar",M101)))</formula>
    </cfRule>
    <cfRule type="containsText" dxfId="11258" priority="11547" operator="containsText" text="Pendiente">
      <formula>NOT(ISERROR(SEARCH("Pendiente",M101)))</formula>
    </cfRule>
    <cfRule type="containsText" dxfId="11257" priority="11548" operator="containsText" text="No Aplica">
      <formula>NOT(ISERROR(SEARCH("No Aplica",M101)))</formula>
    </cfRule>
    <cfRule type="containsText" dxfId="11256" priority="11549" operator="containsText" text="Fallido">
      <formula>NOT(ISERROR(SEARCH("Fallido",M101)))</formula>
    </cfRule>
    <cfRule type="containsText" dxfId="11255" priority="11550" operator="containsText" text="Éxitoso">
      <formula>NOT(ISERROR(SEARCH("Éxitoso",M101)))</formula>
    </cfRule>
  </conditionalFormatting>
  <conditionalFormatting sqref="G101">
    <cfRule type="containsText" dxfId="11254" priority="11543" operator="containsText" text="Bajo">
      <formula>NOT(ISERROR(SEARCH("Bajo",G101)))</formula>
    </cfRule>
    <cfRule type="containsText" dxfId="11253" priority="11544" operator="containsText" text="Medio">
      <formula>NOT(ISERROR(SEARCH("Medio",G101)))</formula>
    </cfRule>
    <cfRule type="containsText" dxfId="11252" priority="11545" operator="containsText" text="Alto">
      <formula>NOT(ISERROR(SEARCH("Alto",G101)))</formula>
    </cfRule>
  </conditionalFormatting>
  <conditionalFormatting sqref="N102">
    <cfRule type="containsText" dxfId="11251" priority="11538" operator="containsText" text="No se pudo ejecutar">
      <formula>NOT(ISERROR(SEARCH("No se pudo ejecutar",N102)))</formula>
    </cfRule>
    <cfRule type="containsText" dxfId="11250" priority="11539" operator="containsText" text="Pendiente">
      <formula>NOT(ISERROR(SEARCH("Pendiente",N102)))</formula>
    </cfRule>
    <cfRule type="containsText" dxfId="11249" priority="11540" operator="containsText" text="No Aplica">
      <formula>NOT(ISERROR(SEARCH("No Aplica",N102)))</formula>
    </cfRule>
    <cfRule type="containsText" dxfId="11248" priority="11541" operator="containsText" text="Fallido">
      <formula>NOT(ISERROR(SEARCH("Fallido",N102)))</formula>
    </cfRule>
    <cfRule type="containsText" dxfId="11247" priority="11542" operator="containsText" text="Éxitoso">
      <formula>NOT(ISERROR(SEARCH("Éxitoso",N102)))</formula>
    </cfRule>
  </conditionalFormatting>
  <conditionalFormatting sqref="O102">
    <cfRule type="containsText" dxfId="11246" priority="11533" operator="containsText" text="No se pudo ejecutar">
      <formula>NOT(ISERROR(SEARCH("No se pudo ejecutar",O102)))</formula>
    </cfRule>
    <cfRule type="containsText" dxfId="11245" priority="11534" operator="containsText" text="Pendiente">
      <formula>NOT(ISERROR(SEARCH("Pendiente",O102)))</formula>
    </cfRule>
    <cfRule type="containsText" dxfId="11244" priority="11535" operator="containsText" text="No Aplica">
      <formula>NOT(ISERROR(SEARCH("No Aplica",O102)))</formula>
    </cfRule>
    <cfRule type="containsText" dxfId="11243" priority="11536" operator="containsText" text="Fallido">
      <formula>NOT(ISERROR(SEARCH("Fallido",O102)))</formula>
    </cfRule>
    <cfRule type="containsText" dxfId="11242" priority="11537" operator="containsText" text="Éxitoso">
      <formula>NOT(ISERROR(SEARCH("Éxitoso",O102)))</formula>
    </cfRule>
  </conditionalFormatting>
  <conditionalFormatting sqref="P102">
    <cfRule type="containsText" dxfId="11241" priority="11528" operator="containsText" text="No se pudo ejecutar">
      <formula>NOT(ISERROR(SEARCH("No se pudo ejecutar",P102)))</formula>
    </cfRule>
    <cfRule type="containsText" dxfId="11240" priority="11529" operator="containsText" text="Pendiente">
      <formula>NOT(ISERROR(SEARCH("Pendiente",P102)))</formula>
    </cfRule>
    <cfRule type="containsText" dxfId="11239" priority="11530" operator="containsText" text="No Aplica">
      <formula>NOT(ISERROR(SEARCH("No Aplica",P102)))</formula>
    </cfRule>
    <cfRule type="containsText" dxfId="11238" priority="11531" operator="containsText" text="Fallido">
      <formula>NOT(ISERROR(SEARCH("Fallido",P102)))</formula>
    </cfRule>
    <cfRule type="containsText" dxfId="11237" priority="11532" operator="containsText" text="Éxitoso">
      <formula>NOT(ISERROR(SEARCH("Éxitoso",P102)))</formula>
    </cfRule>
  </conditionalFormatting>
  <conditionalFormatting sqref="Q102">
    <cfRule type="containsText" dxfId="11236" priority="11523" operator="containsText" text="No se pudo ejecutar">
      <formula>NOT(ISERROR(SEARCH("No se pudo ejecutar",Q102)))</formula>
    </cfRule>
    <cfRule type="containsText" dxfId="11235" priority="11524" operator="containsText" text="Pendiente">
      <formula>NOT(ISERROR(SEARCH("Pendiente",Q102)))</formula>
    </cfRule>
    <cfRule type="containsText" dxfId="11234" priority="11525" operator="containsText" text="No Aplica">
      <formula>NOT(ISERROR(SEARCH("No Aplica",Q102)))</formula>
    </cfRule>
    <cfRule type="containsText" dxfId="11233" priority="11526" operator="containsText" text="Fallido">
      <formula>NOT(ISERROR(SEARCH("Fallido",Q102)))</formula>
    </cfRule>
    <cfRule type="containsText" dxfId="11232" priority="11527" operator="containsText" text="Éxitoso">
      <formula>NOT(ISERROR(SEARCH("Éxitoso",Q102)))</formula>
    </cfRule>
  </conditionalFormatting>
  <conditionalFormatting sqref="R102">
    <cfRule type="containsText" dxfId="11231" priority="11518" operator="containsText" text="No se pudo ejecutar">
      <formula>NOT(ISERROR(SEARCH("No se pudo ejecutar",R102)))</formula>
    </cfRule>
    <cfRule type="containsText" dxfId="11230" priority="11519" operator="containsText" text="Pendiente">
      <formula>NOT(ISERROR(SEARCH("Pendiente",R102)))</formula>
    </cfRule>
    <cfRule type="containsText" dxfId="11229" priority="11520" operator="containsText" text="No Aplica">
      <formula>NOT(ISERROR(SEARCH("No Aplica",R102)))</formula>
    </cfRule>
    <cfRule type="containsText" dxfId="11228" priority="11521" operator="containsText" text="Fallido">
      <formula>NOT(ISERROR(SEARCH("Fallido",R102)))</formula>
    </cfRule>
    <cfRule type="containsText" dxfId="11227" priority="11522" operator="containsText" text="Éxitoso">
      <formula>NOT(ISERROR(SEARCH("Éxitoso",R102)))</formula>
    </cfRule>
  </conditionalFormatting>
  <conditionalFormatting sqref="S102">
    <cfRule type="containsText" dxfId="11226" priority="11513" operator="containsText" text="No se pudo ejecutar">
      <formula>NOT(ISERROR(SEARCH("No se pudo ejecutar",S102)))</formula>
    </cfRule>
    <cfRule type="containsText" dxfId="11225" priority="11514" operator="containsText" text="Pendiente">
      <formula>NOT(ISERROR(SEARCH("Pendiente",S102)))</formula>
    </cfRule>
    <cfRule type="containsText" dxfId="11224" priority="11515" operator="containsText" text="No Aplica">
      <formula>NOT(ISERROR(SEARCH("No Aplica",S102)))</formula>
    </cfRule>
    <cfRule type="containsText" dxfId="11223" priority="11516" operator="containsText" text="Fallido">
      <formula>NOT(ISERROR(SEARCH("Fallido",S102)))</formula>
    </cfRule>
    <cfRule type="containsText" dxfId="11222" priority="11517" operator="containsText" text="Éxitoso">
      <formula>NOT(ISERROR(SEARCH("Éxitoso",S102)))</formula>
    </cfRule>
  </conditionalFormatting>
  <conditionalFormatting sqref="T102">
    <cfRule type="containsText" dxfId="11221" priority="11508" operator="containsText" text="No se pudo ejecutar">
      <formula>NOT(ISERROR(SEARCH("No se pudo ejecutar",T102)))</formula>
    </cfRule>
    <cfRule type="containsText" dxfId="11220" priority="11509" operator="containsText" text="Pendiente">
      <formula>NOT(ISERROR(SEARCH("Pendiente",T102)))</formula>
    </cfRule>
    <cfRule type="containsText" dxfId="11219" priority="11510" operator="containsText" text="No Aplica">
      <formula>NOT(ISERROR(SEARCH("No Aplica",T102)))</formula>
    </cfRule>
    <cfRule type="containsText" dxfId="11218" priority="11511" operator="containsText" text="Fallido">
      <formula>NOT(ISERROR(SEARCH("Fallido",T102)))</formula>
    </cfRule>
    <cfRule type="containsText" dxfId="11217" priority="11512" operator="containsText" text="Éxitoso">
      <formula>NOT(ISERROR(SEARCH("Éxitoso",T102)))</formula>
    </cfRule>
  </conditionalFormatting>
  <conditionalFormatting sqref="U102">
    <cfRule type="containsText" dxfId="11216" priority="11503" operator="containsText" text="No se pudo ejecutar">
      <formula>NOT(ISERROR(SEARCH("No se pudo ejecutar",U102)))</formula>
    </cfRule>
    <cfRule type="containsText" dxfId="11215" priority="11504" operator="containsText" text="Pendiente">
      <formula>NOT(ISERROR(SEARCH("Pendiente",U102)))</formula>
    </cfRule>
    <cfRule type="containsText" dxfId="11214" priority="11505" operator="containsText" text="No Aplica">
      <formula>NOT(ISERROR(SEARCH("No Aplica",U102)))</formula>
    </cfRule>
    <cfRule type="containsText" dxfId="11213" priority="11506" operator="containsText" text="Fallido">
      <formula>NOT(ISERROR(SEARCH("Fallido",U102)))</formula>
    </cfRule>
    <cfRule type="containsText" dxfId="11212" priority="11507" operator="containsText" text="Éxitoso">
      <formula>NOT(ISERROR(SEARCH("Éxitoso",U102)))</formula>
    </cfRule>
  </conditionalFormatting>
  <conditionalFormatting sqref="V102">
    <cfRule type="containsText" dxfId="11211" priority="11498" operator="containsText" text="No se pudo ejecutar">
      <formula>NOT(ISERROR(SEARCH("No se pudo ejecutar",V102)))</formula>
    </cfRule>
    <cfRule type="containsText" dxfId="11210" priority="11499" operator="containsText" text="Pendiente">
      <formula>NOT(ISERROR(SEARCH("Pendiente",V102)))</formula>
    </cfRule>
    <cfRule type="containsText" dxfId="11209" priority="11500" operator="containsText" text="No Aplica">
      <formula>NOT(ISERROR(SEARCH("No Aplica",V102)))</formula>
    </cfRule>
    <cfRule type="containsText" dxfId="11208" priority="11501" operator="containsText" text="Fallido">
      <formula>NOT(ISERROR(SEARCH("Fallido",V102)))</formula>
    </cfRule>
    <cfRule type="containsText" dxfId="11207" priority="11502" operator="containsText" text="Éxitoso">
      <formula>NOT(ISERROR(SEARCH("Éxitoso",V102)))</formula>
    </cfRule>
  </conditionalFormatting>
  <conditionalFormatting sqref="W102">
    <cfRule type="containsText" dxfId="11206" priority="11493" operator="containsText" text="No se pudo ejecutar">
      <formula>NOT(ISERROR(SEARCH("No se pudo ejecutar",W102)))</formula>
    </cfRule>
    <cfRule type="containsText" dxfId="11205" priority="11494" operator="containsText" text="Pendiente">
      <formula>NOT(ISERROR(SEARCH("Pendiente",W102)))</formula>
    </cfRule>
    <cfRule type="containsText" dxfId="11204" priority="11495" operator="containsText" text="No Aplica">
      <formula>NOT(ISERROR(SEARCH("No Aplica",W102)))</formula>
    </cfRule>
    <cfRule type="containsText" dxfId="11203" priority="11496" operator="containsText" text="Fallido">
      <formula>NOT(ISERROR(SEARCH("Fallido",W102)))</formula>
    </cfRule>
    <cfRule type="containsText" dxfId="11202" priority="11497" operator="containsText" text="Éxitoso">
      <formula>NOT(ISERROR(SEARCH("Éxitoso",W102)))</formula>
    </cfRule>
  </conditionalFormatting>
  <conditionalFormatting sqref="M102">
    <cfRule type="containsText" dxfId="11201" priority="11488" operator="containsText" text="No se pudo ejecutar">
      <formula>NOT(ISERROR(SEARCH("No se pudo ejecutar",M102)))</formula>
    </cfRule>
    <cfRule type="containsText" dxfId="11200" priority="11489" operator="containsText" text="Pendiente">
      <formula>NOT(ISERROR(SEARCH("Pendiente",M102)))</formula>
    </cfRule>
    <cfRule type="containsText" dxfId="11199" priority="11490" operator="containsText" text="No Aplica">
      <formula>NOT(ISERROR(SEARCH("No Aplica",M102)))</formula>
    </cfRule>
    <cfRule type="containsText" dxfId="11198" priority="11491" operator="containsText" text="Fallido">
      <formula>NOT(ISERROR(SEARCH("Fallido",M102)))</formula>
    </cfRule>
    <cfRule type="containsText" dxfId="11197" priority="11492" operator="containsText" text="Éxitoso">
      <formula>NOT(ISERROR(SEARCH("Éxitoso",M102)))</formula>
    </cfRule>
  </conditionalFormatting>
  <conditionalFormatting sqref="G102">
    <cfRule type="containsText" dxfId="11196" priority="11485" operator="containsText" text="Bajo">
      <formula>NOT(ISERROR(SEARCH("Bajo",G102)))</formula>
    </cfRule>
    <cfRule type="containsText" dxfId="11195" priority="11486" operator="containsText" text="Medio">
      <formula>NOT(ISERROR(SEARCH("Medio",G102)))</formula>
    </cfRule>
    <cfRule type="containsText" dxfId="11194" priority="11487" operator="containsText" text="Alto">
      <formula>NOT(ISERROR(SEARCH("Alto",G102)))</formula>
    </cfRule>
  </conditionalFormatting>
  <conditionalFormatting sqref="N103">
    <cfRule type="containsText" dxfId="11193" priority="11480" operator="containsText" text="No se pudo ejecutar">
      <formula>NOT(ISERROR(SEARCH("No se pudo ejecutar",N103)))</formula>
    </cfRule>
    <cfRule type="containsText" dxfId="11192" priority="11481" operator="containsText" text="Pendiente">
      <formula>NOT(ISERROR(SEARCH("Pendiente",N103)))</formula>
    </cfRule>
    <cfRule type="containsText" dxfId="11191" priority="11482" operator="containsText" text="No Aplica">
      <formula>NOT(ISERROR(SEARCH("No Aplica",N103)))</formula>
    </cfRule>
    <cfRule type="containsText" dxfId="11190" priority="11483" operator="containsText" text="Fallido">
      <formula>NOT(ISERROR(SEARCH("Fallido",N103)))</formula>
    </cfRule>
    <cfRule type="containsText" dxfId="11189" priority="11484" operator="containsText" text="Éxitoso">
      <formula>NOT(ISERROR(SEARCH("Éxitoso",N103)))</formula>
    </cfRule>
  </conditionalFormatting>
  <conditionalFormatting sqref="O103">
    <cfRule type="containsText" dxfId="11188" priority="11475" operator="containsText" text="No se pudo ejecutar">
      <formula>NOT(ISERROR(SEARCH("No se pudo ejecutar",O103)))</formula>
    </cfRule>
    <cfRule type="containsText" dxfId="11187" priority="11476" operator="containsText" text="Pendiente">
      <formula>NOT(ISERROR(SEARCH("Pendiente",O103)))</formula>
    </cfRule>
    <cfRule type="containsText" dxfId="11186" priority="11477" operator="containsText" text="No Aplica">
      <formula>NOT(ISERROR(SEARCH("No Aplica",O103)))</formula>
    </cfRule>
    <cfRule type="containsText" dxfId="11185" priority="11478" operator="containsText" text="Fallido">
      <formula>NOT(ISERROR(SEARCH("Fallido",O103)))</formula>
    </cfRule>
    <cfRule type="containsText" dxfId="11184" priority="11479" operator="containsText" text="Éxitoso">
      <formula>NOT(ISERROR(SEARCH("Éxitoso",O103)))</formula>
    </cfRule>
  </conditionalFormatting>
  <conditionalFormatting sqref="P103">
    <cfRule type="containsText" dxfId="11183" priority="11470" operator="containsText" text="No se pudo ejecutar">
      <formula>NOT(ISERROR(SEARCH("No se pudo ejecutar",P103)))</formula>
    </cfRule>
    <cfRule type="containsText" dxfId="11182" priority="11471" operator="containsText" text="Pendiente">
      <formula>NOT(ISERROR(SEARCH("Pendiente",P103)))</formula>
    </cfRule>
    <cfRule type="containsText" dxfId="11181" priority="11472" operator="containsText" text="No Aplica">
      <formula>NOT(ISERROR(SEARCH("No Aplica",P103)))</formula>
    </cfRule>
    <cfRule type="containsText" dxfId="11180" priority="11473" operator="containsText" text="Fallido">
      <formula>NOT(ISERROR(SEARCH("Fallido",P103)))</formula>
    </cfRule>
    <cfRule type="containsText" dxfId="11179" priority="11474" operator="containsText" text="Éxitoso">
      <formula>NOT(ISERROR(SEARCH("Éxitoso",P103)))</formula>
    </cfRule>
  </conditionalFormatting>
  <conditionalFormatting sqref="Q103">
    <cfRule type="containsText" dxfId="11178" priority="11465" operator="containsText" text="No se pudo ejecutar">
      <formula>NOT(ISERROR(SEARCH("No se pudo ejecutar",Q103)))</formula>
    </cfRule>
    <cfRule type="containsText" dxfId="11177" priority="11466" operator="containsText" text="Pendiente">
      <formula>NOT(ISERROR(SEARCH("Pendiente",Q103)))</formula>
    </cfRule>
    <cfRule type="containsText" dxfId="11176" priority="11467" operator="containsText" text="No Aplica">
      <formula>NOT(ISERROR(SEARCH("No Aplica",Q103)))</formula>
    </cfRule>
    <cfRule type="containsText" dxfId="11175" priority="11468" operator="containsText" text="Fallido">
      <formula>NOT(ISERROR(SEARCH("Fallido",Q103)))</formula>
    </cfRule>
    <cfRule type="containsText" dxfId="11174" priority="11469" operator="containsText" text="Éxitoso">
      <formula>NOT(ISERROR(SEARCH("Éxitoso",Q103)))</formula>
    </cfRule>
  </conditionalFormatting>
  <conditionalFormatting sqref="R103">
    <cfRule type="containsText" dxfId="11173" priority="11460" operator="containsText" text="No se pudo ejecutar">
      <formula>NOT(ISERROR(SEARCH("No se pudo ejecutar",R103)))</formula>
    </cfRule>
    <cfRule type="containsText" dxfId="11172" priority="11461" operator="containsText" text="Pendiente">
      <formula>NOT(ISERROR(SEARCH("Pendiente",R103)))</formula>
    </cfRule>
    <cfRule type="containsText" dxfId="11171" priority="11462" operator="containsText" text="No Aplica">
      <formula>NOT(ISERROR(SEARCH("No Aplica",R103)))</formula>
    </cfRule>
    <cfRule type="containsText" dxfId="11170" priority="11463" operator="containsText" text="Fallido">
      <formula>NOT(ISERROR(SEARCH("Fallido",R103)))</formula>
    </cfRule>
    <cfRule type="containsText" dxfId="11169" priority="11464" operator="containsText" text="Éxitoso">
      <formula>NOT(ISERROR(SEARCH("Éxitoso",R103)))</formula>
    </cfRule>
  </conditionalFormatting>
  <conditionalFormatting sqref="S103">
    <cfRule type="containsText" dxfId="11168" priority="11455" operator="containsText" text="No se pudo ejecutar">
      <formula>NOT(ISERROR(SEARCH("No se pudo ejecutar",S103)))</formula>
    </cfRule>
    <cfRule type="containsText" dxfId="11167" priority="11456" operator="containsText" text="Pendiente">
      <formula>NOT(ISERROR(SEARCH("Pendiente",S103)))</formula>
    </cfRule>
    <cfRule type="containsText" dxfId="11166" priority="11457" operator="containsText" text="No Aplica">
      <formula>NOT(ISERROR(SEARCH("No Aplica",S103)))</formula>
    </cfRule>
    <cfRule type="containsText" dxfId="11165" priority="11458" operator="containsText" text="Fallido">
      <formula>NOT(ISERROR(SEARCH("Fallido",S103)))</formula>
    </cfRule>
    <cfRule type="containsText" dxfId="11164" priority="11459" operator="containsText" text="Éxitoso">
      <formula>NOT(ISERROR(SEARCH("Éxitoso",S103)))</formula>
    </cfRule>
  </conditionalFormatting>
  <conditionalFormatting sqref="T103">
    <cfRule type="containsText" dxfId="11163" priority="11450" operator="containsText" text="No se pudo ejecutar">
      <formula>NOT(ISERROR(SEARCH("No se pudo ejecutar",T103)))</formula>
    </cfRule>
    <cfRule type="containsText" dxfId="11162" priority="11451" operator="containsText" text="Pendiente">
      <formula>NOT(ISERROR(SEARCH("Pendiente",T103)))</formula>
    </cfRule>
    <cfRule type="containsText" dxfId="11161" priority="11452" operator="containsText" text="No Aplica">
      <formula>NOT(ISERROR(SEARCH("No Aplica",T103)))</formula>
    </cfRule>
    <cfRule type="containsText" dxfId="11160" priority="11453" operator="containsText" text="Fallido">
      <formula>NOT(ISERROR(SEARCH("Fallido",T103)))</formula>
    </cfRule>
    <cfRule type="containsText" dxfId="11159" priority="11454" operator="containsText" text="Éxitoso">
      <formula>NOT(ISERROR(SEARCH("Éxitoso",T103)))</formula>
    </cfRule>
  </conditionalFormatting>
  <conditionalFormatting sqref="U103">
    <cfRule type="containsText" dxfId="11158" priority="11445" operator="containsText" text="No se pudo ejecutar">
      <formula>NOT(ISERROR(SEARCH("No se pudo ejecutar",U103)))</formula>
    </cfRule>
    <cfRule type="containsText" dxfId="11157" priority="11446" operator="containsText" text="Pendiente">
      <formula>NOT(ISERROR(SEARCH("Pendiente",U103)))</formula>
    </cfRule>
    <cfRule type="containsText" dxfId="11156" priority="11447" operator="containsText" text="No Aplica">
      <formula>NOT(ISERROR(SEARCH("No Aplica",U103)))</formula>
    </cfRule>
    <cfRule type="containsText" dxfId="11155" priority="11448" operator="containsText" text="Fallido">
      <formula>NOT(ISERROR(SEARCH("Fallido",U103)))</formula>
    </cfRule>
    <cfRule type="containsText" dxfId="11154" priority="11449" operator="containsText" text="Éxitoso">
      <formula>NOT(ISERROR(SEARCH("Éxitoso",U103)))</formula>
    </cfRule>
  </conditionalFormatting>
  <conditionalFormatting sqref="V103">
    <cfRule type="containsText" dxfId="11153" priority="11440" operator="containsText" text="No se pudo ejecutar">
      <formula>NOT(ISERROR(SEARCH("No se pudo ejecutar",V103)))</formula>
    </cfRule>
    <cfRule type="containsText" dxfId="11152" priority="11441" operator="containsText" text="Pendiente">
      <formula>NOT(ISERROR(SEARCH("Pendiente",V103)))</formula>
    </cfRule>
    <cfRule type="containsText" dxfId="11151" priority="11442" operator="containsText" text="No Aplica">
      <formula>NOT(ISERROR(SEARCH("No Aplica",V103)))</formula>
    </cfRule>
    <cfRule type="containsText" dxfId="11150" priority="11443" operator="containsText" text="Fallido">
      <formula>NOT(ISERROR(SEARCH("Fallido",V103)))</formula>
    </cfRule>
    <cfRule type="containsText" dxfId="11149" priority="11444" operator="containsText" text="Éxitoso">
      <formula>NOT(ISERROR(SEARCH("Éxitoso",V103)))</formula>
    </cfRule>
  </conditionalFormatting>
  <conditionalFormatting sqref="W103">
    <cfRule type="containsText" dxfId="11148" priority="11435" operator="containsText" text="No se pudo ejecutar">
      <formula>NOT(ISERROR(SEARCH("No se pudo ejecutar",W103)))</formula>
    </cfRule>
    <cfRule type="containsText" dxfId="11147" priority="11436" operator="containsText" text="Pendiente">
      <formula>NOT(ISERROR(SEARCH("Pendiente",W103)))</formula>
    </cfRule>
    <cfRule type="containsText" dxfId="11146" priority="11437" operator="containsText" text="No Aplica">
      <formula>NOT(ISERROR(SEARCH("No Aplica",W103)))</formula>
    </cfRule>
    <cfRule type="containsText" dxfId="11145" priority="11438" operator="containsText" text="Fallido">
      <formula>NOT(ISERROR(SEARCH("Fallido",W103)))</formula>
    </cfRule>
    <cfRule type="containsText" dxfId="11144" priority="11439" operator="containsText" text="Éxitoso">
      <formula>NOT(ISERROR(SEARCH("Éxitoso",W103)))</formula>
    </cfRule>
  </conditionalFormatting>
  <conditionalFormatting sqref="M103">
    <cfRule type="containsText" dxfId="11143" priority="11430" operator="containsText" text="No se pudo ejecutar">
      <formula>NOT(ISERROR(SEARCH("No se pudo ejecutar",M103)))</formula>
    </cfRule>
    <cfRule type="containsText" dxfId="11142" priority="11431" operator="containsText" text="Pendiente">
      <formula>NOT(ISERROR(SEARCH("Pendiente",M103)))</formula>
    </cfRule>
    <cfRule type="containsText" dxfId="11141" priority="11432" operator="containsText" text="No Aplica">
      <formula>NOT(ISERROR(SEARCH("No Aplica",M103)))</formula>
    </cfRule>
    <cfRule type="containsText" dxfId="11140" priority="11433" operator="containsText" text="Fallido">
      <formula>NOT(ISERROR(SEARCH("Fallido",M103)))</formula>
    </cfRule>
    <cfRule type="containsText" dxfId="11139" priority="11434" operator="containsText" text="Éxitoso">
      <formula>NOT(ISERROR(SEARCH("Éxitoso",M103)))</formula>
    </cfRule>
  </conditionalFormatting>
  <conditionalFormatting sqref="G103">
    <cfRule type="containsText" dxfId="11138" priority="11427" operator="containsText" text="Bajo">
      <formula>NOT(ISERROR(SEARCH("Bajo",G103)))</formula>
    </cfRule>
    <cfRule type="containsText" dxfId="11137" priority="11428" operator="containsText" text="Medio">
      <formula>NOT(ISERROR(SEARCH("Medio",G103)))</formula>
    </cfRule>
    <cfRule type="containsText" dxfId="11136" priority="11429" operator="containsText" text="Alto">
      <formula>NOT(ISERROR(SEARCH("Alto",G103)))</formula>
    </cfRule>
  </conditionalFormatting>
  <conditionalFormatting sqref="N104">
    <cfRule type="containsText" dxfId="11135" priority="11422" operator="containsText" text="No se pudo ejecutar">
      <formula>NOT(ISERROR(SEARCH("No se pudo ejecutar",N104)))</formula>
    </cfRule>
    <cfRule type="containsText" dxfId="11134" priority="11423" operator="containsText" text="Pendiente">
      <formula>NOT(ISERROR(SEARCH("Pendiente",N104)))</formula>
    </cfRule>
    <cfRule type="containsText" dxfId="11133" priority="11424" operator="containsText" text="No Aplica">
      <formula>NOT(ISERROR(SEARCH("No Aplica",N104)))</formula>
    </cfRule>
    <cfRule type="containsText" dxfId="11132" priority="11425" operator="containsText" text="Fallido">
      <formula>NOT(ISERROR(SEARCH("Fallido",N104)))</formula>
    </cfRule>
    <cfRule type="containsText" dxfId="11131" priority="11426" operator="containsText" text="Éxitoso">
      <formula>NOT(ISERROR(SEARCH("Éxitoso",N104)))</formula>
    </cfRule>
  </conditionalFormatting>
  <conditionalFormatting sqref="O104">
    <cfRule type="containsText" dxfId="11130" priority="11417" operator="containsText" text="No se pudo ejecutar">
      <formula>NOT(ISERROR(SEARCH("No se pudo ejecutar",O104)))</formula>
    </cfRule>
    <cfRule type="containsText" dxfId="11129" priority="11418" operator="containsText" text="Pendiente">
      <formula>NOT(ISERROR(SEARCH("Pendiente",O104)))</formula>
    </cfRule>
    <cfRule type="containsText" dxfId="11128" priority="11419" operator="containsText" text="No Aplica">
      <formula>NOT(ISERROR(SEARCH("No Aplica",O104)))</formula>
    </cfRule>
    <cfRule type="containsText" dxfId="11127" priority="11420" operator="containsText" text="Fallido">
      <formula>NOT(ISERROR(SEARCH("Fallido",O104)))</formula>
    </cfRule>
    <cfRule type="containsText" dxfId="11126" priority="11421" operator="containsText" text="Éxitoso">
      <formula>NOT(ISERROR(SEARCH("Éxitoso",O104)))</formula>
    </cfRule>
  </conditionalFormatting>
  <conditionalFormatting sqref="P104">
    <cfRule type="containsText" dxfId="11125" priority="11412" operator="containsText" text="No se pudo ejecutar">
      <formula>NOT(ISERROR(SEARCH("No se pudo ejecutar",P104)))</formula>
    </cfRule>
    <cfRule type="containsText" dxfId="11124" priority="11413" operator="containsText" text="Pendiente">
      <formula>NOT(ISERROR(SEARCH("Pendiente",P104)))</formula>
    </cfRule>
    <cfRule type="containsText" dxfId="11123" priority="11414" operator="containsText" text="No Aplica">
      <formula>NOT(ISERROR(SEARCH("No Aplica",P104)))</formula>
    </cfRule>
    <cfRule type="containsText" dxfId="11122" priority="11415" operator="containsText" text="Fallido">
      <formula>NOT(ISERROR(SEARCH("Fallido",P104)))</formula>
    </cfRule>
    <cfRule type="containsText" dxfId="11121" priority="11416" operator="containsText" text="Éxitoso">
      <formula>NOT(ISERROR(SEARCH("Éxitoso",P104)))</formula>
    </cfRule>
  </conditionalFormatting>
  <conditionalFormatting sqref="Q104">
    <cfRule type="containsText" dxfId="11120" priority="11407" operator="containsText" text="No se pudo ejecutar">
      <formula>NOT(ISERROR(SEARCH("No se pudo ejecutar",Q104)))</formula>
    </cfRule>
    <cfRule type="containsText" dxfId="11119" priority="11408" operator="containsText" text="Pendiente">
      <formula>NOT(ISERROR(SEARCH("Pendiente",Q104)))</formula>
    </cfRule>
    <cfRule type="containsText" dxfId="11118" priority="11409" operator="containsText" text="No Aplica">
      <formula>NOT(ISERROR(SEARCH("No Aplica",Q104)))</formula>
    </cfRule>
    <cfRule type="containsText" dxfId="11117" priority="11410" operator="containsText" text="Fallido">
      <formula>NOT(ISERROR(SEARCH("Fallido",Q104)))</formula>
    </cfRule>
    <cfRule type="containsText" dxfId="11116" priority="11411" operator="containsText" text="Éxitoso">
      <formula>NOT(ISERROR(SEARCH("Éxitoso",Q104)))</formula>
    </cfRule>
  </conditionalFormatting>
  <conditionalFormatting sqref="R104">
    <cfRule type="containsText" dxfId="11115" priority="11402" operator="containsText" text="No se pudo ejecutar">
      <formula>NOT(ISERROR(SEARCH("No se pudo ejecutar",R104)))</formula>
    </cfRule>
    <cfRule type="containsText" dxfId="11114" priority="11403" operator="containsText" text="Pendiente">
      <formula>NOT(ISERROR(SEARCH("Pendiente",R104)))</formula>
    </cfRule>
    <cfRule type="containsText" dxfId="11113" priority="11404" operator="containsText" text="No Aplica">
      <formula>NOT(ISERROR(SEARCH("No Aplica",R104)))</formula>
    </cfRule>
    <cfRule type="containsText" dxfId="11112" priority="11405" operator="containsText" text="Fallido">
      <formula>NOT(ISERROR(SEARCH("Fallido",R104)))</formula>
    </cfRule>
    <cfRule type="containsText" dxfId="11111" priority="11406" operator="containsText" text="Éxitoso">
      <formula>NOT(ISERROR(SEARCH("Éxitoso",R104)))</formula>
    </cfRule>
  </conditionalFormatting>
  <conditionalFormatting sqref="S104">
    <cfRule type="containsText" dxfId="11110" priority="11397" operator="containsText" text="No se pudo ejecutar">
      <formula>NOT(ISERROR(SEARCH("No se pudo ejecutar",S104)))</formula>
    </cfRule>
    <cfRule type="containsText" dxfId="11109" priority="11398" operator="containsText" text="Pendiente">
      <formula>NOT(ISERROR(SEARCH("Pendiente",S104)))</formula>
    </cfRule>
    <cfRule type="containsText" dxfId="11108" priority="11399" operator="containsText" text="No Aplica">
      <formula>NOT(ISERROR(SEARCH("No Aplica",S104)))</formula>
    </cfRule>
    <cfRule type="containsText" dxfId="11107" priority="11400" operator="containsText" text="Fallido">
      <formula>NOT(ISERROR(SEARCH("Fallido",S104)))</formula>
    </cfRule>
    <cfRule type="containsText" dxfId="11106" priority="11401" operator="containsText" text="Éxitoso">
      <formula>NOT(ISERROR(SEARCH("Éxitoso",S104)))</formula>
    </cfRule>
  </conditionalFormatting>
  <conditionalFormatting sqref="T104">
    <cfRule type="containsText" dxfId="11105" priority="11392" operator="containsText" text="No se pudo ejecutar">
      <formula>NOT(ISERROR(SEARCH("No se pudo ejecutar",T104)))</formula>
    </cfRule>
    <cfRule type="containsText" dxfId="11104" priority="11393" operator="containsText" text="Pendiente">
      <formula>NOT(ISERROR(SEARCH("Pendiente",T104)))</formula>
    </cfRule>
    <cfRule type="containsText" dxfId="11103" priority="11394" operator="containsText" text="No Aplica">
      <formula>NOT(ISERROR(SEARCH("No Aplica",T104)))</formula>
    </cfRule>
    <cfRule type="containsText" dxfId="11102" priority="11395" operator="containsText" text="Fallido">
      <formula>NOT(ISERROR(SEARCH("Fallido",T104)))</formula>
    </cfRule>
    <cfRule type="containsText" dxfId="11101" priority="11396" operator="containsText" text="Éxitoso">
      <formula>NOT(ISERROR(SEARCH("Éxitoso",T104)))</formula>
    </cfRule>
  </conditionalFormatting>
  <conditionalFormatting sqref="U104">
    <cfRule type="containsText" dxfId="11100" priority="11387" operator="containsText" text="No se pudo ejecutar">
      <formula>NOT(ISERROR(SEARCH("No se pudo ejecutar",U104)))</formula>
    </cfRule>
    <cfRule type="containsText" dxfId="11099" priority="11388" operator="containsText" text="Pendiente">
      <formula>NOT(ISERROR(SEARCH("Pendiente",U104)))</formula>
    </cfRule>
    <cfRule type="containsText" dxfId="11098" priority="11389" operator="containsText" text="No Aplica">
      <formula>NOT(ISERROR(SEARCH("No Aplica",U104)))</formula>
    </cfRule>
    <cfRule type="containsText" dxfId="11097" priority="11390" operator="containsText" text="Fallido">
      <formula>NOT(ISERROR(SEARCH("Fallido",U104)))</formula>
    </cfRule>
    <cfRule type="containsText" dxfId="11096" priority="11391" operator="containsText" text="Éxitoso">
      <formula>NOT(ISERROR(SEARCH("Éxitoso",U104)))</formula>
    </cfRule>
  </conditionalFormatting>
  <conditionalFormatting sqref="V104">
    <cfRule type="containsText" dxfId="11095" priority="11382" operator="containsText" text="No se pudo ejecutar">
      <formula>NOT(ISERROR(SEARCH("No se pudo ejecutar",V104)))</formula>
    </cfRule>
    <cfRule type="containsText" dxfId="11094" priority="11383" operator="containsText" text="Pendiente">
      <formula>NOT(ISERROR(SEARCH("Pendiente",V104)))</formula>
    </cfRule>
    <cfRule type="containsText" dxfId="11093" priority="11384" operator="containsText" text="No Aplica">
      <formula>NOT(ISERROR(SEARCH("No Aplica",V104)))</formula>
    </cfRule>
    <cfRule type="containsText" dxfId="11092" priority="11385" operator="containsText" text="Fallido">
      <formula>NOT(ISERROR(SEARCH("Fallido",V104)))</formula>
    </cfRule>
    <cfRule type="containsText" dxfId="11091" priority="11386" operator="containsText" text="Éxitoso">
      <formula>NOT(ISERROR(SEARCH("Éxitoso",V104)))</formula>
    </cfRule>
  </conditionalFormatting>
  <conditionalFormatting sqref="W104">
    <cfRule type="containsText" dxfId="11090" priority="11377" operator="containsText" text="No se pudo ejecutar">
      <formula>NOT(ISERROR(SEARCH("No se pudo ejecutar",W104)))</formula>
    </cfRule>
    <cfRule type="containsText" dxfId="11089" priority="11378" operator="containsText" text="Pendiente">
      <formula>NOT(ISERROR(SEARCH("Pendiente",W104)))</formula>
    </cfRule>
    <cfRule type="containsText" dxfId="11088" priority="11379" operator="containsText" text="No Aplica">
      <formula>NOT(ISERROR(SEARCH("No Aplica",W104)))</formula>
    </cfRule>
    <cfRule type="containsText" dxfId="11087" priority="11380" operator="containsText" text="Fallido">
      <formula>NOT(ISERROR(SEARCH("Fallido",W104)))</formula>
    </cfRule>
    <cfRule type="containsText" dxfId="11086" priority="11381" operator="containsText" text="Éxitoso">
      <formula>NOT(ISERROR(SEARCH("Éxitoso",W104)))</formula>
    </cfRule>
  </conditionalFormatting>
  <conditionalFormatting sqref="M104">
    <cfRule type="containsText" dxfId="11085" priority="11372" operator="containsText" text="No se pudo ejecutar">
      <formula>NOT(ISERROR(SEARCH("No se pudo ejecutar",M104)))</formula>
    </cfRule>
    <cfRule type="containsText" dxfId="11084" priority="11373" operator="containsText" text="Pendiente">
      <formula>NOT(ISERROR(SEARCH("Pendiente",M104)))</formula>
    </cfRule>
    <cfRule type="containsText" dxfId="11083" priority="11374" operator="containsText" text="No Aplica">
      <formula>NOT(ISERROR(SEARCH("No Aplica",M104)))</formula>
    </cfRule>
    <cfRule type="containsText" dxfId="11082" priority="11375" operator="containsText" text="Fallido">
      <formula>NOT(ISERROR(SEARCH("Fallido",M104)))</formula>
    </cfRule>
    <cfRule type="containsText" dxfId="11081" priority="11376" operator="containsText" text="Éxitoso">
      <formula>NOT(ISERROR(SEARCH("Éxitoso",M104)))</formula>
    </cfRule>
  </conditionalFormatting>
  <conditionalFormatting sqref="G104">
    <cfRule type="containsText" dxfId="11080" priority="11369" operator="containsText" text="Bajo">
      <formula>NOT(ISERROR(SEARCH("Bajo",G104)))</formula>
    </cfRule>
    <cfRule type="containsText" dxfId="11079" priority="11370" operator="containsText" text="Medio">
      <formula>NOT(ISERROR(SEARCH("Medio",G104)))</formula>
    </cfRule>
    <cfRule type="containsText" dxfId="11078" priority="11371" operator="containsText" text="Alto">
      <formula>NOT(ISERROR(SEARCH("Alto",G104)))</formula>
    </cfRule>
  </conditionalFormatting>
  <conditionalFormatting sqref="N105">
    <cfRule type="containsText" dxfId="11077" priority="11364" operator="containsText" text="No se pudo ejecutar">
      <formula>NOT(ISERROR(SEARCH("No se pudo ejecutar",N105)))</formula>
    </cfRule>
    <cfRule type="containsText" dxfId="11076" priority="11365" operator="containsText" text="Pendiente">
      <formula>NOT(ISERROR(SEARCH("Pendiente",N105)))</formula>
    </cfRule>
    <cfRule type="containsText" dxfId="11075" priority="11366" operator="containsText" text="No Aplica">
      <formula>NOT(ISERROR(SEARCH("No Aplica",N105)))</formula>
    </cfRule>
    <cfRule type="containsText" dxfId="11074" priority="11367" operator="containsText" text="Fallido">
      <formula>NOT(ISERROR(SEARCH("Fallido",N105)))</formula>
    </cfRule>
    <cfRule type="containsText" dxfId="11073" priority="11368" operator="containsText" text="Éxitoso">
      <formula>NOT(ISERROR(SEARCH("Éxitoso",N105)))</formula>
    </cfRule>
  </conditionalFormatting>
  <conditionalFormatting sqref="O105">
    <cfRule type="containsText" dxfId="11072" priority="11359" operator="containsText" text="No se pudo ejecutar">
      <formula>NOT(ISERROR(SEARCH("No se pudo ejecutar",O105)))</formula>
    </cfRule>
    <cfRule type="containsText" dxfId="11071" priority="11360" operator="containsText" text="Pendiente">
      <formula>NOT(ISERROR(SEARCH("Pendiente",O105)))</formula>
    </cfRule>
    <cfRule type="containsText" dxfId="11070" priority="11361" operator="containsText" text="No Aplica">
      <formula>NOT(ISERROR(SEARCH("No Aplica",O105)))</formula>
    </cfRule>
    <cfRule type="containsText" dxfId="11069" priority="11362" operator="containsText" text="Fallido">
      <formula>NOT(ISERROR(SEARCH("Fallido",O105)))</formula>
    </cfRule>
    <cfRule type="containsText" dxfId="11068" priority="11363" operator="containsText" text="Éxitoso">
      <formula>NOT(ISERROR(SEARCH("Éxitoso",O105)))</formula>
    </cfRule>
  </conditionalFormatting>
  <conditionalFormatting sqref="P105">
    <cfRule type="containsText" dxfId="11067" priority="11354" operator="containsText" text="No se pudo ejecutar">
      <formula>NOT(ISERROR(SEARCH("No se pudo ejecutar",P105)))</formula>
    </cfRule>
    <cfRule type="containsText" dxfId="11066" priority="11355" operator="containsText" text="Pendiente">
      <formula>NOT(ISERROR(SEARCH("Pendiente",P105)))</formula>
    </cfRule>
    <cfRule type="containsText" dxfId="11065" priority="11356" operator="containsText" text="No Aplica">
      <formula>NOT(ISERROR(SEARCH("No Aplica",P105)))</formula>
    </cfRule>
    <cfRule type="containsText" dxfId="11064" priority="11357" operator="containsText" text="Fallido">
      <formula>NOT(ISERROR(SEARCH("Fallido",P105)))</formula>
    </cfRule>
    <cfRule type="containsText" dxfId="11063" priority="11358" operator="containsText" text="Éxitoso">
      <formula>NOT(ISERROR(SEARCH("Éxitoso",P105)))</formula>
    </cfRule>
  </conditionalFormatting>
  <conditionalFormatting sqref="Q105">
    <cfRule type="containsText" dxfId="11062" priority="11349" operator="containsText" text="No se pudo ejecutar">
      <formula>NOT(ISERROR(SEARCH("No se pudo ejecutar",Q105)))</formula>
    </cfRule>
    <cfRule type="containsText" dxfId="11061" priority="11350" operator="containsText" text="Pendiente">
      <formula>NOT(ISERROR(SEARCH("Pendiente",Q105)))</formula>
    </cfRule>
    <cfRule type="containsText" dxfId="11060" priority="11351" operator="containsText" text="No Aplica">
      <formula>NOT(ISERROR(SEARCH("No Aplica",Q105)))</formula>
    </cfRule>
    <cfRule type="containsText" dxfId="11059" priority="11352" operator="containsText" text="Fallido">
      <formula>NOT(ISERROR(SEARCH("Fallido",Q105)))</formula>
    </cfRule>
    <cfRule type="containsText" dxfId="11058" priority="11353" operator="containsText" text="Éxitoso">
      <formula>NOT(ISERROR(SEARCH("Éxitoso",Q105)))</formula>
    </cfRule>
  </conditionalFormatting>
  <conditionalFormatting sqref="R105">
    <cfRule type="containsText" dxfId="11057" priority="11344" operator="containsText" text="No se pudo ejecutar">
      <formula>NOT(ISERROR(SEARCH("No se pudo ejecutar",R105)))</formula>
    </cfRule>
    <cfRule type="containsText" dxfId="11056" priority="11345" operator="containsText" text="Pendiente">
      <formula>NOT(ISERROR(SEARCH("Pendiente",R105)))</formula>
    </cfRule>
    <cfRule type="containsText" dxfId="11055" priority="11346" operator="containsText" text="No Aplica">
      <formula>NOT(ISERROR(SEARCH("No Aplica",R105)))</formula>
    </cfRule>
    <cfRule type="containsText" dxfId="11054" priority="11347" operator="containsText" text="Fallido">
      <formula>NOT(ISERROR(SEARCH("Fallido",R105)))</formula>
    </cfRule>
    <cfRule type="containsText" dxfId="11053" priority="11348" operator="containsText" text="Éxitoso">
      <formula>NOT(ISERROR(SEARCH("Éxitoso",R105)))</formula>
    </cfRule>
  </conditionalFormatting>
  <conditionalFormatting sqref="S105">
    <cfRule type="containsText" dxfId="11052" priority="11339" operator="containsText" text="No se pudo ejecutar">
      <formula>NOT(ISERROR(SEARCH("No se pudo ejecutar",S105)))</formula>
    </cfRule>
    <cfRule type="containsText" dxfId="11051" priority="11340" operator="containsText" text="Pendiente">
      <formula>NOT(ISERROR(SEARCH("Pendiente",S105)))</formula>
    </cfRule>
    <cfRule type="containsText" dxfId="11050" priority="11341" operator="containsText" text="No Aplica">
      <formula>NOT(ISERROR(SEARCH("No Aplica",S105)))</formula>
    </cfRule>
    <cfRule type="containsText" dxfId="11049" priority="11342" operator="containsText" text="Fallido">
      <formula>NOT(ISERROR(SEARCH("Fallido",S105)))</formula>
    </cfRule>
    <cfRule type="containsText" dxfId="11048" priority="11343" operator="containsText" text="Éxitoso">
      <formula>NOT(ISERROR(SEARCH("Éxitoso",S105)))</formula>
    </cfRule>
  </conditionalFormatting>
  <conditionalFormatting sqref="T105">
    <cfRule type="containsText" dxfId="11047" priority="11334" operator="containsText" text="No se pudo ejecutar">
      <formula>NOT(ISERROR(SEARCH("No se pudo ejecutar",T105)))</formula>
    </cfRule>
    <cfRule type="containsText" dxfId="11046" priority="11335" operator="containsText" text="Pendiente">
      <formula>NOT(ISERROR(SEARCH("Pendiente",T105)))</formula>
    </cfRule>
    <cfRule type="containsText" dxfId="11045" priority="11336" operator="containsText" text="No Aplica">
      <formula>NOT(ISERROR(SEARCH("No Aplica",T105)))</formula>
    </cfRule>
    <cfRule type="containsText" dxfId="11044" priority="11337" operator="containsText" text="Fallido">
      <formula>NOT(ISERROR(SEARCH("Fallido",T105)))</formula>
    </cfRule>
    <cfRule type="containsText" dxfId="11043" priority="11338" operator="containsText" text="Éxitoso">
      <formula>NOT(ISERROR(SEARCH("Éxitoso",T105)))</formula>
    </cfRule>
  </conditionalFormatting>
  <conditionalFormatting sqref="U105">
    <cfRule type="containsText" dxfId="11042" priority="11329" operator="containsText" text="No se pudo ejecutar">
      <formula>NOT(ISERROR(SEARCH("No se pudo ejecutar",U105)))</formula>
    </cfRule>
    <cfRule type="containsText" dxfId="11041" priority="11330" operator="containsText" text="Pendiente">
      <formula>NOT(ISERROR(SEARCH("Pendiente",U105)))</formula>
    </cfRule>
    <cfRule type="containsText" dxfId="11040" priority="11331" operator="containsText" text="No Aplica">
      <formula>NOT(ISERROR(SEARCH("No Aplica",U105)))</formula>
    </cfRule>
    <cfRule type="containsText" dxfId="11039" priority="11332" operator="containsText" text="Fallido">
      <formula>NOT(ISERROR(SEARCH("Fallido",U105)))</formula>
    </cfRule>
    <cfRule type="containsText" dxfId="11038" priority="11333" operator="containsText" text="Éxitoso">
      <formula>NOT(ISERROR(SEARCH("Éxitoso",U105)))</formula>
    </cfRule>
  </conditionalFormatting>
  <conditionalFormatting sqref="V105">
    <cfRule type="containsText" dxfId="11037" priority="11324" operator="containsText" text="No se pudo ejecutar">
      <formula>NOT(ISERROR(SEARCH("No se pudo ejecutar",V105)))</formula>
    </cfRule>
    <cfRule type="containsText" dxfId="11036" priority="11325" operator="containsText" text="Pendiente">
      <formula>NOT(ISERROR(SEARCH("Pendiente",V105)))</formula>
    </cfRule>
    <cfRule type="containsText" dxfId="11035" priority="11326" operator="containsText" text="No Aplica">
      <formula>NOT(ISERROR(SEARCH("No Aplica",V105)))</formula>
    </cfRule>
    <cfRule type="containsText" dxfId="11034" priority="11327" operator="containsText" text="Fallido">
      <formula>NOT(ISERROR(SEARCH("Fallido",V105)))</formula>
    </cfRule>
    <cfRule type="containsText" dxfId="11033" priority="11328" operator="containsText" text="Éxitoso">
      <formula>NOT(ISERROR(SEARCH("Éxitoso",V105)))</formula>
    </cfRule>
  </conditionalFormatting>
  <conditionalFormatting sqref="W105">
    <cfRule type="containsText" dxfId="11032" priority="11319" operator="containsText" text="No se pudo ejecutar">
      <formula>NOT(ISERROR(SEARCH("No se pudo ejecutar",W105)))</formula>
    </cfRule>
    <cfRule type="containsText" dxfId="11031" priority="11320" operator="containsText" text="Pendiente">
      <formula>NOT(ISERROR(SEARCH("Pendiente",W105)))</formula>
    </cfRule>
    <cfRule type="containsText" dxfId="11030" priority="11321" operator="containsText" text="No Aplica">
      <formula>NOT(ISERROR(SEARCH("No Aplica",W105)))</formula>
    </cfRule>
    <cfRule type="containsText" dxfId="11029" priority="11322" operator="containsText" text="Fallido">
      <formula>NOT(ISERROR(SEARCH("Fallido",W105)))</formula>
    </cfRule>
    <cfRule type="containsText" dxfId="11028" priority="11323" operator="containsText" text="Éxitoso">
      <formula>NOT(ISERROR(SEARCH("Éxitoso",W105)))</formula>
    </cfRule>
  </conditionalFormatting>
  <conditionalFormatting sqref="M105">
    <cfRule type="containsText" dxfId="11027" priority="11314" operator="containsText" text="No se pudo ejecutar">
      <formula>NOT(ISERROR(SEARCH("No se pudo ejecutar",M105)))</formula>
    </cfRule>
    <cfRule type="containsText" dxfId="11026" priority="11315" operator="containsText" text="Pendiente">
      <formula>NOT(ISERROR(SEARCH("Pendiente",M105)))</formula>
    </cfRule>
    <cfRule type="containsText" dxfId="11025" priority="11316" operator="containsText" text="No Aplica">
      <formula>NOT(ISERROR(SEARCH("No Aplica",M105)))</formula>
    </cfRule>
    <cfRule type="containsText" dxfId="11024" priority="11317" operator="containsText" text="Fallido">
      <formula>NOT(ISERROR(SEARCH("Fallido",M105)))</formula>
    </cfRule>
    <cfRule type="containsText" dxfId="11023" priority="11318" operator="containsText" text="Éxitoso">
      <formula>NOT(ISERROR(SEARCH("Éxitoso",M105)))</formula>
    </cfRule>
  </conditionalFormatting>
  <conditionalFormatting sqref="G105">
    <cfRule type="containsText" dxfId="11022" priority="11311" operator="containsText" text="Bajo">
      <formula>NOT(ISERROR(SEARCH("Bajo",G105)))</formula>
    </cfRule>
    <cfRule type="containsText" dxfId="11021" priority="11312" operator="containsText" text="Medio">
      <formula>NOT(ISERROR(SEARCH("Medio",G105)))</formula>
    </cfRule>
    <cfRule type="containsText" dxfId="11020" priority="11313" operator="containsText" text="Alto">
      <formula>NOT(ISERROR(SEARCH("Alto",G105)))</formula>
    </cfRule>
  </conditionalFormatting>
  <conditionalFormatting sqref="N106">
    <cfRule type="containsText" dxfId="11019" priority="11306" operator="containsText" text="No se pudo ejecutar">
      <formula>NOT(ISERROR(SEARCH("No se pudo ejecutar",N106)))</formula>
    </cfRule>
    <cfRule type="containsText" dxfId="11018" priority="11307" operator="containsText" text="Pendiente">
      <formula>NOT(ISERROR(SEARCH("Pendiente",N106)))</formula>
    </cfRule>
    <cfRule type="containsText" dxfId="11017" priority="11308" operator="containsText" text="No Aplica">
      <formula>NOT(ISERROR(SEARCH("No Aplica",N106)))</formula>
    </cfRule>
    <cfRule type="containsText" dxfId="11016" priority="11309" operator="containsText" text="Fallido">
      <formula>NOT(ISERROR(SEARCH("Fallido",N106)))</formula>
    </cfRule>
    <cfRule type="containsText" dxfId="11015" priority="11310" operator="containsText" text="Éxitoso">
      <formula>NOT(ISERROR(SEARCH("Éxitoso",N106)))</formula>
    </cfRule>
  </conditionalFormatting>
  <conditionalFormatting sqref="O106">
    <cfRule type="containsText" dxfId="11014" priority="11301" operator="containsText" text="No se pudo ejecutar">
      <formula>NOT(ISERROR(SEARCH("No se pudo ejecutar",O106)))</formula>
    </cfRule>
    <cfRule type="containsText" dxfId="11013" priority="11302" operator="containsText" text="Pendiente">
      <formula>NOT(ISERROR(SEARCH("Pendiente",O106)))</formula>
    </cfRule>
    <cfRule type="containsText" dxfId="11012" priority="11303" operator="containsText" text="No Aplica">
      <formula>NOT(ISERROR(SEARCH("No Aplica",O106)))</formula>
    </cfRule>
    <cfRule type="containsText" dxfId="11011" priority="11304" operator="containsText" text="Fallido">
      <formula>NOT(ISERROR(SEARCH("Fallido",O106)))</formula>
    </cfRule>
    <cfRule type="containsText" dxfId="11010" priority="11305" operator="containsText" text="Éxitoso">
      <formula>NOT(ISERROR(SEARCH("Éxitoso",O106)))</formula>
    </cfRule>
  </conditionalFormatting>
  <conditionalFormatting sqref="P106">
    <cfRule type="containsText" dxfId="11009" priority="11296" operator="containsText" text="No se pudo ejecutar">
      <formula>NOT(ISERROR(SEARCH("No se pudo ejecutar",P106)))</formula>
    </cfRule>
    <cfRule type="containsText" dxfId="11008" priority="11297" operator="containsText" text="Pendiente">
      <formula>NOT(ISERROR(SEARCH("Pendiente",P106)))</formula>
    </cfRule>
    <cfRule type="containsText" dxfId="11007" priority="11298" operator="containsText" text="No Aplica">
      <formula>NOT(ISERROR(SEARCH("No Aplica",P106)))</formula>
    </cfRule>
    <cfRule type="containsText" dxfId="11006" priority="11299" operator="containsText" text="Fallido">
      <formula>NOT(ISERROR(SEARCH("Fallido",P106)))</formula>
    </cfRule>
    <cfRule type="containsText" dxfId="11005" priority="11300" operator="containsText" text="Éxitoso">
      <formula>NOT(ISERROR(SEARCH("Éxitoso",P106)))</formula>
    </cfRule>
  </conditionalFormatting>
  <conditionalFormatting sqref="Q106">
    <cfRule type="containsText" dxfId="11004" priority="11291" operator="containsText" text="No se pudo ejecutar">
      <formula>NOT(ISERROR(SEARCH("No se pudo ejecutar",Q106)))</formula>
    </cfRule>
    <cfRule type="containsText" dxfId="11003" priority="11292" operator="containsText" text="Pendiente">
      <formula>NOT(ISERROR(SEARCH("Pendiente",Q106)))</formula>
    </cfRule>
    <cfRule type="containsText" dxfId="11002" priority="11293" operator="containsText" text="No Aplica">
      <formula>NOT(ISERROR(SEARCH("No Aplica",Q106)))</formula>
    </cfRule>
    <cfRule type="containsText" dxfId="11001" priority="11294" operator="containsText" text="Fallido">
      <formula>NOT(ISERROR(SEARCH("Fallido",Q106)))</formula>
    </cfRule>
    <cfRule type="containsText" dxfId="11000" priority="11295" operator="containsText" text="Éxitoso">
      <formula>NOT(ISERROR(SEARCH("Éxitoso",Q106)))</formula>
    </cfRule>
  </conditionalFormatting>
  <conditionalFormatting sqref="R106">
    <cfRule type="containsText" dxfId="10999" priority="11286" operator="containsText" text="No se pudo ejecutar">
      <formula>NOT(ISERROR(SEARCH("No se pudo ejecutar",R106)))</formula>
    </cfRule>
    <cfRule type="containsText" dxfId="10998" priority="11287" operator="containsText" text="Pendiente">
      <formula>NOT(ISERROR(SEARCH("Pendiente",R106)))</formula>
    </cfRule>
    <cfRule type="containsText" dxfId="10997" priority="11288" operator="containsText" text="No Aplica">
      <formula>NOT(ISERROR(SEARCH("No Aplica",R106)))</formula>
    </cfRule>
    <cfRule type="containsText" dxfId="10996" priority="11289" operator="containsText" text="Fallido">
      <formula>NOT(ISERROR(SEARCH("Fallido",R106)))</formula>
    </cfRule>
    <cfRule type="containsText" dxfId="10995" priority="11290" operator="containsText" text="Éxitoso">
      <formula>NOT(ISERROR(SEARCH("Éxitoso",R106)))</formula>
    </cfRule>
  </conditionalFormatting>
  <conditionalFormatting sqref="S106">
    <cfRule type="containsText" dxfId="10994" priority="11281" operator="containsText" text="No se pudo ejecutar">
      <formula>NOT(ISERROR(SEARCH("No se pudo ejecutar",S106)))</formula>
    </cfRule>
    <cfRule type="containsText" dxfId="10993" priority="11282" operator="containsText" text="Pendiente">
      <formula>NOT(ISERROR(SEARCH("Pendiente",S106)))</formula>
    </cfRule>
    <cfRule type="containsText" dxfId="10992" priority="11283" operator="containsText" text="No Aplica">
      <formula>NOT(ISERROR(SEARCH("No Aplica",S106)))</formula>
    </cfRule>
    <cfRule type="containsText" dxfId="10991" priority="11284" operator="containsText" text="Fallido">
      <formula>NOT(ISERROR(SEARCH("Fallido",S106)))</formula>
    </cfRule>
    <cfRule type="containsText" dxfId="10990" priority="11285" operator="containsText" text="Éxitoso">
      <formula>NOT(ISERROR(SEARCH("Éxitoso",S106)))</formula>
    </cfRule>
  </conditionalFormatting>
  <conditionalFormatting sqref="T106">
    <cfRule type="containsText" dxfId="10989" priority="11276" operator="containsText" text="No se pudo ejecutar">
      <formula>NOT(ISERROR(SEARCH("No se pudo ejecutar",T106)))</formula>
    </cfRule>
    <cfRule type="containsText" dxfId="10988" priority="11277" operator="containsText" text="Pendiente">
      <formula>NOT(ISERROR(SEARCH("Pendiente",T106)))</formula>
    </cfRule>
    <cfRule type="containsText" dxfId="10987" priority="11278" operator="containsText" text="No Aplica">
      <formula>NOT(ISERROR(SEARCH("No Aplica",T106)))</formula>
    </cfRule>
    <cfRule type="containsText" dxfId="10986" priority="11279" operator="containsText" text="Fallido">
      <formula>NOT(ISERROR(SEARCH("Fallido",T106)))</formula>
    </cfRule>
    <cfRule type="containsText" dxfId="10985" priority="11280" operator="containsText" text="Éxitoso">
      <formula>NOT(ISERROR(SEARCH("Éxitoso",T106)))</formula>
    </cfRule>
  </conditionalFormatting>
  <conditionalFormatting sqref="U106">
    <cfRule type="containsText" dxfId="10984" priority="11271" operator="containsText" text="No se pudo ejecutar">
      <formula>NOT(ISERROR(SEARCH("No se pudo ejecutar",U106)))</formula>
    </cfRule>
    <cfRule type="containsText" dxfId="10983" priority="11272" operator="containsText" text="Pendiente">
      <formula>NOT(ISERROR(SEARCH("Pendiente",U106)))</formula>
    </cfRule>
    <cfRule type="containsText" dxfId="10982" priority="11273" operator="containsText" text="No Aplica">
      <formula>NOT(ISERROR(SEARCH("No Aplica",U106)))</formula>
    </cfRule>
    <cfRule type="containsText" dxfId="10981" priority="11274" operator="containsText" text="Fallido">
      <formula>NOT(ISERROR(SEARCH("Fallido",U106)))</formula>
    </cfRule>
    <cfRule type="containsText" dxfId="10980" priority="11275" operator="containsText" text="Éxitoso">
      <formula>NOT(ISERROR(SEARCH("Éxitoso",U106)))</formula>
    </cfRule>
  </conditionalFormatting>
  <conditionalFormatting sqref="V106">
    <cfRule type="containsText" dxfId="10979" priority="11266" operator="containsText" text="No se pudo ejecutar">
      <formula>NOT(ISERROR(SEARCH("No se pudo ejecutar",V106)))</formula>
    </cfRule>
    <cfRule type="containsText" dxfId="10978" priority="11267" operator="containsText" text="Pendiente">
      <formula>NOT(ISERROR(SEARCH("Pendiente",V106)))</formula>
    </cfRule>
    <cfRule type="containsText" dxfId="10977" priority="11268" operator="containsText" text="No Aplica">
      <formula>NOT(ISERROR(SEARCH("No Aplica",V106)))</formula>
    </cfRule>
    <cfRule type="containsText" dxfId="10976" priority="11269" operator="containsText" text="Fallido">
      <formula>NOT(ISERROR(SEARCH("Fallido",V106)))</formula>
    </cfRule>
    <cfRule type="containsText" dxfId="10975" priority="11270" operator="containsText" text="Éxitoso">
      <formula>NOT(ISERROR(SEARCH("Éxitoso",V106)))</formula>
    </cfRule>
  </conditionalFormatting>
  <conditionalFormatting sqref="W106">
    <cfRule type="containsText" dxfId="10974" priority="11261" operator="containsText" text="No se pudo ejecutar">
      <formula>NOT(ISERROR(SEARCH("No se pudo ejecutar",W106)))</formula>
    </cfRule>
    <cfRule type="containsText" dxfId="10973" priority="11262" operator="containsText" text="Pendiente">
      <formula>NOT(ISERROR(SEARCH("Pendiente",W106)))</formula>
    </cfRule>
    <cfRule type="containsText" dxfId="10972" priority="11263" operator="containsText" text="No Aplica">
      <formula>NOT(ISERROR(SEARCH("No Aplica",W106)))</formula>
    </cfRule>
    <cfRule type="containsText" dxfId="10971" priority="11264" operator="containsText" text="Fallido">
      <formula>NOT(ISERROR(SEARCH("Fallido",W106)))</formula>
    </cfRule>
    <cfRule type="containsText" dxfId="10970" priority="11265" operator="containsText" text="Éxitoso">
      <formula>NOT(ISERROR(SEARCH("Éxitoso",W106)))</formula>
    </cfRule>
  </conditionalFormatting>
  <conditionalFormatting sqref="M106">
    <cfRule type="containsText" dxfId="10969" priority="11256" operator="containsText" text="No se pudo ejecutar">
      <formula>NOT(ISERROR(SEARCH("No se pudo ejecutar",M106)))</formula>
    </cfRule>
    <cfRule type="containsText" dxfId="10968" priority="11257" operator="containsText" text="Pendiente">
      <formula>NOT(ISERROR(SEARCH("Pendiente",M106)))</formula>
    </cfRule>
    <cfRule type="containsText" dxfId="10967" priority="11258" operator="containsText" text="No Aplica">
      <formula>NOT(ISERROR(SEARCH("No Aplica",M106)))</formula>
    </cfRule>
    <cfRule type="containsText" dxfId="10966" priority="11259" operator="containsText" text="Fallido">
      <formula>NOT(ISERROR(SEARCH("Fallido",M106)))</formula>
    </cfRule>
    <cfRule type="containsText" dxfId="10965" priority="11260" operator="containsText" text="Éxitoso">
      <formula>NOT(ISERROR(SEARCH("Éxitoso",M106)))</formula>
    </cfRule>
  </conditionalFormatting>
  <conditionalFormatting sqref="G106">
    <cfRule type="containsText" dxfId="10964" priority="11253" operator="containsText" text="Bajo">
      <formula>NOT(ISERROR(SEARCH("Bajo",G106)))</formula>
    </cfRule>
    <cfRule type="containsText" dxfId="10963" priority="11254" operator="containsText" text="Medio">
      <formula>NOT(ISERROR(SEARCH("Medio",G106)))</formula>
    </cfRule>
    <cfRule type="containsText" dxfId="10962" priority="11255" operator="containsText" text="Alto">
      <formula>NOT(ISERROR(SEARCH("Alto",G106)))</formula>
    </cfRule>
  </conditionalFormatting>
  <conditionalFormatting sqref="N107">
    <cfRule type="containsText" dxfId="10961" priority="11248" operator="containsText" text="No se pudo ejecutar">
      <formula>NOT(ISERROR(SEARCH("No se pudo ejecutar",N107)))</formula>
    </cfRule>
    <cfRule type="containsText" dxfId="10960" priority="11249" operator="containsText" text="Pendiente">
      <formula>NOT(ISERROR(SEARCH("Pendiente",N107)))</formula>
    </cfRule>
    <cfRule type="containsText" dxfId="10959" priority="11250" operator="containsText" text="No Aplica">
      <formula>NOT(ISERROR(SEARCH("No Aplica",N107)))</formula>
    </cfRule>
    <cfRule type="containsText" dxfId="10958" priority="11251" operator="containsText" text="Fallido">
      <formula>NOT(ISERROR(SEARCH("Fallido",N107)))</formula>
    </cfRule>
    <cfRule type="containsText" dxfId="10957" priority="11252" operator="containsText" text="Éxitoso">
      <formula>NOT(ISERROR(SEARCH("Éxitoso",N107)))</formula>
    </cfRule>
  </conditionalFormatting>
  <conditionalFormatting sqref="O107">
    <cfRule type="containsText" dxfId="10956" priority="11243" operator="containsText" text="No se pudo ejecutar">
      <formula>NOT(ISERROR(SEARCH("No se pudo ejecutar",O107)))</formula>
    </cfRule>
    <cfRule type="containsText" dxfId="10955" priority="11244" operator="containsText" text="Pendiente">
      <formula>NOT(ISERROR(SEARCH("Pendiente",O107)))</formula>
    </cfRule>
    <cfRule type="containsText" dxfId="10954" priority="11245" operator="containsText" text="No Aplica">
      <formula>NOT(ISERROR(SEARCH("No Aplica",O107)))</formula>
    </cfRule>
    <cfRule type="containsText" dxfId="10953" priority="11246" operator="containsText" text="Fallido">
      <formula>NOT(ISERROR(SEARCH("Fallido",O107)))</formula>
    </cfRule>
    <cfRule type="containsText" dxfId="10952" priority="11247" operator="containsText" text="Éxitoso">
      <formula>NOT(ISERROR(SEARCH("Éxitoso",O107)))</formula>
    </cfRule>
  </conditionalFormatting>
  <conditionalFormatting sqref="P107">
    <cfRule type="containsText" dxfId="10951" priority="11238" operator="containsText" text="No se pudo ejecutar">
      <formula>NOT(ISERROR(SEARCH("No se pudo ejecutar",P107)))</formula>
    </cfRule>
    <cfRule type="containsText" dxfId="10950" priority="11239" operator="containsText" text="Pendiente">
      <formula>NOT(ISERROR(SEARCH("Pendiente",P107)))</formula>
    </cfRule>
    <cfRule type="containsText" dxfId="10949" priority="11240" operator="containsText" text="No Aplica">
      <formula>NOT(ISERROR(SEARCH("No Aplica",P107)))</formula>
    </cfRule>
    <cfRule type="containsText" dxfId="10948" priority="11241" operator="containsText" text="Fallido">
      <formula>NOT(ISERROR(SEARCH("Fallido",P107)))</formula>
    </cfRule>
    <cfRule type="containsText" dxfId="10947" priority="11242" operator="containsText" text="Éxitoso">
      <formula>NOT(ISERROR(SEARCH("Éxitoso",P107)))</formula>
    </cfRule>
  </conditionalFormatting>
  <conditionalFormatting sqref="Q107">
    <cfRule type="containsText" dxfId="10946" priority="11233" operator="containsText" text="No se pudo ejecutar">
      <formula>NOT(ISERROR(SEARCH("No se pudo ejecutar",Q107)))</formula>
    </cfRule>
    <cfRule type="containsText" dxfId="10945" priority="11234" operator="containsText" text="Pendiente">
      <formula>NOT(ISERROR(SEARCH("Pendiente",Q107)))</formula>
    </cfRule>
    <cfRule type="containsText" dxfId="10944" priority="11235" operator="containsText" text="No Aplica">
      <formula>NOT(ISERROR(SEARCH("No Aplica",Q107)))</formula>
    </cfRule>
    <cfRule type="containsText" dxfId="10943" priority="11236" operator="containsText" text="Fallido">
      <formula>NOT(ISERROR(SEARCH("Fallido",Q107)))</formula>
    </cfRule>
    <cfRule type="containsText" dxfId="10942" priority="11237" operator="containsText" text="Éxitoso">
      <formula>NOT(ISERROR(SEARCH("Éxitoso",Q107)))</formula>
    </cfRule>
  </conditionalFormatting>
  <conditionalFormatting sqref="R107">
    <cfRule type="containsText" dxfId="10941" priority="11228" operator="containsText" text="No se pudo ejecutar">
      <formula>NOT(ISERROR(SEARCH("No se pudo ejecutar",R107)))</formula>
    </cfRule>
    <cfRule type="containsText" dxfId="10940" priority="11229" operator="containsText" text="Pendiente">
      <formula>NOT(ISERROR(SEARCH("Pendiente",R107)))</formula>
    </cfRule>
    <cfRule type="containsText" dxfId="10939" priority="11230" operator="containsText" text="No Aplica">
      <formula>NOT(ISERROR(SEARCH("No Aplica",R107)))</formula>
    </cfRule>
    <cfRule type="containsText" dxfId="10938" priority="11231" operator="containsText" text="Fallido">
      <formula>NOT(ISERROR(SEARCH("Fallido",R107)))</formula>
    </cfRule>
    <cfRule type="containsText" dxfId="10937" priority="11232" operator="containsText" text="Éxitoso">
      <formula>NOT(ISERROR(SEARCH("Éxitoso",R107)))</formula>
    </cfRule>
  </conditionalFormatting>
  <conditionalFormatting sqref="S107">
    <cfRule type="containsText" dxfId="10936" priority="11223" operator="containsText" text="No se pudo ejecutar">
      <formula>NOT(ISERROR(SEARCH("No se pudo ejecutar",S107)))</formula>
    </cfRule>
    <cfRule type="containsText" dxfId="10935" priority="11224" operator="containsText" text="Pendiente">
      <formula>NOT(ISERROR(SEARCH("Pendiente",S107)))</formula>
    </cfRule>
    <cfRule type="containsText" dxfId="10934" priority="11225" operator="containsText" text="No Aplica">
      <formula>NOT(ISERROR(SEARCH("No Aplica",S107)))</formula>
    </cfRule>
    <cfRule type="containsText" dxfId="10933" priority="11226" operator="containsText" text="Fallido">
      <formula>NOT(ISERROR(SEARCH("Fallido",S107)))</formula>
    </cfRule>
    <cfRule type="containsText" dxfId="10932" priority="11227" operator="containsText" text="Éxitoso">
      <formula>NOT(ISERROR(SEARCH("Éxitoso",S107)))</formula>
    </cfRule>
  </conditionalFormatting>
  <conditionalFormatting sqref="T107">
    <cfRule type="containsText" dxfId="10931" priority="11218" operator="containsText" text="No se pudo ejecutar">
      <formula>NOT(ISERROR(SEARCH("No se pudo ejecutar",T107)))</formula>
    </cfRule>
    <cfRule type="containsText" dxfId="10930" priority="11219" operator="containsText" text="Pendiente">
      <formula>NOT(ISERROR(SEARCH("Pendiente",T107)))</formula>
    </cfRule>
    <cfRule type="containsText" dxfId="10929" priority="11220" operator="containsText" text="No Aplica">
      <formula>NOT(ISERROR(SEARCH("No Aplica",T107)))</formula>
    </cfRule>
    <cfRule type="containsText" dxfId="10928" priority="11221" operator="containsText" text="Fallido">
      <formula>NOT(ISERROR(SEARCH("Fallido",T107)))</formula>
    </cfRule>
    <cfRule type="containsText" dxfId="10927" priority="11222" operator="containsText" text="Éxitoso">
      <formula>NOT(ISERROR(SEARCH("Éxitoso",T107)))</formula>
    </cfRule>
  </conditionalFormatting>
  <conditionalFormatting sqref="U107">
    <cfRule type="containsText" dxfId="10926" priority="11213" operator="containsText" text="No se pudo ejecutar">
      <formula>NOT(ISERROR(SEARCH("No se pudo ejecutar",U107)))</formula>
    </cfRule>
    <cfRule type="containsText" dxfId="10925" priority="11214" operator="containsText" text="Pendiente">
      <formula>NOT(ISERROR(SEARCH("Pendiente",U107)))</formula>
    </cfRule>
    <cfRule type="containsText" dxfId="10924" priority="11215" operator="containsText" text="No Aplica">
      <formula>NOT(ISERROR(SEARCH("No Aplica",U107)))</formula>
    </cfRule>
    <cfRule type="containsText" dxfId="10923" priority="11216" operator="containsText" text="Fallido">
      <formula>NOT(ISERROR(SEARCH("Fallido",U107)))</formula>
    </cfRule>
    <cfRule type="containsText" dxfId="10922" priority="11217" operator="containsText" text="Éxitoso">
      <formula>NOT(ISERROR(SEARCH("Éxitoso",U107)))</formula>
    </cfRule>
  </conditionalFormatting>
  <conditionalFormatting sqref="V107">
    <cfRule type="containsText" dxfId="10921" priority="11208" operator="containsText" text="No se pudo ejecutar">
      <formula>NOT(ISERROR(SEARCH("No se pudo ejecutar",V107)))</formula>
    </cfRule>
    <cfRule type="containsText" dxfId="10920" priority="11209" operator="containsText" text="Pendiente">
      <formula>NOT(ISERROR(SEARCH("Pendiente",V107)))</formula>
    </cfRule>
    <cfRule type="containsText" dxfId="10919" priority="11210" operator="containsText" text="No Aplica">
      <formula>NOT(ISERROR(SEARCH("No Aplica",V107)))</formula>
    </cfRule>
    <cfRule type="containsText" dxfId="10918" priority="11211" operator="containsText" text="Fallido">
      <formula>NOT(ISERROR(SEARCH("Fallido",V107)))</formula>
    </cfRule>
    <cfRule type="containsText" dxfId="10917" priority="11212" operator="containsText" text="Éxitoso">
      <formula>NOT(ISERROR(SEARCH("Éxitoso",V107)))</formula>
    </cfRule>
  </conditionalFormatting>
  <conditionalFormatting sqref="W107">
    <cfRule type="containsText" dxfId="10916" priority="11203" operator="containsText" text="No se pudo ejecutar">
      <formula>NOT(ISERROR(SEARCH("No se pudo ejecutar",W107)))</formula>
    </cfRule>
    <cfRule type="containsText" dxfId="10915" priority="11204" operator="containsText" text="Pendiente">
      <formula>NOT(ISERROR(SEARCH("Pendiente",W107)))</formula>
    </cfRule>
    <cfRule type="containsText" dxfId="10914" priority="11205" operator="containsText" text="No Aplica">
      <formula>NOT(ISERROR(SEARCH("No Aplica",W107)))</formula>
    </cfRule>
    <cfRule type="containsText" dxfId="10913" priority="11206" operator="containsText" text="Fallido">
      <formula>NOT(ISERROR(SEARCH("Fallido",W107)))</formula>
    </cfRule>
    <cfRule type="containsText" dxfId="10912" priority="11207" operator="containsText" text="Éxitoso">
      <formula>NOT(ISERROR(SEARCH("Éxitoso",W107)))</formula>
    </cfRule>
  </conditionalFormatting>
  <conditionalFormatting sqref="M107">
    <cfRule type="containsText" dxfId="10911" priority="11198" operator="containsText" text="No se pudo ejecutar">
      <formula>NOT(ISERROR(SEARCH("No se pudo ejecutar",M107)))</formula>
    </cfRule>
    <cfRule type="containsText" dxfId="10910" priority="11199" operator="containsText" text="Pendiente">
      <formula>NOT(ISERROR(SEARCH("Pendiente",M107)))</formula>
    </cfRule>
    <cfRule type="containsText" dxfId="10909" priority="11200" operator="containsText" text="No Aplica">
      <formula>NOT(ISERROR(SEARCH("No Aplica",M107)))</formula>
    </cfRule>
    <cfRule type="containsText" dxfId="10908" priority="11201" operator="containsText" text="Fallido">
      <formula>NOT(ISERROR(SEARCH("Fallido",M107)))</formula>
    </cfRule>
    <cfRule type="containsText" dxfId="10907" priority="11202" operator="containsText" text="Éxitoso">
      <formula>NOT(ISERROR(SEARCH("Éxitoso",M107)))</formula>
    </cfRule>
  </conditionalFormatting>
  <conditionalFormatting sqref="G107">
    <cfRule type="containsText" dxfId="10906" priority="11195" operator="containsText" text="Bajo">
      <formula>NOT(ISERROR(SEARCH("Bajo",G107)))</formula>
    </cfRule>
    <cfRule type="containsText" dxfId="10905" priority="11196" operator="containsText" text="Medio">
      <formula>NOT(ISERROR(SEARCH("Medio",G107)))</formula>
    </cfRule>
    <cfRule type="containsText" dxfId="10904" priority="11197" operator="containsText" text="Alto">
      <formula>NOT(ISERROR(SEARCH("Alto",G107)))</formula>
    </cfRule>
  </conditionalFormatting>
  <conditionalFormatting sqref="N108">
    <cfRule type="containsText" dxfId="10903" priority="11190" operator="containsText" text="No se pudo ejecutar">
      <formula>NOT(ISERROR(SEARCH("No se pudo ejecutar",N108)))</formula>
    </cfRule>
    <cfRule type="containsText" dxfId="10902" priority="11191" operator="containsText" text="Pendiente">
      <formula>NOT(ISERROR(SEARCH("Pendiente",N108)))</formula>
    </cfRule>
    <cfRule type="containsText" dxfId="10901" priority="11192" operator="containsText" text="No Aplica">
      <formula>NOT(ISERROR(SEARCH("No Aplica",N108)))</formula>
    </cfRule>
    <cfRule type="containsText" dxfId="10900" priority="11193" operator="containsText" text="Fallido">
      <formula>NOT(ISERROR(SEARCH("Fallido",N108)))</formula>
    </cfRule>
    <cfRule type="containsText" dxfId="10899" priority="11194" operator="containsText" text="Éxitoso">
      <formula>NOT(ISERROR(SEARCH("Éxitoso",N108)))</formula>
    </cfRule>
  </conditionalFormatting>
  <conditionalFormatting sqref="O108">
    <cfRule type="containsText" dxfId="10898" priority="11185" operator="containsText" text="No se pudo ejecutar">
      <formula>NOT(ISERROR(SEARCH("No se pudo ejecutar",O108)))</formula>
    </cfRule>
    <cfRule type="containsText" dxfId="10897" priority="11186" operator="containsText" text="Pendiente">
      <formula>NOT(ISERROR(SEARCH("Pendiente",O108)))</formula>
    </cfRule>
    <cfRule type="containsText" dxfId="10896" priority="11187" operator="containsText" text="No Aplica">
      <formula>NOT(ISERROR(SEARCH("No Aplica",O108)))</formula>
    </cfRule>
    <cfRule type="containsText" dxfId="10895" priority="11188" operator="containsText" text="Fallido">
      <formula>NOT(ISERROR(SEARCH("Fallido",O108)))</formula>
    </cfRule>
    <cfRule type="containsText" dxfId="10894" priority="11189" operator="containsText" text="Éxitoso">
      <formula>NOT(ISERROR(SEARCH("Éxitoso",O108)))</formula>
    </cfRule>
  </conditionalFormatting>
  <conditionalFormatting sqref="P108">
    <cfRule type="containsText" dxfId="10893" priority="11180" operator="containsText" text="No se pudo ejecutar">
      <formula>NOT(ISERROR(SEARCH("No se pudo ejecutar",P108)))</formula>
    </cfRule>
    <cfRule type="containsText" dxfId="10892" priority="11181" operator="containsText" text="Pendiente">
      <formula>NOT(ISERROR(SEARCH("Pendiente",P108)))</formula>
    </cfRule>
    <cfRule type="containsText" dxfId="10891" priority="11182" operator="containsText" text="No Aplica">
      <formula>NOT(ISERROR(SEARCH("No Aplica",P108)))</formula>
    </cfRule>
    <cfRule type="containsText" dxfId="10890" priority="11183" operator="containsText" text="Fallido">
      <formula>NOT(ISERROR(SEARCH("Fallido",P108)))</formula>
    </cfRule>
    <cfRule type="containsText" dxfId="10889" priority="11184" operator="containsText" text="Éxitoso">
      <formula>NOT(ISERROR(SEARCH("Éxitoso",P108)))</formula>
    </cfRule>
  </conditionalFormatting>
  <conditionalFormatting sqref="Q108">
    <cfRule type="containsText" dxfId="10888" priority="11175" operator="containsText" text="No se pudo ejecutar">
      <formula>NOT(ISERROR(SEARCH("No se pudo ejecutar",Q108)))</formula>
    </cfRule>
    <cfRule type="containsText" dxfId="10887" priority="11176" operator="containsText" text="Pendiente">
      <formula>NOT(ISERROR(SEARCH("Pendiente",Q108)))</formula>
    </cfRule>
    <cfRule type="containsText" dxfId="10886" priority="11177" operator="containsText" text="No Aplica">
      <formula>NOT(ISERROR(SEARCH("No Aplica",Q108)))</formula>
    </cfRule>
    <cfRule type="containsText" dxfId="10885" priority="11178" operator="containsText" text="Fallido">
      <formula>NOT(ISERROR(SEARCH("Fallido",Q108)))</formula>
    </cfRule>
    <cfRule type="containsText" dxfId="10884" priority="11179" operator="containsText" text="Éxitoso">
      <formula>NOT(ISERROR(SEARCH("Éxitoso",Q108)))</formula>
    </cfRule>
  </conditionalFormatting>
  <conditionalFormatting sqref="R108">
    <cfRule type="containsText" dxfId="10883" priority="11170" operator="containsText" text="No se pudo ejecutar">
      <formula>NOT(ISERROR(SEARCH("No se pudo ejecutar",R108)))</formula>
    </cfRule>
    <cfRule type="containsText" dxfId="10882" priority="11171" operator="containsText" text="Pendiente">
      <formula>NOT(ISERROR(SEARCH("Pendiente",R108)))</formula>
    </cfRule>
    <cfRule type="containsText" dxfId="10881" priority="11172" operator="containsText" text="No Aplica">
      <formula>NOT(ISERROR(SEARCH("No Aplica",R108)))</formula>
    </cfRule>
    <cfRule type="containsText" dxfId="10880" priority="11173" operator="containsText" text="Fallido">
      <formula>NOT(ISERROR(SEARCH("Fallido",R108)))</formula>
    </cfRule>
    <cfRule type="containsText" dxfId="10879" priority="11174" operator="containsText" text="Éxitoso">
      <formula>NOT(ISERROR(SEARCH("Éxitoso",R108)))</formula>
    </cfRule>
  </conditionalFormatting>
  <conditionalFormatting sqref="S108">
    <cfRule type="containsText" dxfId="10878" priority="11165" operator="containsText" text="No se pudo ejecutar">
      <formula>NOT(ISERROR(SEARCH("No se pudo ejecutar",S108)))</formula>
    </cfRule>
    <cfRule type="containsText" dxfId="10877" priority="11166" operator="containsText" text="Pendiente">
      <formula>NOT(ISERROR(SEARCH("Pendiente",S108)))</formula>
    </cfRule>
    <cfRule type="containsText" dxfId="10876" priority="11167" operator="containsText" text="No Aplica">
      <formula>NOT(ISERROR(SEARCH("No Aplica",S108)))</formula>
    </cfRule>
    <cfRule type="containsText" dxfId="10875" priority="11168" operator="containsText" text="Fallido">
      <formula>NOT(ISERROR(SEARCH("Fallido",S108)))</formula>
    </cfRule>
    <cfRule type="containsText" dxfId="10874" priority="11169" operator="containsText" text="Éxitoso">
      <formula>NOT(ISERROR(SEARCH("Éxitoso",S108)))</formula>
    </cfRule>
  </conditionalFormatting>
  <conditionalFormatting sqref="T108">
    <cfRule type="containsText" dxfId="10873" priority="11160" operator="containsText" text="No se pudo ejecutar">
      <formula>NOT(ISERROR(SEARCH("No se pudo ejecutar",T108)))</formula>
    </cfRule>
    <cfRule type="containsText" dxfId="10872" priority="11161" operator="containsText" text="Pendiente">
      <formula>NOT(ISERROR(SEARCH("Pendiente",T108)))</formula>
    </cfRule>
    <cfRule type="containsText" dxfId="10871" priority="11162" operator="containsText" text="No Aplica">
      <formula>NOT(ISERROR(SEARCH("No Aplica",T108)))</formula>
    </cfRule>
    <cfRule type="containsText" dxfId="10870" priority="11163" operator="containsText" text="Fallido">
      <formula>NOT(ISERROR(SEARCH("Fallido",T108)))</formula>
    </cfRule>
    <cfRule type="containsText" dxfId="10869" priority="11164" operator="containsText" text="Éxitoso">
      <formula>NOT(ISERROR(SEARCH("Éxitoso",T108)))</formula>
    </cfRule>
  </conditionalFormatting>
  <conditionalFormatting sqref="U108">
    <cfRule type="containsText" dxfId="10868" priority="11155" operator="containsText" text="No se pudo ejecutar">
      <formula>NOT(ISERROR(SEARCH("No se pudo ejecutar",U108)))</formula>
    </cfRule>
    <cfRule type="containsText" dxfId="10867" priority="11156" operator="containsText" text="Pendiente">
      <formula>NOT(ISERROR(SEARCH("Pendiente",U108)))</formula>
    </cfRule>
    <cfRule type="containsText" dxfId="10866" priority="11157" operator="containsText" text="No Aplica">
      <formula>NOT(ISERROR(SEARCH("No Aplica",U108)))</formula>
    </cfRule>
    <cfRule type="containsText" dxfId="10865" priority="11158" operator="containsText" text="Fallido">
      <formula>NOT(ISERROR(SEARCH("Fallido",U108)))</formula>
    </cfRule>
    <cfRule type="containsText" dxfId="10864" priority="11159" operator="containsText" text="Éxitoso">
      <formula>NOT(ISERROR(SEARCH("Éxitoso",U108)))</formula>
    </cfRule>
  </conditionalFormatting>
  <conditionalFormatting sqref="V108">
    <cfRule type="containsText" dxfId="10863" priority="11150" operator="containsText" text="No se pudo ejecutar">
      <formula>NOT(ISERROR(SEARCH("No se pudo ejecutar",V108)))</formula>
    </cfRule>
    <cfRule type="containsText" dxfId="10862" priority="11151" operator="containsText" text="Pendiente">
      <formula>NOT(ISERROR(SEARCH("Pendiente",V108)))</formula>
    </cfRule>
    <cfRule type="containsText" dxfId="10861" priority="11152" operator="containsText" text="No Aplica">
      <formula>NOT(ISERROR(SEARCH("No Aplica",V108)))</formula>
    </cfRule>
    <cfRule type="containsText" dxfId="10860" priority="11153" operator="containsText" text="Fallido">
      <formula>NOT(ISERROR(SEARCH("Fallido",V108)))</formula>
    </cfRule>
    <cfRule type="containsText" dxfId="10859" priority="11154" operator="containsText" text="Éxitoso">
      <formula>NOT(ISERROR(SEARCH("Éxitoso",V108)))</formula>
    </cfRule>
  </conditionalFormatting>
  <conditionalFormatting sqref="W108">
    <cfRule type="containsText" dxfId="10858" priority="11145" operator="containsText" text="No se pudo ejecutar">
      <formula>NOT(ISERROR(SEARCH("No se pudo ejecutar",W108)))</formula>
    </cfRule>
    <cfRule type="containsText" dxfId="10857" priority="11146" operator="containsText" text="Pendiente">
      <formula>NOT(ISERROR(SEARCH("Pendiente",W108)))</formula>
    </cfRule>
    <cfRule type="containsText" dxfId="10856" priority="11147" operator="containsText" text="No Aplica">
      <formula>NOT(ISERROR(SEARCH("No Aplica",W108)))</formula>
    </cfRule>
    <cfRule type="containsText" dxfId="10855" priority="11148" operator="containsText" text="Fallido">
      <formula>NOT(ISERROR(SEARCH("Fallido",W108)))</formula>
    </cfRule>
    <cfRule type="containsText" dxfId="10854" priority="11149" operator="containsText" text="Éxitoso">
      <formula>NOT(ISERROR(SEARCH("Éxitoso",W108)))</formula>
    </cfRule>
  </conditionalFormatting>
  <conditionalFormatting sqref="M108">
    <cfRule type="containsText" dxfId="10853" priority="11140" operator="containsText" text="No se pudo ejecutar">
      <formula>NOT(ISERROR(SEARCH("No se pudo ejecutar",M108)))</formula>
    </cfRule>
    <cfRule type="containsText" dxfId="10852" priority="11141" operator="containsText" text="Pendiente">
      <formula>NOT(ISERROR(SEARCH("Pendiente",M108)))</formula>
    </cfRule>
    <cfRule type="containsText" dxfId="10851" priority="11142" operator="containsText" text="No Aplica">
      <formula>NOT(ISERROR(SEARCH("No Aplica",M108)))</formula>
    </cfRule>
    <cfRule type="containsText" dxfId="10850" priority="11143" operator="containsText" text="Fallido">
      <formula>NOT(ISERROR(SEARCH("Fallido",M108)))</formula>
    </cfRule>
    <cfRule type="containsText" dxfId="10849" priority="11144" operator="containsText" text="Éxitoso">
      <formula>NOT(ISERROR(SEARCH("Éxitoso",M108)))</formula>
    </cfRule>
  </conditionalFormatting>
  <conditionalFormatting sqref="G108">
    <cfRule type="containsText" dxfId="10848" priority="11137" operator="containsText" text="Bajo">
      <formula>NOT(ISERROR(SEARCH("Bajo",G108)))</formula>
    </cfRule>
    <cfRule type="containsText" dxfId="10847" priority="11138" operator="containsText" text="Medio">
      <formula>NOT(ISERROR(SEARCH("Medio",G108)))</formula>
    </cfRule>
    <cfRule type="containsText" dxfId="10846" priority="11139" operator="containsText" text="Alto">
      <formula>NOT(ISERROR(SEARCH("Alto",G108)))</formula>
    </cfRule>
  </conditionalFormatting>
  <conditionalFormatting sqref="N109">
    <cfRule type="containsText" dxfId="10845" priority="11132" operator="containsText" text="No se pudo ejecutar">
      <formula>NOT(ISERROR(SEARCH("No se pudo ejecutar",N109)))</formula>
    </cfRule>
    <cfRule type="containsText" dxfId="10844" priority="11133" operator="containsText" text="Pendiente">
      <formula>NOT(ISERROR(SEARCH("Pendiente",N109)))</formula>
    </cfRule>
    <cfRule type="containsText" dxfId="10843" priority="11134" operator="containsText" text="No Aplica">
      <formula>NOT(ISERROR(SEARCH("No Aplica",N109)))</formula>
    </cfRule>
    <cfRule type="containsText" dxfId="10842" priority="11135" operator="containsText" text="Fallido">
      <formula>NOT(ISERROR(SEARCH("Fallido",N109)))</formula>
    </cfRule>
    <cfRule type="containsText" dxfId="10841" priority="11136" operator="containsText" text="Éxitoso">
      <formula>NOT(ISERROR(SEARCH("Éxitoso",N109)))</formula>
    </cfRule>
  </conditionalFormatting>
  <conditionalFormatting sqref="O109">
    <cfRule type="containsText" dxfId="10840" priority="11127" operator="containsText" text="No se pudo ejecutar">
      <formula>NOT(ISERROR(SEARCH("No se pudo ejecutar",O109)))</formula>
    </cfRule>
    <cfRule type="containsText" dxfId="10839" priority="11128" operator="containsText" text="Pendiente">
      <formula>NOT(ISERROR(SEARCH("Pendiente",O109)))</formula>
    </cfRule>
    <cfRule type="containsText" dxfId="10838" priority="11129" operator="containsText" text="No Aplica">
      <formula>NOT(ISERROR(SEARCH("No Aplica",O109)))</formula>
    </cfRule>
    <cfRule type="containsText" dxfId="10837" priority="11130" operator="containsText" text="Fallido">
      <formula>NOT(ISERROR(SEARCH("Fallido",O109)))</formula>
    </cfRule>
    <cfRule type="containsText" dxfId="10836" priority="11131" operator="containsText" text="Éxitoso">
      <formula>NOT(ISERROR(SEARCH("Éxitoso",O109)))</formula>
    </cfRule>
  </conditionalFormatting>
  <conditionalFormatting sqref="P109">
    <cfRule type="containsText" dxfId="10835" priority="11122" operator="containsText" text="No se pudo ejecutar">
      <formula>NOT(ISERROR(SEARCH("No se pudo ejecutar",P109)))</formula>
    </cfRule>
    <cfRule type="containsText" dxfId="10834" priority="11123" operator="containsText" text="Pendiente">
      <formula>NOT(ISERROR(SEARCH("Pendiente",P109)))</formula>
    </cfRule>
    <cfRule type="containsText" dxfId="10833" priority="11124" operator="containsText" text="No Aplica">
      <formula>NOT(ISERROR(SEARCH("No Aplica",P109)))</formula>
    </cfRule>
    <cfRule type="containsText" dxfId="10832" priority="11125" operator="containsText" text="Fallido">
      <formula>NOT(ISERROR(SEARCH("Fallido",P109)))</formula>
    </cfRule>
    <cfRule type="containsText" dxfId="10831" priority="11126" operator="containsText" text="Éxitoso">
      <formula>NOT(ISERROR(SEARCH("Éxitoso",P109)))</formula>
    </cfRule>
  </conditionalFormatting>
  <conditionalFormatting sqref="Q109">
    <cfRule type="containsText" dxfId="10830" priority="11117" operator="containsText" text="No se pudo ejecutar">
      <formula>NOT(ISERROR(SEARCH("No se pudo ejecutar",Q109)))</formula>
    </cfRule>
    <cfRule type="containsText" dxfId="10829" priority="11118" operator="containsText" text="Pendiente">
      <formula>NOT(ISERROR(SEARCH("Pendiente",Q109)))</formula>
    </cfRule>
    <cfRule type="containsText" dxfId="10828" priority="11119" operator="containsText" text="No Aplica">
      <formula>NOT(ISERROR(SEARCH("No Aplica",Q109)))</formula>
    </cfRule>
    <cfRule type="containsText" dxfId="10827" priority="11120" operator="containsText" text="Fallido">
      <formula>NOT(ISERROR(SEARCH("Fallido",Q109)))</formula>
    </cfRule>
    <cfRule type="containsText" dxfId="10826" priority="11121" operator="containsText" text="Éxitoso">
      <formula>NOT(ISERROR(SEARCH("Éxitoso",Q109)))</formula>
    </cfRule>
  </conditionalFormatting>
  <conditionalFormatting sqref="R109">
    <cfRule type="containsText" dxfId="10825" priority="11112" operator="containsText" text="No se pudo ejecutar">
      <formula>NOT(ISERROR(SEARCH("No se pudo ejecutar",R109)))</formula>
    </cfRule>
    <cfRule type="containsText" dxfId="10824" priority="11113" operator="containsText" text="Pendiente">
      <formula>NOT(ISERROR(SEARCH("Pendiente",R109)))</formula>
    </cfRule>
    <cfRule type="containsText" dxfId="10823" priority="11114" operator="containsText" text="No Aplica">
      <formula>NOT(ISERROR(SEARCH("No Aplica",R109)))</formula>
    </cfRule>
    <cfRule type="containsText" dxfId="10822" priority="11115" operator="containsText" text="Fallido">
      <formula>NOT(ISERROR(SEARCH("Fallido",R109)))</formula>
    </cfRule>
    <cfRule type="containsText" dxfId="10821" priority="11116" operator="containsText" text="Éxitoso">
      <formula>NOT(ISERROR(SEARCH("Éxitoso",R109)))</formula>
    </cfRule>
  </conditionalFormatting>
  <conditionalFormatting sqref="S109">
    <cfRule type="containsText" dxfId="10820" priority="11107" operator="containsText" text="No se pudo ejecutar">
      <formula>NOT(ISERROR(SEARCH("No se pudo ejecutar",S109)))</formula>
    </cfRule>
    <cfRule type="containsText" dxfId="10819" priority="11108" operator="containsText" text="Pendiente">
      <formula>NOT(ISERROR(SEARCH("Pendiente",S109)))</formula>
    </cfRule>
    <cfRule type="containsText" dxfId="10818" priority="11109" operator="containsText" text="No Aplica">
      <formula>NOT(ISERROR(SEARCH("No Aplica",S109)))</formula>
    </cfRule>
    <cfRule type="containsText" dxfId="10817" priority="11110" operator="containsText" text="Fallido">
      <formula>NOT(ISERROR(SEARCH("Fallido",S109)))</formula>
    </cfRule>
    <cfRule type="containsText" dxfId="10816" priority="11111" operator="containsText" text="Éxitoso">
      <formula>NOT(ISERROR(SEARCH("Éxitoso",S109)))</formula>
    </cfRule>
  </conditionalFormatting>
  <conditionalFormatting sqref="T109">
    <cfRule type="containsText" dxfId="10815" priority="11102" operator="containsText" text="No se pudo ejecutar">
      <formula>NOT(ISERROR(SEARCH("No se pudo ejecutar",T109)))</formula>
    </cfRule>
    <cfRule type="containsText" dxfId="10814" priority="11103" operator="containsText" text="Pendiente">
      <formula>NOT(ISERROR(SEARCH("Pendiente",T109)))</formula>
    </cfRule>
    <cfRule type="containsText" dxfId="10813" priority="11104" operator="containsText" text="No Aplica">
      <formula>NOT(ISERROR(SEARCH("No Aplica",T109)))</formula>
    </cfRule>
    <cfRule type="containsText" dxfId="10812" priority="11105" operator="containsText" text="Fallido">
      <formula>NOT(ISERROR(SEARCH("Fallido",T109)))</formula>
    </cfRule>
    <cfRule type="containsText" dxfId="10811" priority="11106" operator="containsText" text="Éxitoso">
      <formula>NOT(ISERROR(SEARCH("Éxitoso",T109)))</formula>
    </cfRule>
  </conditionalFormatting>
  <conditionalFormatting sqref="U109">
    <cfRule type="containsText" dxfId="10810" priority="11097" operator="containsText" text="No se pudo ejecutar">
      <formula>NOT(ISERROR(SEARCH("No se pudo ejecutar",U109)))</formula>
    </cfRule>
    <cfRule type="containsText" dxfId="10809" priority="11098" operator="containsText" text="Pendiente">
      <formula>NOT(ISERROR(SEARCH("Pendiente",U109)))</formula>
    </cfRule>
    <cfRule type="containsText" dxfId="10808" priority="11099" operator="containsText" text="No Aplica">
      <formula>NOT(ISERROR(SEARCH("No Aplica",U109)))</formula>
    </cfRule>
    <cfRule type="containsText" dxfId="10807" priority="11100" operator="containsText" text="Fallido">
      <formula>NOT(ISERROR(SEARCH("Fallido",U109)))</formula>
    </cfRule>
    <cfRule type="containsText" dxfId="10806" priority="11101" operator="containsText" text="Éxitoso">
      <formula>NOT(ISERROR(SEARCH("Éxitoso",U109)))</formula>
    </cfRule>
  </conditionalFormatting>
  <conditionalFormatting sqref="V109">
    <cfRule type="containsText" dxfId="10805" priority="11092" operator="containsText" text="No se pudo ejecutar">
      <formula>NOT(ISERROR(SEARCH("No se pudo ejecutar",V109)))</formula>
    </cfRule>
    <cfRule type="containsText" dxfId="10804" priority="11093" operator="containsText" text="Pendiente">
      <formula>NOT(ISERROR(SEARCH("Pendiente",V109)))</formula>
    </cfRule>
    <cfRule type="containsText" dxfId="10803" priority="11094" operator="containsText" text="No Aplica">
      <formula>NOT(ISERROR(SEARCH("No Aplica",V109)))</formula>
    </cfRule>
    <cfRule type="containsText" dxfId="10802" priority="11095" operator="containsText" text="Fallido">
      <formula>NOT(ISERROR(SEARCH("Fallido",V109)))</formula>
    </cfRule>
    <cfRule type="containsText" dxfId="10801" priority="11096" operator="containsText" text="Éxitoso">
      <formula>NOT(ISERROR(SEARCH("Éxitoso",V109)))</formula>
    </cfRule>
  </conditionalFormatting>
  <conditionalFormatting sqref="W109">
    <cfRule type="containsText" dxfId="10800" priority="11087" operator="containsText" text="No se pudo ejecutar">
      <formula>NOT(ISERROR(SEARCH("No se pudo ejecutar",W109)))</formula>
    </cfRule>
    <cfRule type="containsText" dxfId="10799" priority="11088" operator="containsText" text="Pendiente">
      <formula>NOT(ISERROR(SEARCH("Pendiente",W109)))</formula>
    </cfRule>
    <cfRule type="containsText" dxfId="10798" priority="11089" operator="containsText" text="No Aplica">
      <formula>NOT(ISERROR(SEARCH("No Aplica",W109)))</formula>
    </cfRule>
    <cfRule type="containsText" dxfId="10797" priority="11090" operator="containsText" text="Fallido">
      <formula>NOT(ISERROR(SEARCH("Fallido",W109)))</formula>
    </cfRule>
    <cfRule type="containsText" dxfId="10796" priority="11091" operator="containsText" text="Éxitoso">
      <formula>NOT(ISERROR(SEARCH("Éxitoso",W109)))</formula>
    </cfRule>
  </conditionalFormatting>
  <conditionalFormatting sqref="M109">
    <cfRule type="containsText" dxfId="10795" priority="11082" operator="containsText" text="No se pudo ejecutar">
      <formula>NOT(ISERROR(SEARCH("No se pudo ejecutar",M109)))</formula>
    </cfRule>
    <cfRule type="containsText" dxfId="10794" priority="11083" operator="containsText" text="Pendiente">
      <formula>NOT(ISERROR(SEARCH("Pendiente",M109)))</formula>
    </cfRule>
    <cfRule type="containsText" dxfId="10793" priority="11084" operator="containsText" text="No Aplica">
      <formula>NOT(ISERROR(SEARCH("No Aplica",M109)))</formula>
    </cfRule>
    <cfRule type="containsText" dxfId="10792" priority="11085" operator="containsText" text="Fallido">
      <formula>NOT(ISERROR(SEARCH("Fallido",M109)))</formula>
    </cfRule>
    <cfRule type="containsText" dxfId="10791" priority="11086" operator="containsText" text="Éxitoso">
      <formula>NOT(ISERROR(SEARCH("Éxitoso",M109)))</formula>
    </cfRule>
  </conditionalFormatting>
  <conditionalFormatting sqref="G109">
    <cfRule type="containsText" dxfId="10790" priority="11079" operator="containsText" text="Bajo">
      <formula>NOT(ISERROR(SEARCH("Bajo",G109)))</formula>
    </cfRule>
    <cfRule type="containsText" dxfId="10789" priority="11080" operator="containsText" text="Medio">
      <formula>NOT(ISERROR(SEARCH("Medio",G109)))</formula>
    </cfRule>
    <cfRule type="containsText" dxfId="10788" priority="11081" operator="containsText" text="Alto">
      <formula>NOT(ISERROR(SEARCH("Alto",G109)))</formula>
    </cfRule>
  </conditionalFormatting>
  <conditionalFormatting sqref="N110">
    <cfRule type="containsText" dxfId="10787" priority="11074" operator="containsText" text="No se pudo ejecutar">
      <formula>NOT(ISERROR(SEARCH("No se pudo ejecutar",N110)))</formula>
    </cfRule>
    <cfRule type="containsText" dxfId="10786" priority="11075" operator="containsText" text="Pendiente">
      <formula>NOT(ISERROR(SEARCH("Pendiente",N110)))</formula>
    </cfRule>
    <cfRule type="containsText" dxfId="10785" priority="11076" operator="containsText" text="No Aplica">
      <formula>NOT(ISERROR(SEARCH("No Aplica",N110)))</formula>
    </cfRule>
    <cfRule type="containsText" dxfId="10784" priority="11077" operator="containsText" text="Fallido">
      <formula>NOT(ISERROR(SEARCH("Fallido",N110)))</formula>
    </cfRule>
    <cfRule type="containsText" dxfId="10783" priority="11078" operator="containsText" text="Éxitoso">
      <formula>NOT(ISERROR(SEARCH("Éxitoso",N110)))</formula>
    </cfRule>
  </conditionalFormatting>
  <conditionalFormatting sqref="O110">
    <cfRule type="containsText" dxfId="10782" priority="11069" operator="containsText" text="No se pudo ejecutar">
      <formula>NOT(ISERROR(SEARCH("No se pudo ejecutar",O110)))</formula>
    </cfRule>
    <cfRule type="containsText" dxfId="10781" priority="11070" operator="containsText" text="Pendiente">
      <formula>NOT(ISERROR(SEARCH("Pendiente",O110)))</formula>
    </cfRule>
    <cfRule type="containsText" dxfId="10780" priority="11071" operator="containsText" text="No Aplica">
      <formula>NOT(ISERROR(SEARCH("No Aplica",O110)))</formula>
    </cfRule>
    <cfRule type="containsText" dxfId="10779" priority="11072" operator="containsText" text="Fallido">
      <formula>NOT(ISERROR(SEARCH("Fallido",O110)))</formula>
    </cfRule>
    <cfRule type="containsText" dxfId="10778" priority="11073" operator="containsText" text="Éxitoso">
      <formula>NOT(ISERROR(SEARCH("Éxitoso",O110)))</formula>
    </cfRule>
  </conditionalFormatting>
  <conditionalFormatting sqref="P110">
    <cfRule type="containsText" dxfId="10777" priority="11064" operator="containsText" text="No se pudo ejecutar">
      <formula>NOT(ISERROR(SEARCH("No se pudo ejecutar",P110)))</formula>
    </cfRule>
    <cfRule type="containsText" dxfId="10776" priority="11065" operator="containsText" text="Pendiente">
      <formula>NOT(ISERROR(SEARCH("Pendiente",P110)))</formula>
    </cfRule>
    <cfRule type="containsText" dxfId="10775" priority="11066" operator="containsText" text="No Aplica">
      <formula>NOT(ISERROR(SEARCH("No Aplica",P110)))</formula>
    </cfRule>
    <cfRule type="containsText" dxfId="10774" priority="11067" operator="containsText" text="Fallido">
      <formula>NOT(ISERROR(SEARCH("Fallido",P110)))</formula>
    </cfRule>
    <cfRule type="containsText" dxfId="10773" priority="11068" operator="containsText" text="Éxitoso">
      <formula>NOT(ISERROR(SEARCH("Éxitoso",P110)))</formula>
    </cfRule>
  </conditionalFormatting>
  <conditionalFormatting sqref="Q110">
    <cfRule type="containsText" dxfId="10772" priority="11059" operator="containsText" text="No se pudo ejecutar">
      <formula>NOT(ISERROR(SEARCH("No se pudo ejecutar",Q110)))</formula>
    </cfRule>
    <cfRule type="containsText" dxfId="10771" priority="11060" operator="containsText" text="Pendiente">
      <formula>NOT(ISERROR(SEARCH("Pendiente",Q110)))</formula>
    </cfRule>
    <cfRule type="containsText" dxfId="10770" priority="11061" operator="containsText" text="No Aplica">
      <formula>NOT(ISERROR(SEARCH("No Aplica",Q110)))</formula>
    </cfRule>
    <cfRule type="containsText" dxfId="10769" priority="11062" operator="containsText" text="Fallido">
      <formula>NOT(ISERROR(SEARCH("Fallido",Q110)))</formula>
    </cfRule>
    <cfRule type="containsText" dxfId="10768" priority="11063" operator="containsText" text="Éxitoso">
      <formula>NOT(ISERROR(SEARCH("Éxitoso",Q110)))</formula>
    </cfRule>
  </conditionalFormatting>
  <conditionalFormatting sqref="R110">
    <cfRule type="containsText" dxfId="10767" priority="11054" operator="containsText" text="No se pudo ejecutar">
      <formula>NOT(ISERROR(SEARCH("No se pudo ejecutar",R110)))</formula>
    </cfRule>
    <cfRule type="containsText" dxfId="10766" priority="11055" operator="containsText" text="Pendiente">
      <formula>NOT(ISERROR(SEARCH("Pendiente",R110)))</formula>
    </cfRule>
    <cfRule type="containsText" dxfId="10765" priority="11056" operator="containsText" text="No Aplica">
      <formula>NOT(ISERROR(SEARCH("No Aplica",R110)))</formula>
    </cfRule>
    <cfRule type="containsText" dxfId="10764" priority="11057" operator="containsText" text="Fallido">
      <formula>NOT(ISERROR(SEARCH("Fallido",R110)))</formula>
    </cfRule>
    <cfRule type="containsText" dxfId="10763" priority="11058" operator="containsText" text="Éxitoso">
      <formula>NOT(ISERROR(SEARCH("Éxitoso",R110)))</formula>
    </cfRule>
  </conditionalFormatting>
  <conditionalFormatting sqref="S110">
    <cfRule type="containsText" dxfId="10762" priority="11049" operator="containsText" text="No se pudo ejecutar">
      <formula>NOT(ISERROR(SEARCH("No se pudo ejecutar",S110)))</formula>
    </cfRule>
    <cfRule type="containsText" dxfId="10761" priority="11050" operator="containsText" text="Pendiente">
      <formula>NOT(ISERROR(SEARCH("Pendiente",S110)))</formula>
    </cfRule>
    <cfRule type="containsText" dxfId="10760" priority="11051" operator="containsText" text="No Aplica">
      <formula>NOT(ISERROR(SEARCH("No Aplica",S110)))</formula>
    </cfRule>
    <cfRule type="containsText" dxfId="10759" priority="11052" operator="containsText" text="Fallido">
      <formula>NOT(ISERROR(SEARCH("Fallido",S110)))</formula>
    </cfRule>
    <cfRule type="containsText" dxfId="10758" priority="11053" operator="containsText" text="Éxitoso">
      <formula>NOT(ISERROR(SEARCH("Éxitoso",S110)))</formula>
    </cfRule>
  </conditionalFormatting>
  <conditionalFormatting sqref="T110">
    <cfRule type="containsText" dxfId="10757" priority="11044" operator="containsText" text="No se pudo ejecutar">
      <formula>NOT(ISERROR(SEARCH("No se pudo ejecutar",T110)))</formula>
    </cfRule>
    <cfRule type="containsText" dxfId="10756" priority="11045" operator="containsText" text="Pendiente">
      <formula>NOT(ISERROR(SEARCH("Pendiente",T110)))</formula>
    </cfRule>
    <cfRule type="containsText" dxfId="10755" priority="11046" operator="containsText" text="No Aplica">
      <formula>NOT(ISERROR(SEARCH("No Aplica",T110)))</formula>
    </cfRule>
    <cfRule type="containsText" dxfId="10754" priority="11047" operator="containsText" text="Fallido">
      <formula>NOT(ISERROR(SEARCH("Fallido",T110)))</formula>
    </cfRule>
    <cfRule type="containsText" dxfId="10753" priority="11048" operator="containsText" text="Éxitoso">
      <formula>NOT(ISERROR(SEARCH("Éxitoso",T110)))</formula>
    </cfRule>
  </conditionalFormatting>
  <conditionalFormatting sqref="U110">
    <cfRule type="containsText" dxfId="10752" priority="11039" operator="containsText" text="No se pudo ejecutar">
      <formula>NOT(ISERROR(SEARCH("No se pudo ejecutar",U110)))</formula>
    </cfRule>
    <cfRule type="containsText" dxfId="10751" priority="11040" operator="containsText" text="Pendiente">
      <formula>NOT(ISERROR(SEARCH("Pendiente",U110)))</formula>
    </cfRule>
    <cfRule type="containsText" dxfId="10750" priority="11041" operator="containsText" text="No Aplica">
      <formula>NOT(ISERROR(SEARCH("No Aplica",U110)))</formula>
    </cfRule>
    <cfRule type="containsText" dxfId="10749" priority="11042" operator="containsText" text="Fallido">
      <formula>NOT(ISERROR(SEARCH("Fallido",U110)))</formula>
    </cfRule>
    <cfRule type="containsText" dxfId="10748" priority="11043" operator="containsText" text="Éxitoso">
      <formula>NOT(ISERROR(SEARCH("Éxitoso",U110)))</formula>
    </cfRule>
  </conditionalFormatting>
  <conditionalFormatting sqref="V110">
    <cfRule type="containsText" dxfId="10747" priority="11034" operator="containsText" text="No se pudo ejecutar">
      <formula>NOT(ISERROR(SEARCH("No se pudo ejecutar",V110)))</formula>
    </cfRule>
    <cfRule type="containsText" dxfId="10746" priority="11035" operator="containsText" text="Pendiente">
      <formula>NOT(ISERROR(SEARCH("Pendiente",V110)))</formula>
    </cfRule>
    <cfRule type="containsText" dxfId="10745" priority="11036" operator="containsText" text="No Aplica">
      <formula>NOT(ISERROR(SEARCH("No Aplica",V110)))</formula>
    </cfRule>
    <cfRule type="containsText" dxfId="10744" priority="11037" operator="containsText" text="Fallido">
      <formula>NOT(ISERROR(SEARCH("Fallido",V110)))</formula>
    </cfRule>
    <cfRule type="containsText" dxfId="10743" priority="11038" operator="containsText" text="Éxitoso">
      <formula>NOT(ISERROR(SEARCH("Éxitoso",V110)))</formula>
    </cfRule>
  </conditionalFormatting>
  <conditionalFormatting sqref="W110">
    <cfRule type="containsText" dxfId="10742" priority="11029" operator="containsText" text="No se pudo ejecutar">
      <formula>NOT(ISERROR(SEARCH("No se pudo ejecutar",W110)))</formula>
    </cfRule>
    <cfRule type="containsText" dxfId="10741" priority="11030" operator="containsText" text="Pendiente">
      <formula>NOT(ISERROR(SEARCH("Pendiente",W110)))</formula>
    </cfRule>
    <cfRule type="containsText" dxfId="10740" priority="11031" operator="containsText" text="No Aplica">
      <formula>NOT(ISERROR(SEARCH("No Aplica",W110)))</formula>
    </cfRule>
    <cfRule type="containsText" dxfId="10739" priority="11032" operator="containsText" text="Fallido">
      <formula>NOT(ISERROR(SEARCH("Fallido",W110)))</formula>
    </cfRule>
    <cfRule type="containsText" dxfId="10738" priority="11033" operator="containsText" text="Éxitoso">
      <formula>NOT(ISERROR(SEARCH("Éxitoso",W110)))</formula>
    </cfRule>
  </conditionalFormatting>
  <conditionalFormatting sqref="M110">
    <cfRule type="containsText" dxfId="10737" priority="11024" operator="containsText" text="No se pudo ejecutar">
      <formula>NOT(ISERROR(SEARCH("No se pudo ejecutar",M110)))</formula>
    </cfRule>
    <cfRule type="containsText" dxfId="10736" priority="11025" operator="containsText" text="Pendiente">
      <formula>NOT(ISERROR(SEARCH("Pendiente",M110)))</formula>
    </cfRule>
    <cfRule type="containsText" dxfId="10735" priority="11026" operator="containsText" text="No Aplica">
      <formula>NOT(ISERROR(SEARCH("No Aplica",M110)))</formula>
    </cfRule>
    <cfRule type="containsText" dxfId="10734" priority="11027" operator="containsText" text="Fallido">
      <formula>NOT(ISERROR(SEARCH("Fallido",M110)))</formula>
    </cfRule>
    <cfRule type="containsText" dxfId="10733" priority="11028" operator="containsText" text="Éxitoso">
      <formula>NOT(ISERROR(SEARCH("Éxitoso",M110)))</formula>
    </cfRule>
  </conditionalFormatting>
  <conditionalFormatting sqref="G110">
    <cfRule type="containsText" dxfId="10732" priority="11021" operator="containsText" text="Bajo">
      <formula>NOT(ISERROR(SEARCH("Bajo",G110)))</formula>
    </cfRule>
    <cfRule type="containsText" dxfId="10731" priority="11022" operator="containsText" text="Medio">
      <formula>NOT(ISERROR(SEARCH("Medio",G110)))</formula>
    </cfRule>
    <cfRule type="containsText" dxfId="10730" priority="11023" operator="containsText" text="Alto">
      <formula>NOT(ISERROR(SEARCH("Alto",G110)))</formula>
    </cfRule>
  </conditionalFormatting>
  <conditionalFormatting sqref="N111">
    <cfRule type="containsText" dxfId="10729" priority="11016" operator="containsText" text="No se pudo ejecutar">
      <formula>NOT(ISERROR(SEARCH("No se pudo ejecutar",N111)))</formula>
    </cfRule>
    <cfRule type="containsText" dxfId="10728" priority="11017" operator="containsText" text="Pendiente">
      <formula>NOT(ISERROR(SEARCH("Pendiente",N111)))</formula>
    </cfRule>
    <cfRule type="containsText" dxfId="10727" priority="11018" operator="containsText" text="No Aplica">
      <formula>NOT(ISERROR(SEARCH("No Aplica",N111)))</formula>
    </cfRule>
    <cfRule type="containsText" dxfId="10726" priority="11019" operator="containsText" text="Fallido">
      <formula>NOT(ISERROR(SEARCH("Fallido",N111)))</formula>
    </cfRule>
    <cfRule type="containsText" dxfId="10725" priority="11020" operator="containsText" text="Éxitoso">
      <formula>NOT(ISERROR(SEARCH("Éxitoso",N111)))</formula>
    </cfRule>
  </conditionalFormatting>
  <conditionalFormatting sqref="O111">
    <cfRule type="containsText" dxfId="10724" priority="11011" operator="containsText" text="No se pudo ejecutar">
      <formula>NOT(ISERROR(SEARCH("No se pudo ejecutar",O111)))</formula>
    </cfRule>
    <cfRule type="containsText" dxfId="10723" priority="11012" operator="containsText" text="Pendiente">
      <formula>NOT(ISERROR(SEARCH("Pendiente",O111)))</formula>
    </cfRule>
    <cfRule type="containsText" dxfId="10722" priority="11013" operator="containsText" text="No Aplica">
      <formula>NOT(ISERROR(SEARCH("No Aplica",O111)))</formula>
    </cfRule>
    <cfRule type="containsText" dxfId="10721" priority="11014" operator="containsText" text="Fallido">
      <formula>NOT(ISERROR(SEARCH("Fallido",O111)))</formula>
    </cfRule>
    <cfRule type="containsText" dxfId="10720" priority="11015" operator="containsText" text="Éxitoso">
      <formula>NOT(ISERROR(SEARCH("Éxitoso",O111)))</formula>
    </cfRule>
  </conditionalFormatting>
  <conditionalFormatting sqref="P111">
    <cfRule type="containsText" dxfId="10719" priority="11006" operator="containsText" text="No se pudo ejecutar">
      <formula>NOT(ISERROR(SEARCH("No se pudo ejecutar",P111)))</formula>
    </cfRule>
    <cfRule type="containsText" dxfId="10718" priority="11007" operator="containsText" text="Pendiente">
      <formula>NOT(ISERROR(SEARCH("Pendiente",P111)))</formula>
    </cfRule>
    <cfRule type="containsText" dxfId="10717" priority="11008" operator="containsText" text="No Aplica">
      <formula>NOT(ISERROR(SEARCH("No Aplica",P111)))</formula>
    </cfRule>
    <cfRule type="containsText" dxfId="10716" priority="11009" operator="containsText" text="Fallido">
      <formula>NOT(ISERROR(SEARCH("Fallido",P111)))</formula>
    </cfRule>
    <cfRule type="containsText" dxfId="10715" priority="11010" operator="containsText" text="Éxitoso">
      <formula>NOT(ISERROR(SEARCH("Éxitoso",P111)))</formula>
    </cfRule>
  </conditionalFormatting>
  <conditionalFormatting sqref="Q111">
    <cfRule type="containsText" dxfId="10714" priority="11001" operator="containsText" text="No se pudo ejecutar">
      <formula>NOT(ISERROR(SEARCH("No se pudo ejecutar",Q111)))</formula>
    </cfRule>
    <cfRule type="containsText" dxfId="10713" priority="11002" operator="containsText" text="Pendiente">
      <formula>NOT(ISERROR(SEARCH("Pendiente",Q111)))</formula>
    </cfRule>
    <cfRule type="containsText" dxfId="10712" priority="11003" operator="containsText" text="No Aplica">
      <formula>NOT(ISERROR(SEARCH("No Aplica",Q111)))</formula>
    </cfRule>
    <cfRule type="containsText" dxfId="10711" priority="11004" operator="containsText" text="Fallido">
      <formula>NOT(ISERROR(SEARCH("Fallido",Q111)))</formula>
    </cfRule>
    <cfRule type="containsText" dxfId="10710" priority="11005" operator="containsText" text="Éxitoso">
      <formula>NOT(ISERROR(SEARCH("Éxitoso",Q111)))</formula>
    </cfRule>
  </conditionalFormatting>
  <conditionalFormatting sqref="R111">
    <cfRule type="containsText" dxfId="10709" priority="10996" operator="containsText" text="No se pudo ejecutar">
      <formula>NOT(ISERROR(SEARCH("No se pudo ejecutar",R111)))</formula>
    </cfRule>
    <cfRule type="containsText" dxfId="10708" priority="10997" operator="containsText" text="Pendiente">
      <formula>NOT(ISERROR(SEARCH("Pendiente",R111)))</formula>
    </cfRule>
    <cfRule type="containsText" dxfId="10707" priority="10998" operator="containsText" text="No Aplica">
      <formula>NOT(ISERROR(SEARCH("No Aplica",R111)))</formula>
    </cfRule>
    <cfRule type="containsText" dxfId="10706" priority="10999" operator="containsText" text="Fallido">
      <formula>NOT(ISERROR(SEARCH("Fallido",R111)))</formula>
    </cfRule>
    <cfRule type="containsText" dxfId="10705" priority="11000" operator="containsText" text="Éxitoso">
      <formula>NOT(ISERROR(SEARCH("Éxitoso",R111)))</formula>
    </cfRule>
  </conditionalFormatting>
  <conditionalFormatting sqref="S111">
    <cfRule type="containsText" dxfId="10704" priority="10991" operator="containsText" text="No se pudo ejecutar">
      <formula>NOT(ISERROR(SEARCH("No se pudo ejecutar",S111)))</formula>
    </cfRule>
    <cfRule type="containsText" dxfId="10703" priority="10992" operator="containsText" text="Pendiente">
      <formula>NOT(ISERROR(SEARCH("Pendiente",S111)))</formula>
    </cfRule>
    <cfRule type="containsText" dxfId="10702" priority="10993" operator="containsText" text="No Aplica">
      <formula>NOT(ISERROR(SEARCH("No Aplica",S111)))</formula>
    </cfRule>
    <cfRule type="containsText" dxfId="10701" priority="10994" operator="containsText" text="Fallido">
      <formula>NOT(ISERROR(SEARCH("Fallido",S111)))</formula>
    </cfRule>
    <cfRule type="containsText" dxfId="10700" priority="10995" operator="containsText" text="Éxitoso">
      <formula>NOT(ISERROR(SEARCH("Éxitoso",S111)))</formula>
    </cfRule>
  </conditionalFormatting>
  <conditionalFormatting sqref="T111">
    <cfRule type="containsText" dxfId="10699" priority="10986" operator="containsText" text="No se pudo ejecutar">
      <formula>NOT(ISERROR(SEARCH("No se pudo ejecutar",T111)))</formula>
    </cfRule>
    <cfRule type="containsText" dxfId="10698" priority="10987" operator="containsText" text="Pendiente">
      <formula>NOT(ISERROR(SEARCH("Pendiente",T111)))</formula>
    </cfRule>
    <cfRule type="containsText" dxfId="10697" priority="10988" operator="containsText" text="No Aplica">
      <formula>NOT(ISERROR(SEARCH("No Aplica",T111)))</formula>
    </cfRule>
    <cfRule type="containsText" dxfId="10696" priority="10989" operator="containsText" text="Fallido">
      <formula>NOT(ISERROR(SEARCH("Fallido",T111)))</formula>
    </cfRule>
    <cfRule type="containsText" dxfId="10695" priority="10990" operator="containsText" text="Éxitoso">
      <formula>NOT(ISERROR(SEARCH("Éxitoso",T111)))</formula>
    </cfRule>
  </conditionalFormatting>
  <conditionalFormatting sqref="U111">
    <cfRule type="containsText" dxfId="10694" priority="10981" operator="containsText" text="No se pudo ejecutar">
      <formula>NOT(ISERROR(SEARCH("No se pudo ejecutar",U111)))</formula>
    </cfRule>
    <cfRule type="containsText" dxfId="10693" priority="10982" operator="containsText" text="Pendiente">
      <formula>NOT(ISERROR(SEARCH("Pendiente",U111)))</formula>
    </cfRule>
    <cfRule type="containsText" dxfId="10692" priority="10983" operator="containsText" text="No Aplica">
      <formula>NOT(ISERROR(SEARCH("No Aplica",U111)))</formula>
    </cfRule>
    <cfRule type="containsText" dxfId="10691" priority="10984" operator="containsText" text="Fallido">
      <formula>NOT(ISERROR(SEARCH("Fallido",U111)))</formula>
    </cfRule>
    <cfRule type="containsText" dxfId="10690" priority="10985" operator="containsText" text="Éxitoso">
      <formula>NOT(ISERROR(SEARCH("Éxitoso",U111)))</formula>
    </cfRule>
  </conditionalFormatting>
  <conditionalFormatting sqref="V111">
    <cfRule type="containsText" dxfId="10689" priority="10976" operator="containsText" text="No se pudo ejecutar">
      <formula>NOT(ISERROR(SEARCH("No se pudo ejecutar",V111)))</formula>
    </cfRule>
    <cfRule type="containsText" dxfId="10688" priority="10977" operator="containsText" text="Pendiente">
      <formula>NOT(ISERROR(SEARCH("Pendiente",V111)))</formula>
    </cfRule>
    <cfRule type="containsText" dxfId="10687" priority="10978" operator="containsText" text="No Aplica">
      <formula>NOT(ISERROR(SEARCH("No Aplica",V111)))</formula>
    </cfRule>
    <cfRule type="containsText" dxfId="10686" priority="10979" operator="containsText" text="Fallido">
      <formula>NOT(ISERROR(SEARCH("Fallido",V111)))</formula>
    </cfRule>
    <cfRule type="containsText" dxfId="10685" priority="10980" operator="containsText" text="Éxitoso">
      <formula>NOT(ISERROR(SEARCH("Éxitoso",V111)))</formula>
    </cfRule>
  </conditionalFormatting>
  <conditionalFormatting sqref="W111">
    <cfRule type="containsText" dxfId="10684" priority="10971" operator="containsText" text="No se pudo ejecutar">
      <formula>NOT(ISERROR(SEARCH("No se pudo ejecutar",W111)))</formula>
    </cfRule>
    <cfRule type="containsText" dxfId="10683" priority="10972" operator="containsText" text="Pendiente">
      <formula>NOT(ISERROR(SEARCH("Pendiente",W111)))</formula>
    </cfRule>
    <cfRule type="containsText" dxfId="10682" priority="10973" operator="containsText" text="No Aplica">
      <formula>NOT(ISERROR(SEARCH("No Aplica",W111)))</formula>
    </cfRule>
    <cfRule type="containsText" dxfId="10681" priority="10974" operator="containsText" text="Fallido">
      <formula>NOT(ISERROR(SEARCH("Fallido",W111)))</formula>
    </cfRule>
    <cfRule type="containsText" dxfId="10680" priority="10975" operator="containsText" text="Éxitoso">
      <formula>NOT(ISERROR(SEARCH("Éxitoso",W111)))</formula>
    </cfRule>
  </conditionalFormatting>
  <conditionalFormatting sqref="M111">
    <cfRule type="containsText" dxfId="10679" priority="10966" operator="containsText" text="No se pudo ejecutar">
      <formula>NOT(ISERROR(SEARCH("No se pudo ejecutar",M111)))</formula>
    </cfRule>
    <cfRule type="containsText" dxfId="10678" priority="10967" operator="containsText" text="Pendiente">
      <formula>NOT(ISERROR(SEARCH("Pendiente",M111)))</formula>
    </cfRule>
    <cfRule type="containsText" dxfId="10677" priority="10968" operator="containsText" text="No Aplica">
      <formula>NOT(ISERROR(SEARCH("No Aplica",M111)))</formula>
    </cfRule>
    <cfRule type="containsText" dxfId="10676" priority="10969" operator="containsText" text="Fallido">
      <formula>NOT(ISERROR(SEARCH("Fallido",M111)))</formula>
    </cfRule>
    <cfRule type="containsText" dxfId="10675" priority="10970" operator="containsText" text="Éxitoso">
      <formula>NOT(ISERROR(SEARCH("Éxitoso",M111)))</formula>
    </cfRule>
  </conditionalFormatting>
  <conditionalFormatting sqref="G111">
    <cfRule type="containsText" dxfId="10674" priority="10963" operator="containsText" text="Bajo">
      <formula>NOT(ISERROR(SEARCH("Bajo",G111)))</formula>
    </cfRule>
    <cfRule type="containsText" dxfId="10673" priority="10964" operator="containsText" text="Medio">
      <formula>NOT(ISERROR(SEARCH("Medio",G111)))</formula>
    </cfRule>
    <cfRule type="containsText" dxfId="10672" priority="10965" operator="containsText" text="Alto">
      <formula>NOT(ISERROR(SEARCH("Alto",G111)))</formula>
    </cfRule>
  </conditionalFormatting>
  <conditionalFormatting sqref="N112">
    <cfRule type="containsText" dxfId="10671" priority="10958" operator="containsText" text="No se pudo ejecutar">
      <formula>NOT(ISERROR(SEARCH("No se pudo ejecutar",N112)))</formula>
    </cfRule>
    <cfRule type="containsText" dxfId="10670" priority="10959" operator="containsText" text="Pendiente">
      <formula>NOT(ISERROR(SEARCH("Pendiente",N112)))</formula>
    </cfRule>
    <cfRule type="containsText" dxfId="10669" priority="10960" operator="containsText" text="No Aplica">
      <formula>NOT(ISERROR(SEARCH("No Aplica",N112)))</formula>
    </cfRule>
    <cfRule type="containsText" dxfId="10668" priority="10961" operator="containsText" text="Fallido">
      <formula>NOT(ISERROR(SEARCH("Fallido",N112)))</formula>
    </cfRule>
    <cfRule type="containsText" dxfId="10667" priority="10962" operator="containsText" text="Éxitoso">
      <formula>NOT(ISERROR(SEARCH("Éxitoso",N112)))</formula>
    </cfRule>
  </conditionalFormatting>
  <conditionalFormatting sqref="O112">
    <cfRule type="containsText" dxfId="10666" priority="10953" operator="containsText" text="No se pudo ejecutar">
      <formula>NOT(ISERROR(SEARCH("No se pudo ejecutar",O112)))</formula>
    </cfRule>
    <cfRule type="containsText" dxfId="10665" priority="10954" operator="containsText" text="Pendiente">
      <formula>NOT(ISERROR(SEARCH("Pendiente",O112)))</formula>
    </cfRule>
    <cfRule type="containsText" dxfId="10664" priority="10955" operator="containsText" text="No Aplica">
      <formula>NOT(ISERROR(SEARCH("No Aplica",O112)))</formula>
    </cfRule>
    <cfRule type="containsText" dxfId="10663" priority="10956" operator="containsText" text="Fallido">
      <formula>NOT(ISERROR(SEARCH("Fallido",O112)))</formula>
    </cfRule>
    <cfRule type="containsText" dxfId="10662" priority="10957" operator="containsText" text="Éxitoso">
      <formula>NOT(ISERROR(SEARCH("Éxitoso",O112)))</formula>
    </cfRule>
  </conditionalFormatting>
  <conditionalFormatting sqref="P112">
    <cfRule type="containsText" dxfId="10661" priority="10948" operator="containsText" text="No se pudo ejecutar">
      <formula>NOT(ISERROR(SEARCH("No se pudo ejecutar",P112)))</formula>
    </cfRule>
    <cfRule type="containsText" dxfId="10660" priority="10949" operator="containsText" text="Pendiente">
      <formula>NOT(ISERROR(SEARCH("Pendiente",P112)))</formula>
    </cfRule>
    <cfRule type="containsText" dxfId="10659" priority="10950" operator="containsText" text="No Aplica">
      <formula>NOT(ISERROR(SEARCH("No Aplica",P112)))</formula>
    </cfRule>
    <cfRule type="containsText" dxfId="10658" priority="10951" operator="containsText" text="Fallido">
      <formula>NOT(ISERROR(SEARCH("Fallido",P112)))</formula>
    </cfRule>
    <cfRule type="containsText" dxfId="10657" priority="10952" operator="containsText" text="Éxitoso">
      <formula>NOT(ISERROR(SEARCH("Éxitoso",P112)))</formula>
    </cfRule>
  </conditionalFormatting>
  <conditionalFormatting sqref="Q112">
    <cfRule type="containsText" dxfId="10656" priority="10943" operator="containsText" text="No se pudo ejecutar">
      <formula>NOT(ISERROR(SEARCH("No se pudo ejecutar",Q112)))</formula>
    </cfRule>
    <cfRule type="containsText" dxfId="10655" priority="10944" operator="containsText" text="Pendiente">
      <formula>NOT(ISERROR(SEARCH("Pendiente",Q112)))</formula>
    </cfRule>
    <cfRule type="containsText" dxfId="10654" priority="10945" operator="containsText" text="No Aplica">
      <formula>NOT(ISERROR(SEARCH("No Aplica",Q112)))</formula>
    </cfRule>
    <cfRule type="containsText" dxfId="10653" priority="10946" operator="containsText" text="Fallido">
      <formula>NOT(ISERROR(SEARCH("Fallido",Q112)))</formula>
    </cfRule>
    <cfRule type="containsText" dxfId="10652" priority="10947" operator="containsText" text="Éxitoso">
      <formula>NOT(ISERROR(SEARCH("Éxitoso",Q112)))</formula>
    </cfRule>
  </conditionalFormatting>
  <conditionalFormatting sqref="R112">
    <cfRule type="containsText" dxfId="10651" priority="10938" operator="containsText" text="No se pudo ejecutar">
      <formula>NOT(ISERROR(SEARCH("No se pudo ejecutar",R112)))</formula>
    </cfRule>
    <cfRule type="containsText" dxfId="10650" priority="10939" operator="containsText" text="Pendiente">
      <formula>NOT(ISERROR(SEARCH("Pendiente",R112)))</formula>
    </cfRule>
    <cfRule type="containsText" dxfId="10649" priority="10940" operator="containsText" text="No Aplica">
      <formula>NOT(ISERROR(SEARCH("No Aplica",R112)))</formula>
    </cfRule>
    <cfRule type="containsText" dxfId="10648" priority="10941" operator="containsText" text="Fallido">
      <formula>NOT(ISERROR(SEARCH("Fallido",R112)))</formula>
    </cfRule>
    <cfRule type="containsText" dxfId="10647" priority="10942" operator="containsText" text="Éxitoso">
      <formula>NOT(ISERROR(SEARCH("Éxitoso",R112)))</formula>
    </cfRule>
  </conditionalFormatting>
  <conditionalFormatting sqref="S112">
    <cfRule type="containsText" dxfId="10646" priority="10933" operator="containsText" text="No se pudo ejecutar">
      <formula>NOT(ISERROR(SEARCH("No se pudo ejecutar",S112)))</formula>
    </cfRule>
    <cfRule type="containsText" dxfId="10645" priority="10934" operator="containsText" text="Pendiente">
      <formula>NOT(ISERROR(SEARCH("Pendiente",S112)))</formula>
    </cfRule>
    <cfRule type="containsText" dxfId="10644" priority="10935" operator="containsText" text="No Aplica">
      <formula>NOT(ISERROR(SEARCH("No Aplica",S112)))</formula>
    </cfRule>
    <cfRule type="containsText" dxfId="10643" priority="10936" operator="containsText" text="Fallido">
      <formula>NOT(ISERROR(SEARCH("Fallido",S112)))</formula>
    </cfRule>
    <cfRule type="containsText" dxfId="10642" priority="10937" operator="containsText" text="Éxitoso">
      <formula>NOT(ISERROR(SEARCH("Éxitoso",S112)))</formula>
    </cfRule>
  </conditionalFormatting>
  <conditionalFormatting sqref="T112">
    <cfRule type="containsText" dxfId="10641" priority="10928" operator="containsText" text="No se pudo ejecutar">
      <formula>NOT(ISERROR(SEARCH("No se pudo ejecutar",T112)))</formula>
    </cfRule>
    <cfRule type="containsText" dxfId="10640" priority="10929" operator="containsText" text="Pendiente">
      <formula>NOT(ISERROR(SEARCH("Pendiente",T112)))</formula>
    </cfRule>
    <cfRule type="containsText" dxfId="10639" priority="10930" operator="containsText" text="No Aplica">
      <formula>NOT(ISERROR(SEARCH("No Aplica",T112)))</formula>
    </cfRule>
    <cfRule type="containsText" dxfId="10638" priority="10931" operator="containsText" text="Fallido">
      <formula>NOT(ISERROR(SEARCH("Fallido",T112)))</formula>
    </cfRule>
    <cfRule type="containsText" dxfId="10637" priority="10932" operator="containsText" text="Éxitoso">
      <formula>NOT(ISERROR(SEARCH("Éxitoso",T112)))</formula>
    </cfRule>
  </conditionalFormatting>
  <conditionalFormatting sqref="U112">
    <cfRule type="containsText" dxfId="10636" priority="10923" operator="containsText" text="No se pudo ejecutar">
      <formula>NOT(ISERROR(SEARCH("No se pudo ejecutar",U112)))</formula>
    </cfRule>
    <cfRule type="containsText" dxfId="10635" priority="10924" operator="containsText" text="Pendiente">
      <formula>NOT(ISERROR(SEARCH("Pendiente",U112)))</formula>
    </cfRule>
    <cfRule type="containsText" dxfId="10634" priority="10925" operator="containsText" text="No Aplica">
      <formula>NOT(ISERROR(SEARCH("No Aplica",U112)))</formula>
    </cfRule>
    <cfRule type="containsText" dxfId="10633" priority="10926" operator="containsText" text="Fallido">
      <formula>NOT(ISERROR(SEARCH("Fallido",U112)))</formula>
    </cfRule>
    <cfRule type="containsText" dxfId="10632" priority="10927" operator="containsText" text="Éxitoso">
      <formula>NOT(ISERROR(SEARCH("Éxitoso",U112)))</formula>
    </cfRule>
  </conditionalFormatting>
  <conditionalFormatting sqref="V112">
    <cfRule type="containsText" dxfId="10631" priority="10918" operator="containsText" text="No se pudo ejecutar">
      <formula>NOT(ISERROR(SEARCH("No se pudo ejecutar",V112)))</formula>
    </cfRule>
    <cfRule type="containsText" dxfId="10630" priority="10919" operator="containsText" text="Pendiente">
      <formula>NOT(ISERROR(SEARCH("Pendiente",V112)))</formula>
    </cfRule>
    <cfRule type="containsText" dxfId="10629" priority="10920" operator="containsText" text="No Aplica">
      <formula>NOT(ISERROR(SEARCH("No Aplica",V112)))</formula>
    </cfRule>
    <cfRule type="containsText" dxfId="10628" priority="10921" operator="containsText" text="Fallido">
      <formula>NOT(ISERROR(SEARCH("Fallido",V112)))</formula>
    </cfRule>
    <cfRule type="containsText" dxfId="10627" priority="10922" operator="containsText" text="Éxitoso">
      <formula>NOT(ISERROR(SEARCH("Éxitoso",V112)))</formula>
    </cfRule>
  </conditionalFormatting>
  <conditionalFormatting sqref="W112">
    <cfRule type="containsText" dxfId="10626" priority="10913" operator="containsText" text="No se pudo ejecutar">
      <formula>NOT(ISERROR(SEARCH("No se pudo ejecutar",W112)))</formula>
    </cfRule>
    <cfRule type="containsText" dxfId="10625" priority="10914" operator="containsText" text="Pendiente">
      <formula>NOT(ISERROR(SEARCH("Pendiente",W112)))</formula>
    </cfRule>
    <cfRule type="containsText" dxfId="10624" priority="10915" operator="containsText" text="No Aplica">
      <formula>NOT(ISERROR(SEARCH("No Aplica",W112)))</formula>
    </cfRule>
    <cfRule type="containsText" dxfId="10623" priority="10916" operator="containsText" text="Fallido">
      <formula>NOT(ISERROR(SEARCH("Fallido",W112)))</formula>
    </cfRule>
    <cfRule type="containsText" dxfId="10622" priority="10917" operator="containsText" text="Éxitoso">
      <formula>NOT(ISERROR(SEARCH("Éxitoso",W112)))</formula>
    </cfRule>
  </conditionalFormatting>
  <conditionalFormatting sqref="M112">
    <cfRule type="containsText" dxfId="10621" priority="10908" operator="containsText" text="No se pudo ejecutar">
      <formula>NOT(ISERROR(SEARCH("No se pudo ejecutar",M112)))</formula>
    </cfRule>
    <cfRule type="containsText" dxfId="10620" priority="10909" operator="containsText" text="Pendiente">
      <formula>NOT(ISERROR(SEARCH("Pendiente",M112)))</formula>
    </cfRule>
    <cfRule type="containsText" dxfId="10619" priority="10910" operator="containsText" text="No Aplica">
      <formula>NOT(ISERROR(SEARCH("No Aplica",M112)))</formula>
    </cfRule>
    <cfRule type="containsText" dxfId="10618" priority="10911" operator="containsText" text="Fallido">
      <formula>NOT(ISERROR(SEARCH("Fallido",M112)))</formula>
    </cfRule>
    <cfRule type="containsText" dxfId="10617" priority="10912" operator="containsText" text="Éxitoso">
      <formula>NOT(ISERROR(SEARCH("Éxitoso",M112)))</formula>
    </cfRule>
  </conditionalFormatting>
  <conditionalFormatting sqref="G112">
    <cfRule type="containsText" dxfId="10616" priority="10905" operator="containsText" text="Bajo">
      <formula>NOT(ISERROR(SEARCH("Bajo",G112)))</formula>
    </cfRule>
    <cfRule type="containsText" dxfId="10615" priority="10906" operator="containsText" text="Medio">
      <formula>NOT(ISERROR(SEARCH("Medio",G112)))</formula>
    </cfRule>
    <cfRule type="containsText" dxfId="10614" priority="10907" operator="containsText" text="Alto">
      <formula>NOT(ISERROR(SEARCH("Alto",G112)))</formula>
    </cfRule>
  </conditionalFormatting>
  <conditionalFormatting sqref="N113">
    <cfRule type="containsText" dxfId="10613" priority="10900" operator="containsText" text="No se pudo ejecutar">
      <formula>NOT(ISERROR(SEARCH("No se pudo ejecutar",N113)))</formula>
    </cfRule>
    <cfRule type="containsText" dxfId="10612" priority="10901" operator="containsText" text="Pendiente">
      <formula>NOT(ISERROR(SEARCH("Pendiente",N113)))</formula>
    </cfRule>
    <cfRule type="containsText" dxfId="10611" priority="10902" operator="containsText" text="No Aplica">
      <formula>NOT(ISERROR(SEARCH("No Aplica",N113)))</formula>
    </cfRule>
    <cfRule type="containsText" dxfId="10610" priority="10903" operator="containsText" text="Fallido">
      <formula>NOT(ISERROR(SEARCH("Fallido",N113)))</formula>
    </cfRule>
    <cfRule type="containsText" dxfId="10609" priority="10904" operator="containsText" text="Éxitoso">
      <formula>NOT(ISERROR(SEARCH("Éxitoso",N113)))</formula>
    </cfRule>
  </conditionalFormatting>
  <conditionalFormatting sqref="O113">
    <cfRule type="containsText" dxfId="10608" priority="10895" operator="containsText" text="No se pudo ejecutar">
      <formula>NOT(ISERROR(SEARCH("No se pudo ejecutar",O113)))</formula>
    </cfRule>
    <cfRule type="containsText" dxfId="10607" priority="10896" operator="containsText" text="Pendiente">
      <formula>NOT(ISERROR(SEARCH("Pendiente",O113)))</formula>
    </cfRule>
    <cfRule type="containsText" dxfId="10606" priority="10897" operator="containsText" text="No Aplica">
      <formula>NOT(ISERROR(SEARCH("No Aplica",O113)))</formula>
    </cfRule>
    <cfRule type="containsText" dxfId="10605" priority="10898" operator="containsText" text="Fallido">
      <formula>NOT(ISERROR(SEARCH("Fallido",O113)))</formula>
    </cfRule>
    <cfRule type="containsText" dxfId="10604" priority="10899" operator="containsText" text="Éxitoso">
      <formula>NOT(ISERROR(SEARCH("Éxitoso",O113)))</formula>
    </cfRule>
  </conditionalFormatting>
  <conditionalFormatting sqref="P113">
    <cfRule type="containsText" dxfId="10603" priority="10890" operator="containsText" text="No se pudo ejecutar">
      <formula>NOT(ISERROR(SEARCH("No se pudo ejecutar",P113)))</formula>
    </cfRule>
    <cfRule type="containsText" dxfId="10602" priority="10891" operator="containsText" text="Pendiente">
      <formula>NOT(ISERROR(SEARCH("Pendiente",P113)))</formula>
    </cfRule>
    <cfRule type="containsText" dxfId="10601" priority="10892" operator="containsText" text="No Aplica">
      <formula>NOT(ISERROR(SEARCH("No Aplica",P113)))</formula>
    </cfRule>
    <cfRule type="containsText" dxfId="10600" priority="10893" operator="containsText" text="Fallido">
      <formula>NOT(ISERROR(SEARCH("Fallido",P113)))</formula>
    </cfRule>
    <cfRule type="containsText" dxfId="10599" priority="10894" operator="containsText" text="Éxitoso">
      <formula>NOT(ISERROR(SEARCH("Éxitoso",P113)))</formula>
    </cfRule>
  </conditionalFormatting>
  <conditionalFormatting sqref="Q113">
    <cfRule type="containsText" dxfId="10598" priority="10885" operator="containsText" text="No se pudo ejecutar">
      <formula>NOT(ISERROR(SEARCH("No se pudo ejecutar",Q113)))</formula>
    </cfRule>
    <cfRule type="containsText" dxfId="10597" priority="10886" operator="containsText" text="Pendiente">
      <formula>NOT(ISERROR(SEARCH("Pendiente",Q113)))</formula>
    </cfRule>
    <cfRule type="containsText" dxfId="10596" priority="10887" operator="containsText" text="No Aplica">
      <formula>NOT(ISERROR(SEARCH("No Aplica",Q113)))</formula>
    </cfRule>
    <cfRule type="containsText" dxfId="10595" priority="10888" operator="containsText" text="Fallido">
      <formula>NOT(ISERROR(SEARCH("Fallido",Q113)))</formula>
    </cfRule>
    <cfRule type="containsText" dxfId="10594" priority="10889" operator="containsText" text="Éxitoso">
      <formula>NOT(ISERROR(SEARCH("Éxitoso",Q113)))</formula>
    </cfRule>
  </conditionalFormatting>
  <conditionalFormatting sqref="R113">
    <cfRule type="containsText" dxfId="10593" priority="10880" operator="containsText" text="No se pudo ejecutar">
      <formula>NOT(ISERROR(SEARCH("No se pudo ejecutar",R113)))</formula>
    </cfRule>
    <cfRule type="containsText" dxfId="10592" priority="10881" operator="containsText" text="Pendiente">
      <formula>NOT(ISERROR(SEARCH("Pendiente",R113)))</formula>
    </cfRule>
    <cfRule type="containsText" dxfId="10591" priority="10882" operator="containsText" text="No Aplica">
      <formula>NOT(ISERROR(SEARCH("No Aplica",R113)))</formula>
    </cfRule>
    <cfRule type="containsText" dxfId="10590" priority="10883" operator="containsText" text="Fallido">
      <formula>NOT(ISERROR(SEARCH("Fallido",R113)))</formula>
    </cfRule>
    <cfRule type="containsText" dxfId="10589" priority="10884" operator="containsText" text="Éxitoso">
      <formula>NOT(ISERROR(SEARCH("Éxitoso",R113)))</formula>
    </cfRule>
  </conditionalFormatting>
  <conditionalFormatting sqref="S113">
    <cfRule type="containsText" dxfId="10588" priority="10875" operator="containsText" text="No se pudo ejecutar">
      <formula>NOT(ISERROR(SEARCH("No se pudo ejecutar",S113)))</formula>
    </cfRule>
    <cfRule type="containsText" dxfId="10587" priority="10876" operator="containsText" text="Pendiente">
      <formula>NOT(ISERROR(SEARCH("Pendiente",S113)))</formula>
    </cfRule>
    <cfRule type="containsText" dxfId="10586" priority="10877" operator="containsText" text="No Aplica">
      <formula>NOT(ISERROR(SEARCH("No Aplica",S113)))</formula>
    </cfRule>
    <cfRule type="containsText" dxfId="10585" priority="10878" operator="containsText" text="Fallido">
      <formula>NOT(ISERROR(SEARCH("Fallido",S113)))</formula>
    </cfRule>
    <cfRule type="containsText" dxfId="10584" priority="10879" operator="containsText" text="Éxitoso">
      <formula>NOT(ISERROR(SEARCH("Éxitoso",S113)))</formula>
    </cfRule>
  </conditionalFormatting>
  <conditionalFormatting sqref="T113">
    <cfRule type="containsText" dxfId="10583" priority="10870" operator="containsText" text="No se pudo ejecutar">
      <formula>NOT(ISERROR(SEARCH("No se pudo ejecutar",T113)))</formula>
    </cfRule>
    <cfRule type="containsText" dxfId="10582" priority="10871" operator="containsText" text="Pendiente">
      <formula>NOT(ISERROR(SEARCH("Pendiente",T113)))</formula>
    </cfRule>
    <cfRule type="containsText" dxfId="10581" priority="10872" operator="containsText" text="No Aplica">
      <formula>NOT(ISERROR(SEARCH("No Aplica",T113)))</formula>
    </cfRule>
    <cfRule type="containsText" dxfId="10580" priority="10873" operator="containsText" text="Fallido">
      <formula>NOT(ISERROR(SEARCH("Fallido",T113)))</formula>
    </cfRule>
    <cfRule type="containsText" dxfId="10579" priority="10874" operator="containsText" text="Éxitoso">
      <formula>NOT(ISERROR(SEARCH("Éxitoso",T113)))</formula>
    </cfRule>
  </conditionalFormatting>
  <conditionalFormatting sqref="U113">
    <cfRule type="containsText" dxfId="10578" priority="10865" operator="containsText" text="No se pudo ejecutar">
      <formula>NOT(ISERROR(SEARCH("No se pudo ejecutar",U113)))</formula>
    </cfRule>
    <cfRule type="containsText" dxfId="10577" priority="10866" operator="containsText" text="Pendiente">
      <formula>NOT(ISERROR(SEARCH("Pendiente",U113)))</formula>
    </cfRule>
    <cfRule type="containsText" dxfId="10576" priority="10867" operator="containsText" text="No Aplica">
      <formula>NOT(ISERROR(SEARCH("No Aplica",U113)))</formula>
    </cfRule>
    <cfRule type="containsText" dxfId="10575" priority="10868" operator="containsText" text="Fallido">
      <formula>NOT(ISERROR(SEARCH("Fallido",U113)))</formula>
    </cfRule>
    <cfRule type="containsText" dxfId="10574" priority="10869" operator="containsText" text="Éxitoso">
      <formula>NOT(ISERROR(SEARCH("Éxitoso",U113)))</formula>
    </cfRule>
  </conditionalFormatting>
  <conditionalFormatting sqref="V113">
    <cfRule type="containsText" dxfId="10573" priority="10860" operator="containsText" text="No se pudo ejecutar">
      <formula>NOT(ISERROR(SEARCH("No se pudo ejecutar",V113)))</formula>
    </cfRule>
    <cfRule type="containsText" dxfId="10572" priority="10861" operator="containsText" text="Pendiente">
      <formula>NOT(ISERROR(SEARCH("Pendiente",V113)))</formula>
    </cfRule>
    <cfRule type="containsText" dxfId="10571" priority="10862" operator="containsText" text="No Aplica">
      <formula>NOT(ISERROR(SEARCH("No Aplica",V113)))</formula>
    </cfRule>
    <cfRule type="containsText" dxfId="10570" priority="10863" operator="containsText" text="Fallido">
      <formula>NOT(ISERROR(SEARCH("Fallido",V113)))</formula>
    </cfRule>
    <cfRule type="containsText" dxfId="10569" priority="10864" operator="containsText" text="Éxitoso">
      <formula>NOT(ISERROR(SEARCH("Éxitoso",V113)))</formula>
    </cfRule>
  </conditionalFormatting>
  <conditionalFormatting sqref="W113">
    <cfRule type="containsText" dxfId="10568" priority="10855" operator="containsText" text="No se pudo ejecutar">
      <formula>NOT(ISERROR(SEARCH("No se pudo ejecutar",W113)))</formula>
    </cfRule>
    <cfRule type="containsText" dxfId="10567" priority="10856" operator="containsText" text="Pendiente">
      <formula>NOT(ISERROR(SEARCH("Pendiente",W113)))</formula>
    </cfRule>
    <cfRule type="containsText" dxfId="10566" priority="10857" operator="containsText" text="No Aplica">
      <formula>NOT(ISERROR(SEARCH("No Aplica",W113)))</formula>
    </cfRule>
    <cfRule type="containsText" dxfId="10565" priority="10858" operator="containsText" text="Fallido">
      <formula>NOT(ISERROR(SEARCH("Fallido",W113)))</formula>
    </cfRule>
    <cfRule type="containsText" dxfId="10564" priority="10859" operator="containsText" text="Éxitoso">
      <formula>NOT(ISERROR(SEARCH("Éxitoso",W113)))</formula>
    </cfRule>
  </conditionalFormatting>
  <conditionalFormatting sqref="M113">
    <cfRule type="containsText" dxfId="10563" priority="10850" operator="containsText" text="No se pudo ejecutar">
      <formula>NOT(ISERROR(SEARCH("No se pudo ejecutar",M113)))</formula>
    </cfRule>
    <cfRule type="containsText" dxfId="10562" priority="10851" operator="containsText" text="Pendiente">
      <formula>NOT(ISERROR(SEARCH("Pendiente",M113)))</formula>
    </cfRule>
    <cfRule type="containsText" dxfId="10561" priority="10852" operator="containsText" text="No Aplica">
      <formula>NOT(ISERROR(SEARCH("No Aplica",M113)))</formula>
    </cfRule>
    <cfRule type="containsText" dxfId="10560" priority="10853" operator="containsText" text="Fallido">
      <formula>NOT(ISERROR(SEARCH("Fallido",M113)))</formula>
    </cfRule>
    <cfRule type="containsText" dxfId="10559" priority="10854" operator="containsText" text="Éxitoso">
      <formula>NOT(ISERROR(SEARCH("Éxitoso",M113)))</formula>
    </cfRule>
  </conditionalFormatting>
  <conditionalFormatting sqref="G113">
    <cfRule type="containsText" dxfId="10558" priority="10847" operator="containsText" text="Bajo">
      <formula>NOT(ISERROR(SEARCH("Bajo",G113)))</formula>
    </cfRule>
    <cfRule type="containsText" dxfId="10557" priority="10848" operator="containsText" text="Medio">
      <formula>NOT(ISERROR(SEARCH("Medio",G113)))</formula>
    </cfRule>
    <cfRule type="containsText" dxfId="10556" priority="10849" operator="containsText" text="Alto">
      <formula>NOT(ISERROR(SEARCH("Alto",G113)))</formula>
    </cfRule>
  </conditionalFormatting>
  <conditionalFormatting sqref="N114">
    <cfRule type="containsText" dxfId="10555" priority="10842" operator="containsText" text="No se pudo ejecutar">
      <formula>NOT(ISERROR(SEARCH("No se pudo ejecutar",N114)))</formula>
    </cfRule>
    <cfRule type="containsText" dxfId="10554" priority="10843" operator="containsText" text="Pendiente">
      <formula>NOT(ISERROR(SEARCH("Pendiente",N114)))</formula>
    </cfRule>
    <cfRule type="containsText" dxfId="10553" priority="10844" operator="containsText" text="No Aplica">
      <formula>NOT(ISERROR(SEARCH("No Aplica",N114)))</formula>
    </cfRule>
    <cfRule type="containsText" dxfId="10552" priority="10845" operator="containsText" text="Fallido">
      <formula>NOT(ISERROR(SEARCH("Fallido",N114)))</formula>
    </cfRule>
    <cfRule type="containsText" dxfId="10551" priority="10846" operator="containsText" text="Éxitoso">
      <formula>NOT(ISERROR(SEARCH("Éxitoso",N114)))</formula>
    </cfRule>
  </conditionalFormatting>
  <conditionalFormatting sqref="O114">
    <cfRule type="containsText" dxfId="10550" priority="10837" operator="containsText" text="No se pudo ejecutar">
      <formula>NOT(ISERROR(SEARCH("No se pudo ejecutar",O114)))</formula>
    </cfRule>
    <cfRule type="containsText" dxfId="10549" priority="10838" operator="containsText" text="Pendiente">
      <formula>NOT(ISERROR(SEARCH("Pendiente",O114)))</formula>
    </cfRule>
    <cfRule type="containsText" dxfId="10548" priority="10839" operator="containsText" text="No Aplica">
      <formula>NOT(ISERROR(SEARCH("No Aplica",O114)))</formula>
    </cfRule>
    <cfRule type="containsText" dxfId="10547" priority="10840" operator="containsText" text="Fallido">
      <formula>NOT(ISERROR(SEARCH("Fallido",O114)))</formula>
    </cfRule>
    <cfRule type="containsText" dxfId="10546" priority="10841" operator="containsText" text="Éxitoso">
      <formula>NOT(ISERROR(SEARCH("Éxitoso",O114)))</formula>
    </cfRule>
  </conditionalFormatting>
  <conditionalFormatting sqref="P114">
    <cfRule type="containsText" dxfId="10545" priority="10832" operator="containsText" text="No se pudo ejecutar">
      <formula>NOT(ISERROR(SEARCH("No se pudo ejecutar",P114)))</formula>
    </cfRule>
    <cfRule type="containsText" dxfId="10544" priority="10833" operator="containsText" text="Pendiente">
      <formula>NOT(ISERROR(SEARCH("Pendiente",P114)))</formula>
    </cfRule>
    <cfRule type="containsText" dxfId="10543" priority="10834" operator="containsText" text="No Aplica">
      <formula>NOT(ISERROR(SEARCH("No Aplica",P114)))</formula>
    </cfRule>
    <cfRule type="containsText" dxfId="10542" priority="10835" operator="containsText" text="Fallido">
      <formula>NOT(ISERROR(SEARCH("Fallido",P114)))</formula>
    </cfRule>
    <cfRule type="containsText" dxfId="10541" priority="10836" operator="containsText" text="Éxitoso">
      <formula>NOT(ISERROR(SEARCH("Éxitoso",P114)))</formula>
    </cfRule>
  </conditionalFormatting>
  <conditionalFormatting sqref="Q114">
    <cfRule type="containsText" dxfId="10540" priority="10827" operator="containsText" text="No se pudo ejecutar">
      <formula>NOT(ISERROR(SEARCH("No se pudo ejecutar",Q114)))</formula>
    </cfRule>
    <cfRule type="containsText" dxfId="10539" priority="10828" operator="containsText" text="Pendiente">
      <formula>NOT(ISERROR(SEARCH("Pendiente",Q114)))</formula>
    </cfRule>
    <cfRule type="containsText" dxfId="10538" priority="10829" operator="containsText" text="No Aplica">
      <formula>NOT(ISERROR(SEARCH("No Aplica",Q114)))</formula>
    </cfRule>
    <cfRule type="containsText" dxfId="10537" priority="10830" operator="containsText" text="Fallido">
      <formula>NOT(ISERROR(SEARCH("Fallido",Q114)))</formula>
    </cfRule>
    <cfRule type="containsText" dxfId="10536" priority="10831" operator="containsText" text="Éxitoso">
      <formula>NOT(ISERROR(SEARCH("Éxitoso",Q114)))</formula>
    </cfRule>
  </conditionalFormatting>
  <conditionalFormatting sqref="R114">
    <cfRule type="containsText" dxfId="10535" priority="10822" operator="containsText" text="No se pudo ejecutar">
      <formula>NOT(ISERROR(SEARCH("No se pudo ejecutar",R114)))</formula>
    </cfRule>
    <cfRule type="containsText" dxfId="10534" priority="10823" operator="containsText" text="Pendiente">
      <formula>NOT(ISERROR(SEARCH("Pendiente",R114)))</formula>
    </cfRule>
    <cfRule type="containsText" dxfId="10533" priority="10824" operator="containsText" text="No Aplica">
      <formula>NOT(ISERROR(SEARCH("No Aplica",R114)))</formula>
    </cfRule>
    <cfRule type="containsText" dxfId="10532" priority="10825" operator="containsText" text="Fallido">
      <formula>NOT(ISERROR(SEARCH("Fallido",R114)))</formula>
    </cfRule>
    <cfRule type="containsText" dxfId="10531" priority="10826" operator="containsText" text="Éxitoso">
      <formula>NOT(ISERROR(SEARCH("Éxitoso",R114)))</formula>
    </cfRule>
  </conditionalFormatting>
  <conditionalFormatting sqref="S114">
    <cfRule type="containsText" dxfId="10530" priority="10817" operator="containsText" text="No se pudo ejecutar">
      <formula>NOT(ISERROR(SEARCH("No se pudo ejecutar",S114)))</formula>
    </cfRule>
    <cfRule type="containsText" dxfId="10529" priority="10818" operator="containsText" text="Pendiente">
      <formula>NOT(ISERROR(SEARCH("Pendiente",S114)))</formula>
    </cfRule>
    <cfRule type="containsText" dxfId="10528" priority="10819" operator="containsText" text="No Aplica">
      <formula>NOT(ISERROR(SEARCH("No Aplica",S114)))</formula>
    </cfRule>
    <cfRule type="containsText" dxfId="10527" priority="10820" operator="containsText" text="Fallido">
      <formula>NOT(ISERROR(SEARCH("Fallido",S114)))</formula>
    </cfRule>
    <cfRule type="containsText" dxfId="10526" priority="10821" operator="containsText" text="Éxitoso">
      <formula>NOT(ISERROR(SEARCH("Éxitoso",S114)))</formula>
    </cfRule>
  </conditionalFormatting>
  <conditionalFormatting sqref="T114">
    <cfRule type="containsText" dxfId="10525" priority="10812" operator="containsText" text="No se pudo ejecutar">
      <formula>NOT(ISERROR(SEARCH("No se pudo ejecutar",T114)))</formula>
    </cfRule>
    <cfRule type="containsText" dxfId="10524" priority="10813" operator="containsText" text="Pendiente">
      <formula>NOT(ISERROR(SEARCH("Pendiente",T114)))</formula>
    </cfRule>
    <cfRule type="containsText" dxfId="10523" priority="10814" operator="containsText" text="No Aplica">
      <formula>NOT(ISERROR(SEARCH("No Aplica",T114)))</formula>
    </cfRule>
    <cfRule type="containsText" dxfId="10522" priority="10815" operator="containsText" text="Fallido">
      <formula>NOT(ISERROR(SEARCH("Fallido",T114)))</formula>
    </cfRule>
    <cfRule type="containsText" dxfId="10521" priority="10816" operator="containsText" text="Éxitoso">
      <formula>NOT(ISERROR(SEARCH("Éxitoso",T114)))</formula>
    </cfRule>
  </conditionalFormatting>
  <conditionalFormatting sqref="U114">
    <cfRule type="containsText" dxfId="10520" priority="10807" operator="containsText" text="No se pudo ejecutar">
      <formula>NOT(ISERROR(SEARCH("No se pudo ejecutar",U114)))</formula>
    </cfRule>
    <cfRule type="containsText" dxfId="10519" priority="10808" operator="containsText" text="Pendiente">
      <formula>NOT(ISERROR(SEARCH("Pendiente",U114)))</formula>
    </cfRule>
    <cfRule type="containsText" dxfId="10518" priority="10809" operator="containsText" text="No Aplica">
      <formula>NOT(ISERROR(SEARCH("No Aplica",U114)))</formula>
    </cfRule>
    <cfRule type="containsText" dxfId="10517" priority="10810" operator="containsText" text="Fallido">
      <formula>NOT(ISERROR(SEARCH("Fallido",U114)))</formula>
    </cfRule>
    <cfRule type="containsText" dxfId="10516" priority="10811" operator="containsText" text="Éxitoso">
      <formula>NOT(ISERROR(SEARCH("Éxitoso",U114)))</formula>
    </cfRule>
  </conditionalFormatting>
  <conditionalFormatting sqref="V114">
    <cfRule type="containsText" dxfId="10515" priority="10802" operator="containsText" text="No se pudo ejecutar">
      <formula>NOT(ISERROR(SEARCH("No se pudo ejecutar",V114)))</formula>
    </cfRule>
    <cfRule type="containsText" dxfId="10514" priority="10803" operator="containsText" text="Pendiente">
      <formula>NOT(ISERROR(SEARCH("Pendiente",V114)))</formula>
    </cfRule>
    <cfRule type="containsText" dxfId="10513" priority="10804" operator="containsText" text="No Aplica">
      <formula>NOT(ISERROR(SEARCH("No Aplica",V114)))</formula>
    </cfRule>
    <cfRule type="containsText" dxfId="10512" priority="10805" operator="containsText" text="Fallido">
      <formula>NOT(ISERROR(SEARCH("Fallido",V114)))</formula>
    </cfRule>
    <cfRule type="containsText" dxfId="10511" priority="10806" operator="containsText" text="Éxitoso">
      <formula>NOT(ISERROR(SEARCH("Éxitoso",V114)))</formula>
    </cfRule>
  </conditionalFormatting>
  <conditionalFormatting sqref="W114">
    <cfRule type="containsText" dxfId="10510" priority="10797" operator="containsText" text="No se pudo ejecutar">
      <formula>NOT(ISERROR(SEARCH("No se pudo ejecutar",W114)))</formula>
    </cfRule>
    <cfRule type="containsText" dxfId="10509" priority="10798" operator="containsText" text="Pendiente">
      <formula>NOT(ISERROR(SEARCH("Pendiente",W114)))</formula>
    </cfRule>
    <cfRule type="containsText" dxfId="10508" priority="10799" operator="containsText" text="No Aplica">
      <formula>NOT(ISERROR(SEARCH("No Aplica",W114)))</formula>
    </cfRule>
    <cfRule type="containsText" dxfId="10507" priority="10800" operator="containsText" text="Fallido">
      <formula>NOT(ISERROR(SEARCH("Fallido",W114)))</formula>
    </cfRule>
    <cfRule type="containsText" dxfId="10506" priority="10801" operator="containsText" text="Éxitoso">
      <formula>NOT(ISERROR(SEARCH("Éxitoso",W114)))</formula>
    </cfRule>
  </conditionalFormatting>
  <conditionalFormatting sqref="M114">
    <cfRule type="containsText" dxfId="10505" priority="10792" operator="containsText" text="No se pudo ejecutar">
      <formula>NOT(ISERROR(SEARCH("No se pudo ejecutar",M114)))</formula>
    </cfRule>
    <cfRule type="containsText" dxfId="10504" priority="10793" operator="containsText" text="Pendiente">
      <formula>NOT(ISERROR(SEARCH("Pendiente",M114)))</formula>
    </cfRule>
    <cfRule type="containsText" dxfId="10503" priority="10794" operator="containsText" text="No Aplica">
      <formula>NOT(ISERROR(SEARCH("No Aplica",M114)))</formula>
    </cfRule>
    <cfRule type="containsText" dxfId="10502" priority="10795" operator="containsText" text="Fallido">
      <formula>NOT(ISERROR(SEARCH("Fallido",M114)))</formula>
    </cfRule>
    <cfRule type="containsText" dxfId="10501" priority="10796" operator="containsText" text="Éxitoso">
      <formula>NOT(ISERROR(SEARCH("Éxitoso",M114)))</formula>
    </cfRule>
  </conditionalFormatting>
  <conditionalFormatting sqref="G114">
    <cfRule type="containsText" dxfId="10500" priority="10789" operator="containsText" text="Bajo">
      <formula>NOT(ISERROR(SEARCH("Bajo",G114)))</formula>
    </cfRule>
    <cfRule type="containsText" dxfId="10499" priority="10790" operator="containsText" text="Medio">
      <formula>NOT(ISERROR(SEARCH("Medio",G114)))</formula>
    </cfRule>
    <cfRule type="containsText" dxfId="10498" priority="10791" operator="containsText" text="Alto">
      <formula>NOT(ISERROR(SEARCH("Alto",G114)))</formula>
    </cfRule>
  </conditionalFormatting>
  <conditionalFormatting sqref="N115">
    <cfRule type="containsText" dxfId="10497" priority="10784" operator="containsText" text="No se pudo ejecutar">
      <formula>NOT(ISERROR(SEARCH("No se pudo ejecutar",N115)))</formula>
    </cfRule>
    <cfRule type="containsText" dxfId="10496" priority="10785" operator="containsText" text="Pendiente">
      <formula>NOT(ISERROR(SEARCH("Pendiente",N115)))</formula>
    </cfRule>
    <cfRule type="containsText" dxfId="10495" priority="10786" operator="containsText" text="No Aplica">
      <formula>NOT(ISERROR(SEARCH("No Aplica",N115)))</formula>
    </cfRule>
    <cfRule type="containsText" dxfId="10494" priority="10787" operator="containsText" text="Fallido">
      <formula>NOT(ISERROR(SEARCH("Fallido",N115)))</formula>
    </cfRule>
    <cfRule type="containsText" dxfId="10493" priority="10788" operator="containsText" text="Éxitoso">
      <formula>NOT(ISERROR(SEARCH("Éxitoso",N115)))</formula>
    </cfRule>
  </conditionalFormatting>
  <conditionalFormatting sqref="O115">
    <cfRule type="containsText" dxfId="10492" priority="10779" operator="containsText" text="No se pudo ejecutar">
      <formula>NOT(ISERROR(SEARCH("No se pudo ejecutar",O115)))</formula>
    </cfRule>
    <cfRule type="containsText" dxfId="10491" priority="10780" operator="containsText" text="Pendiente">
      <formula>NOT(ISERROR(SEARCH("Pendiente",O115)))</formula>
    </cfRule>
    <cfRule type="containsText" dxfId="10490" priority="10781" operator="containsText" text="No Aplica">
      <formula>NOT(ISERROR(SEARCH("No Aplica",O115)))</formula>
    </cfRule>
    <cfRule type="containsText" dxfId="10489" priority="10782" operator="containsText" text="Fallido">
      <formula>NOT(ISERROR(SEARCH("Fallido",O115)))</formula>
    </cfRule>
    <cfRule type="containsText" dxfId="10488" priority="10783" operator="containsText" text="Éxitoso">
      <formula>NOT(ISERROR(SEARCH("Éxitoso",O115)))</formula>
    </cfRule>
  </conditionalFormatting>
  <conditionalFormatting sqref="P115">
    <cfRule type="containsText" dxfId="10487" priority="10774" operator="containsText" text="No se pudo ejecutar">
      <formula>NOT(ISERROR(SEARCH("No se pudo ejecutar",P115)))</formula>
    </cfRule>
    <cfRule type="containsText" dxfId="10486" priority="10775" operator="containsText" text="Pendiente">
      <formula>NOT(ISERROR(SEARCH("Pendiente",P115)))</formula>
    </cfRule>
    <cfRule type="containsText" dxfId="10485" priority="10776" operator="containsText" text="No Aplica">
      <formula>NOT(ISERROR(SEARCH("No Aplica",P115)))</formula>
    </cfRule>
    <cfRule type="containsText" dxfId="10484" priority="10777" operator="containsText" text="Fallido">
      <formula>NOT(ISERROR(SEARCH("Fallido",P115)))</formula>
    </cfRule>
    <cfRule type="containsText" dxfId="10483" priority="10778" operator="containsText" text="Éxitoso">
      <formula>NOT(ISERROR(SEARCH("Éxitoso",P115)))</formula>
    </cfRule>
  </conditionalFormatting>
  <conditionalFormatting sqref="Q115">
    <cfRule type="containsText" dxfId="10482" priority="10769" operator="containsText" text="No se pudo ejecutar">
      <formula>NOT(ISERROR(SEARCH("No se pudo ejecutar",Q115)))</formula>
    </cfRule>
    <cfRule type="containsText" dxfId="10481" priority="10770" operator="containsText" text="Pendiente">
      <formula>NOT(ISERROR(SEARCH("Pendiente",Q115)))</formula>
    </cfRule>
    <cfRule type="containsText" dxfId="10480" priority="10771" operator="containsText" text="No Aplica">
      <formula>NOT(ISERROR(SEARCH("No Aplica",Q115)))</formula>
    </cfRule>
    <cfRule type="containsText" dxfId="10479" priority="10772" operator="containsText" text="Fallido">
      <formula>NOT(ISERROR(SEARCH("Fallido",Q115)))</formula>
    </cfRule>
    <cfRule type="containsText" dxfId="10478" priority="10773" operator="containsText" text="Éxitoso">
      <formula>NOT(ISERROR(SEARCH("Éxitoso",Q115)))</formula>
    </cfRule>
  </conditionalFormatting>
  <conditionalFormatting sqref="R115">
    <cfRule type="containsText" dxfId="10477" priority="10764" operator="containsText" text="No se pudo ejecutar">
      <formula>NOT(ISERROR(SEARCH("No se pudo ejecutar",R115)))</formula>
    </cfRule>
    <cfRule type="containsText" dxfId="10476" priority="10765" operator="containsText" text="Pendiente">
      <formula>NOT(ISERROR(SEARCH("Pendiente",R115)))</formula>
    </cfRule>
    <cfRule type="containsText" dxfId="10475" priority="10766" operator="containsText" text="No Aplica">
      <formula>NOT(ISERROR(SEARCH("No Aplica",R115)))</formula>
    </cfRule>
    <cfRule type="containsText" dxfId="10474" priority="10767" operator="containsText" text="Fallido">
      <formula>NOT(ISERROR(SEARCH("Fallido",R115)))</formula>
    </cfRule>
    <cfRule type="containsText" dxfId="10473" priority="10768" operator="containsText" text="Éxitoso">
      <formula>NOT(ISERROR(SEARCH("Éxitoso",R115)))</formula>
    </cfRule>
  </conditionalFormatting>
  <conditionalFormatting sqref="S115">
    <cfRule type="containsText" dxfId="10472" priority="10759" operator="containsText" text="No se pudo ejecutar">
      <formula>NOT(ISERROR(SEARCH("No se pudo ejecutar",S115)))</formula>
    </cfRule>
    <cfRule type="containsText" dxfId="10471" priority="10760" operator="containsText" text="Pendiente">
      <formula>NOT(ISERROR(SEARCH("Pendiente",S115)))</formula>
    </cfRule>
    <cfRule type="containsText" dxfId="10470" priority="10761" operator="containsText" text="No Aplica">
      <formula>NOT(ISERROR(SEARCH("No Aplica",S115)))</formula>
    </cfRule>
    <cfRule type="containsText" dxfId="10469" priority="10762" operator="containsText" text="Fallido">
      <formula>NOT(ISERROR(SEARCH("Fallido",S115)))</formula>
    </cfRule>
    <cfRule type="containsText" dxfId="10468" priority="10763" operator="containsText" text="Éxitoso">
      <formula>NOT(ISERROR(SEARCH("Éxitoso",S115)))</formula>
    </cfRule>
  </conditionalFormatting>
  <conditionalFormatting sqref="T115">
    <cfRule type="containsText" dxfId="10467" priority="10754" operator="containsText" text="No se pudo ejecutar">
      <formula>NOT(ISERROR(SEARCH("No se pudo ejecutar",T115)))</formula>
    </cfRule>
    <cfRule type="containsText" dxfId="10466" priority="10755" operator="containsText" text="Pendiente">
      <formula>NOT(ISERROR(SEARCH("Pendiente",T115)))</formula>
    </cfRule>
    <cfRule type="containsText" dxfId="10465" priority="10756" operator="containsText" text="No Aplica">
      <formula>NOT(ISERROR(SEARCH("No Aplica",T115)))</formula>
    </cfRule>
    <cfRule type="containsText" dxfId="10464" priority="10757" operator="containsText" text="Fallido">
      <formula>NOT(ISERROR(SEARCH("Fallido",T115)))</formula>
    </cfRule>
    <cfRule type="containsText" dxfId="10463" priority="10758" operator="containsText" text="Éxitoso">
      <formula>NOT(ISERROR(SEARCH("Éxitoso",T115)))</formula>
    </cfRule>
  </conditionalFormatting>
  <conditionalFormatting sqref="U115">
    <cfRule type="containsText" dxfId="10462" priority="10749" operator="containsText" text="No se pudo ejecutar">
      <formula>NOT(ISERROR(SEARCH("No se pudo ejecutar",U115)))</formula>
    </cfRule>
    <cfRule type="containsText" dxfId="10461" priority="10750" operator="containsText" text="Pendiente">
      <formula>NOT(ISERROR(SEARCH("Pendiente",U115)))</formula>
    </cfRule>
    <cfRule type="containsText" dxfId="10460" priority="10751" operator="containsText" text="No Aplica">
      <formula>NOT(ISERROR(SEARCH("No Aplica",U115)))</formula>
    </cfRule>
    <cfRule type="containsText" dxfId="10459" priority="10752" operator="containsText" text="Fallido">
      <formula>NOT(ISERROR(SEARCH("Fallido",U115)))</formula>
    </cfRule>
    <cfRule type="containsText" dxfId="10458" priority="10753" operator="containsText" text="Éxitoso">
      <formula>NOT(ISERROR(SEARCH("Éxitoso",U115)))</formula>
    </cfRule>
  </conditionalFormatting>
  <conditionalFormatting sqref="V115">
    <cfRule type="containsText" dxfId="10457" priority="10744" operator="containsText" text="No se pudo ejecutar">
      <formula>NOT(ISERROR(SEARCH("No se pudo ejecutar",V115)))</formula>
    </cfRule>
    <cfRule type="containsText" dxfId="10456" priority="10745" operator="containsText" text="Pendiente">
      <formula>NOT(ISERROR(SEARCH("Pendiente",V115)))</formula>
    </cfRule>
    <cfRule type="containsText" dxfId="10455" priority="10746" operator="containsText" text="No Aplica">
      <formula>NOT(ISERROR(SEARCH("No Aplica",V115)))</formula>
    </cfRule>
    <cfRule type="containsText" dxfId="10454" priority="10747" operator="containsText" text="Fallido">
      <formula>NOT(ISERROR(SEARCH("Fallido",V115)))</formula>
    </cfRule>
    <cfRule type="containsText" dxfId="10453" priority="10748" operator="containsText" text="Éxitoso">
      <formula>NOT(ISERROR(SEARCH("Éxitoso",V115)))</formula>
    </cfRule>
  </conditionalFormatting>
  <conditionalFormatting sqref="W115">
    <cfRule type="containsText" dxfId="10452" priority="10739" operator="containsText" text="No se pudo ejecutar">
      <formula>NOT(ISERROR(SEARCH("No se pudo ejecutar",W115)))</formula>
    </cfRule>
    <cfRule type="containsText" dxfId="10451" priority="10740" operator="containsText" text="Pendiente">
      <formula>NOT(ISERROR(SEARCH("Pendiente",W115)))</formula>
    </cfRule>
    <cfRule type="containsText" dxfId="10450" priority="10741" operator="containsText" text="No Aplica">
      <formula>NOT(ISERROR(SEARCH("No Aplica",W115)))</formula>
    </cfRule>
    <cfRule type="containsText" dxfId="10449" priority="10742" operator="containsText" text="Fallido">
      <formula>NOT(ISERROR(SEARCH("Fallido",W115)))</formula>
    </cfRule>
    <cfRule type="containsText" dxfId="10448" priority="10743" operator="containsText" text="Éxitoso">
      <formula>NOT(ISERROR(SEARCH("Éxitoso",W115)))</formula>
    </cfRule>
  </conditionalFormatting>
  <conditionalFormatting sqref="M115">
    <cfRule type="containsText" dxfId="10447" priority="10734" operator="containsText" text="No se pudo ejecutar">
      <formula>NOT(ISERROR(SEARCH("No se pudo ejecutar",M115)))</formula>
    </cfRule>
    <cfRule type="containsText" dxfId="10446" priority="10735" operator="containsText" text="Pendiente">
      <formula>NOT(ISERROR(SEARCH("Pendiente",M115)))</formula>
    </cfRule>
    <cfRule type="containsText" dxfId="10445" priority="10736" operator="containsText" text="No Aplica">
      <formula>NOT(ISERROR(SEARCH("No Aplica",M115)))</formula>
    </cfRule>
    <cfRule type="containsText" dxfId="10444" priority="10737" operator="containsText" text="Fallido">
      <formula>NOT(ISERROR(SEARCH("Fallido",M115)))</formula>
    </cfRule>
    <cfRule type="containsText" dxfId="10443" priority="10738" operator="containsText" text="Éxitoso">
      <formula>NOT(ISERROR(SEARCH("Éxitoso",M115)))</formula>
    </cfRule>
  </conditionalFormatting>
  <conditionalFormatting sqref="G115">
    <cfRule type="containsText" dxfId="10442" priority="10731" operator="containsText" text="Bajo">
      <formula>NOT(ISERROR(SEARCH("Bajo",G115)))</formula>
    </cfRule>
    <cfRule type="containsText" dxfId="10441" priority="10732" operator="containsText" text="Medio">
      <formula>NOT(ISERROR(SEARCH("Medio",G115)))</formula>
    </cfRule>
    <cfRule type="containsText" dxfId="10440" priority="10733" operator="containsText" text="Alto">
      <formula>NOT(ISERROR(SEARCH("Alto",G115)))</formula>
    </cfRule>
  </conditionalFormatting>
  <conditionalFormatting sqref="N116">
    <cfRule type="containsText" dxfId="10439" priority="10726" operator="containsText" text="No se pudo ejecutar">
      <formula>NOT(ISERROR(SEARCH("No se pudo ejecutar",N116)))</formula>
    </cfRule>
    <cfRule type="containsText" dxfId="10438" priority="10727" operator="containsText" text="Pendiente">
      <formula>NOT(ISERROR(SEARCH("Pendiente",N116)))</formula>
    </cfRule>
    <cfRule type="containsText" dxfId="10437" priority="10728" operator="containsText" text="No Aplica">
      <formula>NOT(ISERROR(SEARCH("No Aplica",N116)))</formula>
    </cfRule>
    <cfRule type="containsText" dxfId="10436" priority="10729" operator="containsText" text="Fallido">
      <formula>NOT(ISERROR(SEARCH("Fallido",N116)))</formula>
    </cfRule>
    <cfRule type="containsText" dxfId="10435" priority="10730" operator="containsText" text="Éxitoso">
      <formula>NOT(ISERROR(SEARCH("Éxitoso",N116)))</formula>
    </cfRule>
  </conditionalFormatting>
  <conditionalFormatting sqref="O116">
    <cfRule type="containsText" dxfId="10434" priority="10721" operator="containsText" text="No se pudo ejecutar">
      <formula>NOT(ISERROR(SEARCH("No se pudo ejecutar",O116)))</formula>
    </cfRule>
    <cfRule type="containsText" dxfId="10433" priority="10722" operator="containsText" text="Pendiente">
      <formula>NOT(ISERROR(SEARCH("Pendiente",O116)))</formula>
    </cfRule>
    <cfRule type="containsText" dxfId="10432" priority="10723" operator="containsText" text="No Aplica">
      <formula>NOT(ISERROR(SEARCH("No Aplica",O116)))</formula>
    </cfRule>
    <cfRule type="containsText" dxfId="10431" priority="10724" operator="containsText" text="Fallido">
      <formula>NOT(ISERROR(SEARCH("Fallido",O116)))</formula>
    </cfRule>
    <cfRule type="containsText" dxfId="10430" priority="10725" operator="containsText" text="Éxitoso">
      <formula>NOT(ISERROR(SEARCH("Éxitoso",O116)))</formula>
    </cfRule>
  </conditionalFormatting>
  <conditionalFormatting sqref="P116">
    <cfRule type="containsText" dxfId="10429" priority="10716" operator="containsText" text="No se pudo ejecutar">
      <formula>NOT(ISERROR(SEARCH("No se pudo ejecutar",P116)))</formula>
    </cfRule>
    <cfRule type="containsText" dxfId="10428" priority="10717" operator="containsText" text="Pendiente">
      <formula>NOT(ISERROR(SEARCH("Pendiente",P116)))</formula>
    </cfRule>
    <cfRule type="containsText" dxfId="10427" priority="10718" operator="containsText" text="No Aplica">
      <formula>NOT(ISERROR(SEARCH("No Aplica",P116)))</formula>
    </cfRule>
    <cfRule type="containsText" dxfId="10426" priority="10719" operator="containsText" text="Fallido">
      <formula>NOT(ISERROR(SEARCH("Fallido",P116)))</formula>
    </cfRule>
    <cfRule type="containsText" dxfId="10425" priority="10720" operator="containsText" text="Éxitoso">
      <formula>NOT(ISERROR(SEARCH("Éxitoso",P116)))</formula>
    </cfRule>
  </conditionalFormatting>
  <conditionalFormatting sqref="Q116">
    <cfRule type="containsText" dxfId="10424" priority="10711" operator="containsText" text="No se pudo ejecutar">
      <formula>NOT(ISERROR(SEARCH("No se pudo ejecutar",Q116)))</formula>
    </cfRule>
    <cfRule type="containsText" dxfId="10423" priority="10712" operator="containsText" text="Pendiente">
      <formula>NOT(ISERROR(SEARCH("Pendiente",Q116)))</formula>
    </cfRule>
    <cfRule type="containsText" dxfId="10422" priority="10713" operator="containsText" text="No Aplica">
      <formula>NOT(ISERROR(SEARCH("No Aplica",Q116)))</formula>
    </cfRule>
    <cfRule type="containsText" dxfId="10421" priority="10714" operator="containsText" text="Fallido">
      <formula>NOT(ISERROR(SEARCH("Fallido",Q116)))</formula>
    </cfRule>
    <cfRule type="containsText" dxfId="10420" priority="10715" operator="containsText" text="Éxitoso">
      <formula>NOT(ISERROR(SEARCH("Éxitoso",Q116)))</formula>
    </cfRule>
  </conditionalFormatting>
  <conditionalFormatting sqref="R116">
    <cfRule type="containsText" dxfId="10419" priority="10706" operator="containsText" text="No se pudo ejecutar">
      <formula>NOT(ISERROR(SEARCH("No se pudo ejecutar",R116)))</formula>
    </cfRule>
    <cfRule type="containsText" dxfId="10418" priority="10707" operator="containsText" text="Pendiente">
      <formula>NOT(ISERROR(SEARCH("Pendiente",R116)))</formula>
    </cfRule>
    <cfRule type="containsText" dxfId="10417" priority="10708" operator="containsText" text="No Aplica">
      <formula>NOT(ISERROR(SEARCH("No Aplica",R116)))</formula>
    </cfRule>
    <cfRule type="containsText" dxfId="10416" priority="10709" operator="containsText" text="Fallido">
      <formula>NOT(ISERROR(SEARCH("Fallido",R116)))</formula>
    </cfRule>
    <cfRule type="containsText" dxfId="10415" priority="10710" operator="containsText" text="Éxitoso">
      <formula>NOT(ISERROR(SEARCH("Éxitoso",R116)))</formula>
    </cfRule>
  </conditionalFormatting>
  <conditionalFormatting sqref="S116">
    <cfRule type="containsText" dxfId="10414" priority="10701" operator="containsText" text="No se pudo ejecutar">
      <formula>NOT(ISERROR(SEARCH("No se pudo ejecutar",S116)))</formula>
    </cfRule>
    <cfRule type="containsText" dxfId="10413" priority="10702" operator="containsText" text="Pendiente">
      <formula>NOT(ISERROR(SEARCH("Pendiente",S116)))</formula>
    </cfRule>
    <cfRule type="containsText" dxfId="10412" priority="10703" operator="containsText" text="No Aplica">
      <formula>NOT(ISERROR(SEARCH("No Aplica",S116)))</formula>
    </cfRule>
    <cfRule type="containsText" dxfId="10411" priority="10704" operator="containsText" text="Fallido">
      <formula>NOT(ISERROR(SEARCH("Fallido",S116)))</formula>
    </cfRule>
    <cfRule type="containsText" dxfId="10410" priority="10705" operator="containsText" text="Éxitoso">
      <formula>NOT(ISERROR(SEARCH("Éxitoso",S116)))</formula>
    </cfRule>
  </conditionalFormatting>
  <conditionalFormatting sqref="T116">
    <cfRule type="containsText" dxfId="10409" priority="10696" operator="containsText" text="No se pudo ejecutar">
      <formula>NOT(ISERROR(SEARCH("No se pudo ejecutar",T116)))</formula>
    </cfRule>
    <cfRule type="containsText" dxfId="10408" priority="10697" operator="containsText" text="Pendiente">
      <formula>NOT(ISERROR(SEARCH("Pendiente",T116)))</formula>
    </cfRule>
    <cfRule type="containsText" dxfId="10407" priority="10698" operator="containsText" text="No Aplica">
      <formula>NOT(ISERROR(SEARCH("No Aplica",T116)))</formula>
    </cfRule>
    <cfRule type="containsText" dxfId="10406" priority="10699" operator="containsText" text="Fallido">
      <formula>NOT(ISERROR(SEARCH("Fallido",T116)))</formula>
    </cfRule>
    <cfRule type="containsText" dxfId="10405" priority="10700" operator="containsText" text="Éxitoso">
      <formula>NOT(ISERROR(SEARCH("Éxitoso",T116)))</formula>
    </cfRule>
  </conditionalFormatting>
  <conditionalFormatting sqref="U116">
    <cfRule type="containsText" dxfId="10404" priority="10691" operator="containsText" text="No se pudo ejecutar">
      <formula>NOT(ISERROR(SEARCH("No se pudo ejecutar",U116)))</formula>
    </cfRule>
    <cfRule type="containsText" dxfId="10403" priority="10692" operator="containsText" text="Pendiente">
      <formula>NOT(ISERROR(SEARCH("Pendiente",U116)))</formula>
    </cfRule>
    <cfRule type="containsText" dxfId="10402" priority="10693" operator="containsText" text="No Aplica">
      <formula>NOT(ISERROR(SEARCH("No Aplica",U116)))</formula>
    </cfRule>
    <cfRule type="containsText" dxfId="10401" priority="10694" operator="containsText" text="Fallido">
      <formula>NOT(ISERROR(SEARCH("Fallido",U116)))</formula>
    </cfRule>
    <cfRule type="containsText" dxfId="10400" priority="10695" operator="containsText" text="Éxitoso">
      <formula>NOT(ISERROR(SEARCH("Éxitoso",U116)))</formula>
    </cfRule>
  </conditionalFormatting>
  <conditionalFormatting sqref="V116">
    <cfRule type="containsText" dxfId="10399" priority="10686" operator="containsText" text="No se pudo ejecutar">
      <formula>NOT(ISERROR(SEARCH("No se pudo ejecutar",V116)))</formula>
    </cfRule>
    <cfRule type="containsText" dxfId="10398" priority="10687" operator="containsText" text="Pendiente">
      <formula>NOT(ISERROR(SEARCH("Pendiente",V116)))</formula>
    </cfRule>
    <cfRule type="containsText" dxfId="10397" priority="10688" operator="containsText" text="No Aplica">
      <formula>NOT(ISERROR(SEARCH("No Aplica",V116)))</formula>
    </cfRule>
    <cfRule type="containsText" dxfId="10396" priority="10689" operator="containsText" text="Fallido">
      <formula>NOT(ISERROR(SEARCH("Fallido",V116)))</formula>
    </cfRule>
    <cfRule type="containsText" dxfId="10395" priority="10690" operator="containsText" text="Éxitoso">
      <formula>NOT(ISERROR(SEARCH("Éxitoso",V116)))</formula>
    </cfRule>
  </conditionalFormatting>
  <conditionalFormatting sqref="W116">
    <cfRule type="containsText" dxfId="10394" priority="10681" operator="containsText" text="No se pudo ejecutar">
      <formula>NOT(ISERROR(SEARCH("No se pudo ejecutar",W116)))</formula>
    </cfRule>
    <cfRule type="containsText" dxfId="10393" priority="10682" operator="containsText" text="Pendiente">
      <formula>NOT(ISERROR(SEARCH("Pendiente",W116)))</formula>
    </cfRule>
    <cfRule type="containsText" dxfId="10392" priority="10683" operator="containsText" text="No Aplica">
      <formula>NOT(ISERROR(SEARCH("No Aplica",W116)))</formula>
    </cfRule>
    <cfRule type="containsText" dxfId="10391" priority="10684" operator="containsText" text="Fallido">
      <formula>NOT(ISERROR(SEARCH("Fallido",W116)))</formula>
    </cfRule>
    <cfRule type="containsText" dxfId="10390" priority="10685" operator="containsText" text="Éxitoso">
      <formula>NOT(ISERROR(SEARCH("Éxitoso",W116)))</formula>
    </cfRule>
  </conditionalFormatting>
  <conditionalFormatting sqref="M116">
    <cfRule type="containsText" dxfId="10389" priority="10676" operator="containsText" text="No se pudo ejecutar">
      <formula>NOT(ISERROR(SEARCH("No se pudo ejecutar",M116)))</formula>
    </cfRule>
    <cfRule type="containsText" dxfId="10388" priority="10677" operator="containsText" text="Pendiente">
      <formula>NOT(ISERROR(SEARCH("Pendiente",M116)))</formula>
    </cfRule>
    <cfRule type="containsText" dxfId="10387" priority="10678" operator="containsText" text="No Aplica">
      <formula>NOT(ISERROR(SEARCH("No Aplica",M116)))</formula>
    </cfRule>
    <cfRule type="containsText" dxfId="10386" priority="10679" operator="containsText" text="Fallido">
      <formula>NOT(ISERROR(SEARCH("Fallido",M116)))</formula>
    </cfRule>
    <cfRule type="containsText" dxfId="10385" priority="10680" operator="containsText" text="Éxitoso">
      <formula>NOT(ISERROR(SEARCH("Éxitoso",M116)))</formula>
    </cfRule>
  </conditionalFormatting>
  <conditionalFormatting sqref="G116">
    <cfRule type="containsText" dxfId="10384" priority="10673" operator="containsText" text="Bajo">
      <formula>NOT(ISERROR(SEARCH("Bajo",G116)))</formula>
    </cfRule>
    <cfRule type="containsText" dxfId="10383" priority="10674" operator="containsText" text="Medio">
      <formula>NOT(ISERROR(SEARCH("Medio",G116)))</formula>
    </cfRule>
    <cfRule type="containsText" dxfId="10382" priority="10675" operator="containsText" text="Alto">
      <formula>NOT(ISERROR(SEARCH("Alto",G116)))</formula>
    </cfRule>
  </conditionalFormatting>
  <conditionalFormatting sqref="N117">
    <cfRule type="containsText" dxfId="10381" priority="10668" operator="containsText" text="No se pudo ejecutar">
      <formula>NOT(ISERROR(SEARCH("No se pudo ejecutar",N117)))</formula>
    </cfRule>
    <cfRule type="containsText" dxfId="10380" priority="10669" operator="containsText" text="Pendiente">
      <formula>NOT(ISERROR(SEARCH("Pendiente",N117)))</formula>
    </cfRule>
    <cfRule type="containsText" dxfId="10379" priority="10670" operator="containsText" text="No Aplica">
      <formula>NOT(ISERROR(SEARCH("No Aplica",N117)))</formula>
    </cfRule>
    <cfRule type="containsText" dxfId="10378" priority="10671" operator="containsText" text="Fallido">
      <formula>NOT(ISERROR(SEARCH("Fallido",N117)))</formula>
    </cfRule>
    <cfRule type="containsText" dxfId="10377" priority="10672" operator="containsText" text="Éxitoso">
      <formula>NOT(ISERROR(SEARCH("Éxitoso",N117)))</formula>
    </cfRule>
  </conditionalFormatting>
  <conditionalFormatting sqref="O117">
    <cfRule type="containsText" dxfId="10376" priority="10663" operator="containsText" text="No se pudo ejecutar">
      <formula>NOT(ISERROR(SEARCH("No se pudo ejecutar",O117)))</formula>
    </cfRule>
    <cfRule type="containsText" dxfId="10375" priority="10664" operator="containsText" text="Pendiente">
      <formula>NOT(ISERROR(SEARCH("Pendiente",O117)))</formula>
    </cfRule>
    <cfRule type="containsText" dxfId="10374" priority="10665" operator="containsText" text="No Aplica">
      <formula>NOT(ISERROR(SEARCH("No Aplica",O117)))</formula>
    </cfRule>
    <cfRule type="containsText" dxfId="10373" priority="10666" operator="containsText" text="Fallido">
      <formula>NOT(ISERROR(SEARCH("Fallido",O117)))</formula>
    </cfRule>
    <cfRule type="containsText" dxfId="10372" priority="10667" operator="containsText" text="Éxitoso">
      <formula>NOT(ISERROR(SEARCH("Éxitoso",O117)))</formula>
    </cfRule>
  </conditionalFormatting>
  <conditionalFormatting sqref="P117">
    <cfRule type="containsText" dxfId="10371" priority="10658" operator="containsText" text="No se pudo ejecutar">
      <formula>NOT(ISERROR(SEARCH("No se pudo ejecutar",P117)))</formula>
    </cfRule>
    <cfRule type="containsText" dxfId="10370" priority="10659" operator="containsText" text="Pendiente">
      <formula>NOT(ISERROR(SEARCH("Pendiente",P117)))</formula>
    </cfRule>
    <cfRule type="containsText" dxfId="10369" priority="10660" operator="containsText" text="No Aplica">
      <formula>NOT(ISERROR(SEARCH("No Aplica",P117)))</formula>
    </cfRule>
    <cfRule type="containsText" dxfId="10368" priority="10661" operator="containsText" text="Fallido">
      <formula>NOT(ISERROR(SEARCH("Fallido",P117)))</formula>
    </cfRule>
    <cfRule type="containsText" dxfId="10367" priority="10662" operator="containsText" text="Éxitoso">
      <formula>NOT(ISERROR(SEARCH("Éxitoso",P117)))</formula>
    </cfRule>
  </conditionalFormatting>
  <conditionalFormatting sqref="Q117">
    <cfRule type="containsText" dxfId="10366" priority="10653" operator="containsText" text="No se pudo ejecutar">
      <formula>NOT(ISERROR(SEARCH("No se pudo ejecutar",Q117)))</formula>
    </cfRule>
    <cfRule type="containsText" dxfId="10365" priority="10654" operator="containsText" text="Pendiente">
      <formula>NOT(ISERROR(SEARCH("Pendiente",Q117)))</formula>
    </cfRule>
    <cfRule type="containsText" dxfId="10364" priority="10655" operator="containsText" text="No Aplica">
      <formula>NOT(ISERROR(SEARCH("No Aplica",Q117)))</formula>
    </cfRule>
    <cfRule type="containsText" dxfId="10363" priority="10656" operator="containsText" text="Fallido">
      <formula>NOT(ISERROR(SEARCH("Fallido",Q117)))</formula>
    </cfRule>
    <cfRule type="containsText" dxfId="10362" priority="10657" operator="containsText" text="Éxitoso">
      <formula>NOT(ISERROR(SEARCH("Éxitoso",Q117)))</formula>
    </cfRule>
  </conditionalFormatting>
  <conditionalFormatting sqref="R117">
    <cfRule type="containsText" dxfId="10361" priority="10648" operator="containsText" text="No se pudo ejecutar">
      <formula>NOT(ISERROR(SEARCH("No se pudo ejecutar",R117)))</formula>
    </cfRule>
    <cfRule type="containsText" dxfId="10360" priority="10649" operator="containsText" text="Pendiente">
      <formula>NOT(ISERROR(SEARCH("Pendiente",R117)))</formula>
    </cfRule>
    <cfRule type="containsText" dxfId="10359" priority="10650" operator="containsText" text="No Aplica">
      <formula>NOT(ISERROR(SEARCH("No Aplica",R117)))</formula>
    </cfRule>
    <cfRule type="containsText" dxfId="10358" priority="10651" operator="containsText" text="Fallido">
      <formula>NOT(ISERROR(SEARCH("Fallido",R117)))</formula>
    </cfRule>
    <cfRule type="containsText" dxfId="10357" priority="10652" operator="containsText" text="Éxitoso">
      <formula>NOT(ISERROR(SEARCH("Éxitoso",R117)))</formula>
    </cfRule>
  </conditionalFormatting>
  <conditionalFormatting sqref="S117">
    <cfRule type="containsText" dxfId="10356" priority="10643" operator="containsText" text="No se pudo ejecutar">
      <formula>NOT(ISERROR(SEARCH("No se pudo ejecutar",S117)))</formula>
    </cfRule>
    <cfRule type="containsText" dxfId="10355" priority="10644" operator="containsText" text="Pendiente">
      <formula>NOT(ISERROR(SEARCH("Pendiente",S117)))</formula>
    </cfRule>
    <cfRule type="containsText" dxfId="10354" priority="10645" operator="containsText" text="No Aplica">
      <formula>NOT(ISERROR(SEARCH("No Aplica",S117)))</formula>
    </cfRule>
    <cfRule type="containsText" dxfId="10353" priority="10646" operator="containsText" text="Fallido">
      <formula>NOT(ISERROR(SEARCH("Fallido",S117)))</formula>
    </cfRule>
    <cfRule type="containsText" dxfId="10352" priority="10647" operator="containsText" text="Éxitoso">
      <formula>NOT(ISERROR(SEARCH("Éxitoso",S117)))</formula>
    </cfRule>
  </conditionalFormatting>
  <conditionalFormatting sqref="T117">
    <cfRule type="containsText" dxfId="10351" priority="10638" operator="containsText" text="No se pudo ejecutar">
      <formula>NOT(ISERROR(SEARCH("No se pudo ejecutar",T117)))</formula>
    </cfRule>
    <cfRule type="containsText" dxfId="10350" priority="10639" operator="containsText" text="Pendiente">
      <formula>NOT(ISERROR(SEARCH("Pendiente",T117)))</formula>
    </cfRule>
    <cfRule type="containsText" dxfId="10349" priority="10640" operator="containsText" text="No Aplica">
      <formula>NOT(ISERROR(SEARCH("No Aplica",T117)))</formula>
    </cfRule>
    <cfRule type="containsText" dxfId="10348" priority="10641" operator="containsText" text="Fallido">
      <formula>NOT(ISERROR(SEARCH("Fallido",T117)))</formula>
    </cfRule>
    <cfRule type="containsText" dxfId="10347" priority="10642" operator="containsText" text="Éxitoso">
      <formula>NOT(ISERROR(SEARCH("Éxitoso",T117)))</formula>
    </cfRule>
  </conditionalFormatting>
  <conditionalFormatting sqref="U117">
    <cfRule type="containsText" dxfId="10346" priority="10633" operator="containsText" text="No se pudo ejecutar">
      <formula>NOT(ISERROR(SEARCH("No se pudo ejecutar",U117)))</formula>
    </cfRule>
    <cfRule type="containsText" dxfId="10345" priority="10634" operator="containsText" text="Pendiente">
      <formula>NOT(ISERROR(SEARCH("Pendiente",U117)))</formula>
    </cfRule>
    <cfRule type="containsText" dxfId="10344" priority="10635" operator="containsText" text="No Aplica">
      <formula>NOT(ISERROR(SEARCH("No Aplica",U117)))</formula>
    </cfRule>
    <cfRule type="containsText" dxfId="10343" priority="10636" operator="containsText" text="Fallido">
      <formula>NOT(ISERROR(SEARCH("Fallido",U117)))</formula>
    </cfRule>
    <cfRule type="containsText" dxfId="10342" priority="10637" operator="containsText" text="Éxitoso">
      <formula>NOT(ISERROR(SEARCH("Éxitoso",U117)))</formula>
    </cfRule>
  </conditionalFormatting>
  <conditionalFormatting sqref="V117">
    <cfRule type="containsText" dxfId="10341" priority="10628" operator="containsText" text="No se pudo ejecutar">
      <formula>NOT(ISERROR(SEARCH("No se pudo ejecutar",V117)))</formula>
    </cfRule>
    <cfRule type="containsText" dxfId="10340" priority="10629" operator="containsText" text="Pendiente">
      <formula>NOT(ISERROR(SEARCH("Pendiente",V117)))</formula>
    </cfRule>
    <cfRule type="containsText" dxfId="10339" priority="10630" operator="containsText" text="No Aplica">
      <formula>NOT(ISERROR(SEARCH("No Aplica",V117)))</formula>
    </cfRule>
    <cfRule type="containsText" dxfId="10338" priority="10631" operator="containsText" text="Fallido">
      <formula>NOT(ISERROR(SEARCH("Fallido",V117)))</formula>
    </cfRule>
    <cfRule type="containsText" dxfId="10337" priority="10632" operator="containsText" text="Éxitoso">
      <formula>NOT(ISERROR(SEARCH("Éxitoso",V117)))</formula>
    </cfRule>
  </conditionalFormatting>
  <conditionalFormatting sqref="W117">
    <cfRule type="containsText" dxfId="10336" priority="10623" operator="containsText" text="No se pudo ejecutar">
      <formula>NOT(ISERROR(SEARCH("No se pudo ejecutar",W117)))</formula>
    </cfRule>
    <cfRule type="containsText" dxfId="10335" priority="10624" operator="containsText" text="Pendiente">
      <formula>NOT(ISERROR(SEARCH("Pendiente",W117)))</formula>
    </cfRule>
    <cfRule type="containsText" dxfId="10334" priority="10625" operator="containsText" text="No Aplica">
      <formula>NOT(ISERROR(SEARCH("No Aplica",W117)))</formula>
    </cfRule>
    <cfRule type="containsText" dxfId="10333" priority="10626" operator="containsText" text="Fallido">
      <formula>NOT(ISERROR(SEARCH("Fallido",W117)))</formula>
    </cfRule>
    <cfRule type="containsText" dxfId="10332" priority="10627" operator="containsText" text="Éxitoso">
      <formula>NOT(ISERROR(SEARCH("Éxitoso",W117)))</formula>
    </cfRule>
  </conditionalFormatting>
  <conditionalFormatting sqref="M117">
    <cfRule type="containsText" dxfId="10331" priority="10618" operator="containsText" text="No se pudo ejecutar">
      <formula>NOT(ISERROR(SEARCH("No se pudo ejecutar",M117)))</formula>
    </cfRule>
    <cfRule type="containsText" dxfId="10330" priority="10619" operator="containsText" text="Pendiente">
      <formula>NOT(ISERROR(SEARCH("Pendiente",M117)))</formula>
    </cfRule>
    <cfRule type="containsText" dxfId="10329" priority="10620" operator="containsText" text="No Aplica">
      <formula>NOT(ISERROR(SEARCH("No Aplica",M117)))</formula>
    </cfRule>
    <cfRule type="containsText" dxfId="10328" priority="10621" operator="containsText" text="Fallido">
      <formula>NOT(ISERROR(SEARCH("Fallido",M117)))</formula>
    </cfRule>
    <cfRule type="containsText" dxfId="10327" priority="10622" operator="containsText" text="Éxitoso">
      <formula>NOT(ISERROR(SEARCH("Éxitoso",M117)))</formula>
    </cfRule>
  </conditionalFormatting>
  <conditionalFormatting sqref="G117">
    <cfRule type="containsText" dxfId="10326" priority="10615" operator="containsText" text="Bajo">
      <formula>NOT(ISERROR(SEARCH("Bajo",G117)))</formula>
    </cfRule>
    <cfRule type="containsText" dxfId="10325" priority="10616" operator="containsText" text="Medio">
      <formula>NOT(ISERROR(SEARCH("Medio",G117)))</formula>
    </cfRule>
    <cfRule type="containsText" dxfId="10324" priority="10617" operator="containsText" text="Alto">
      <formula>NOT(ISERROR(SEARCH("Alto",G117)))</formula>
    </cfRule>
  </conditionalFormatting>
  <conditionalFormatting sqref="N118">
    <cfRule type="containsText" dxfId="10323" priority="10610" operator="containsText" text="No se pudo ejecutar">
      <formula>NOT(ISERROR(SEARCH("No se pudo ejecutar",N118)))</formula>
    </cfRule>
    <cfRule type="containsText" dxfId="10322" priority="10611" operator="containsText" text="Pendiente">
      <formula>NOT(ISERROR(SEARCH("Pendiente",N118)))</formula>
    </cfRule>
    <cfRule type="containsText" dxfId="10321" priority="10612" operator="containsText" text="No Aplica">
      <formula>NOT(ISERROR(SEARCH("No Aplica",N118)))</formula>
    </cfRule>
    <cfRule type="containsText" dxfId="10320" priority="10613" operator="containsText" text="Fallido">
      <formula>NOT(ISERROR(SEARCH("Fallido",N118)))</formula>
    </cfRule>
    <cfRule type="containsText" dxfId="10319" priority="10614" operator="containsText" text="Éxitoso">
      <formula>NOT(ISERROR(SEARCH("Éxitoso",N118)))</formula>
    </cfRule>
  </conditionalFormatting>
  <conditionalFormatting sqref="O118">
    <cfRule type="containsText" dxfId="10318" priority="10605" operator="containsText" text="No se pudo ejecutar">
      <formula>NOT(ISERROR(SEARCH("No se pudo ejecutar",O118)))</formula>
    </cfRule>
    <cfRule type="containsText" dxfId="10317" priority="10606" operator="containsText" text="Pendiente">
      <formula>NOT(ISERROR(SEARCH("Pendiente",O118)))</formula>
    </cfRule>
    <cfRule type="containsText" dxfId="10316" priority="10607" operator="containsText" text="No Aplica">
      <formula>NOT(ISERROR(SEARCH("No Aplica",O118)))</formula>
    </cfRule>
    <cfRule type="containsText" dxfId="10315" priority="10608" operator="containsText" text="Fallido">
      <formula>NOT(ISERROR(SEARCH("Fallido",O118)))</formula>
    </cfRule>
    <cfRule type="containsText" dxfId="10314" priority="10609" operator="containsText" text="Éxitoso">
      <formula>NOT(ISERROR(SEARCH("Éxitoso",O118)))</formula>
    </cfRule>
  </conditionalFormatting>
  <conditionalFormatting sqref="P118">
    <cfRule type="containsText" dxfId="10313" priority="10600" operator="containsText" text="No se pudo ejecutar">
      <formula>NOT(ISERROR(SEARCH("No se pudo ejecutar",P118)))</formula>
    </cfRule>
    <cfRule type="containsText" dxfId="10312" priority="10601" operator="containsText" text="Pendiente">
      <formula>NOT(ISERROR(SEARCH("Pendiente",P118)))</formula>
    </cfRule>
    <cfRule type="containsText" dxfId="10311" priority="10602" operator="containsText" text="No Aplica">
      <formula>NOT(ISERROR(SEARCH("No Aplica",P118)))</formula>
    </cfRule>
    <cfRule type="containsText" dxfId="10310" priority="10603" operator="containsText" text="Fallido">
      <formula>NOT(ISERROR(SEARCH("Fallido",P118)))</formula>
    </cfRule>
    <cfRule type="containsText" dxfId="10309" priority="10604" operator="containsText" text="Éxitoso">
      <formula>NOT(ISERROR(SEARCH("Éxitoso",P118)))</formula>
    </cfRule>
  </conditionalFormatting>
  <conditionalFormatting sqref="Q118">
    <cfRule type="containsText" dxfId="10308" priority="10595" operator="containsText" text="No se pudo ejecutar">
      <formula>NOT(ISERROR(SEARCH("No se pudo ejecutar",Q118)))</formula>
    </cfRule>
    <cfRule type="containsText" dxfId="10307" priority="10596" operator="containsText" text="Pendiente">
      <formula>NOT(ISERROR(SEARCH("Pendiente",Q118)))</formula>
    </cfRule>
    <cfRule type="containsText" dxfId="10306" priority="10597" operator="containsText" text="No Aplica">
      <formula>NOT(ISERROR(SEARCH("No Aplica",Q118)))</formula>
    </cfRule>
    <cfRule type="containsText" dxfId="10305" priority="10598" operator="containsText" text="Fallido">
      <formula>NOT(ISERROR(SEARCH("Fallido",Q118)))</formula>
    </cfRule>
    <cfRule type="containsText" dxfId="10304" priority="10599" operator="containsText" text="Éxitoso">
      <formula>NOT(ISERROR(SEARCH("Éxitoso",Q118)))</formula>
    </cfRule>
  </conditionalFormatting>
  <conditionalFormatting sqref="R118">
    <cfRule type="containsText" dxfId="10303" priority="10590" operator="containsText" text="No se pudo ejecutar">
      <formula>NOT(ISERROR(SEARCH("No se pudo ejecutar",R118)))</formula>
    </cfRule>
    <cfRule type="containsText" dxfId="10302" priority="10591" operator="containsText" text="Pendiente">
      <formula>NOT(ISERROR(SEARCH("Pendiente",R118)))</formula>
    </cfRule>
    <cfRule type="containsText" dxfId="10301" priority="10592" operator="containsText" text="No Aplica">
      <formula>NOT(ISERROR(SEARCH("No Aplica",R118)))</formula>
    </cfRule>
    <cfRule type="containsText" dxfId="10300" priority="10593" operator="containsText" text="Fallido">
      <formula>NOT(ISERROR(SEARCH("Fallido",R118)))</formula>
    </cfRule>
    <cfRule type="containsText" dxfId="10299" priority="10594" operator="containsText" text="Éxitoso">
      <formula>NOT(ISERROR(SEARCH("Éxitoso",R118)))</formula>
    </cfRule>
  </conditionalFormatting>
  <conditionalFormatting sqref="S118">
    <cfRule type="containsText" dxfId="10298" priority="10585" operator="containsText" text="No se pudo ejecutar">
      <formula>NOT(ISERROR(SEARCH("No se pudo ejecutar",S118)))</formula>
    </cfRule>
    <cfRule type="containsText" dxfId="10297" priority="10586" operator="containsText" text="Pendiente">
      <formula>NOT(ISERROR(SEARCH("Pendiente",S118)))</formula>
    </cfRule>
    <cfRule type="containsText" dxfId="10296" priority="10587" operator="containsText" text="No Aplica">
      <formula>NOT(ISERROR(SEARCH("No Aplica",S118)))</formula>
    </cfRule>
    <cfRule type="containsText" dxfId="10295" priority="10588" operator="containsText" text="Fallido">
      <formula>NOT(ISERROR(SEARCH("Fallido",S118)))</formula>
    </cfRule>
    <cfRule type="containsText" dxfId="10294" priority="10589" operator="containsText" text="Éxitoso">
      <formula>NOT(ISERROR(SEARCH("Éxitoso",S118)))</formula>
    </cfRule>
  </conditionalFormatting>
  <conditionalFormatting sqref="T118">
    <cfRule type="containsText" dxfId="10293" priority="10580" operator="containsText" text="No se pudo ejecutar">
      <formula>NOT(ISERROR(SEARCH("No se pudo ejecutar",T118)))</formula>
    </cfRule>
    <cfRule type="containsText" dxfId="10292" priority="10581" operator="containsText" text="Pendiente">
      <formula>NOT(ISERROR(SEARCH("Pendiente",T118)))</formula>
    </cfRule>
    <cfRule type="containsText" dxfId="10291" priority="10582" operator="containsText" text="No Aplica">
      <formula>NOT(ISERROR(SEARCH("No Aplica",T118)))</formula>
    </cfRule>
    <cfRule type="containsText" dxfId="10290" priority="10583" operator="containsText" text="Fallido">
      <formula>NOT(ISERROR(SEARCH("Fallido",T118)))</formula>
    </cfRule>
    <cfRule type="containsText" dxfId="10289" priority="10584" operator="containsText" text="Éxitoso">
      <formula>NOT(ISERROR(SEARCH("Éxitoso",T118)))</formula>
    </cfRule>
  </conditionalFormatting>
  <conditionalFormatting sqref="U118">
    <cfRule type="containsText" dxfId="10288" priority="10575" operator="containsText" text="No se pudo ejecutar">
      <formula>NOT(ISERROR(SEARCH("No se pudo ejecutar",U118)))</formula>
    </cfRule>
    <cfRule type="containsText" dxfId="10287" priority="10576" operator="containsText" text="Pendiente">
      <formula>NOT(ISERROR(SEARCH("Pendiente",U118)))</formula>
    </cfRule>
    <cfRule type="containsText" dxfId="10286" priority="10577" operator="containsText" text="No Aplica">
      <formula>NOT(ISERROR(SEARCH("No Aplica",U118)))</formula>
    </cfRule>
    <cfRule type="containsText" dxfId="10285" priority="10578" operator="containsText" text="Fallido">
      <formula>NOT(ISERROR(SEARCH("Fallido",U118)))</formula>
    </cfRule>
    <cfRule type="containsText" dxfId="10284" priority="10579" operator="containsText" text="Éxitoso">
      <formula>NOT(ISERROR(SEARCH("Éxitoso",U118)))</formula>
    </cfRule>
  </conditionalFormatting>
  <conditionalFormatting sqref="V118">
    <cfRule type="containsText" dxfId="10283" priority="10570" operator="containsText" text="No se pudo ejecutar">
      <formula>NOT(ISERROR(SEARCH("No se pudo ejecutar",V118)))</formula>
    </cfRule>
    <cfRule type="containsText" dxfId="10282" priority="10571" operator="containsText" text="Pendiente">
      <formula>NOT(ISERROR(SEARCH("Pendiente",V118)))</formula>
    </cfRule>
    <cfRule type="containsText" dxfId="10281" priority="10572" operator="containsText" text="No Aplica">
      <formula>NOT(ISERROR(SEARCH("No Aplica",V118)))</formula>
    </cfRule>
    <cfRule type="containsText" dxfId="10280" priority="10573" operator="containsText" text="Fallido">
      <formula>NOT(ISERROR(SEARCH("Fallido",V118)))</formula>
    </cfRule>
    <cfRule type="containsText" dxfId="10279" priority="10574" operator="containsText" text="Éxitoso">
      <formula>NOT(ISERROR(SEARCH("Éxitoso",V118)))</formula>
    </cfRule>
  </conditionalFormatting>
  <conditionalFormatting sqref="W118">
    <cfRule type="containsText" dxfId="10278" priority="10565" operator="containsText" text="No se pudo ejecutar">
      <formula>NOT(ISERROR(SEARCH("No se pudo ejecutar",W118)))</formula>
    </cfRule>
    <cfRule type="containsText" dxfId="10277" priority="10566" operator="containsText" text="Pendiente">
      <formula>NOT(ISERROR(SEARCH("Pendiente",W118)))</formula>
    </cfRule>
    <cfRule type="containsText" dxfId="10276" priority="10567" operator="containsText" text="No Aplica">
      <formula>NOT(ISERROR(SEARCH("No Aplica",W118)))</formula>
    </cfRule>
    <cfRule type="containsText" dxfId="10275" priority="10568" operator="containsText" text="Fallido">
      <formula>NOT(ISERROR(SEARCH("Fallido",W118)))</formula>
    </cfRule>
    <cfRule type="containsText" dxfId="10274" priority="10569" operator="containsText" text="Éxitoso">
      <formula>NOT(ISERROR(SEARCH("Éxitoso",W118)))</formula>
    </cfRule>
  </conditionalFormatting>
  <conditionalFormatting sqref="M118">
    <cfRule type="containsText" dxfId="10273" priority="10560" operator="containsText" text="No se pudo ejecutar">
      <formula>NOT(ISERROR(SEARCH("No se pudo ejecutar",M118)))</formula>
    </cfRule>
    <cfRule type="containsText" dxfId="10272" priority="10561" operator="containsText" text="Pendiente">
      <formula>NOT(ISERROR(SEARCH("Pendiente",M118)))</formula>
    </cfRule>
    <cfRule type="containsText" dxfId="10271" priority="10562" operator="containsText" text="No Aplica">
      <formula>NOT(ISERROR(SEARCH("No Aplica",M118)))</formula>
    </cfRule>
    <cfRule type="containsText" dxfId="10270" priority="10563" operator="containsText" text="Fallido">
      <formula>NOT(ISERROR(SEARCH("Fallido",M118)))</formula>
    </cfRule>
    <cfRule type="containsText" dxfId="10269" priority="10564" operator="containsText" text="Éxitoso">
      <formula>NOT(ISERROR(SEARCH("Éxitoso",M118)))</formula>
    </cfRule>
  </conditionalFormatting>
  <conditionalFormatting sqref="G118">
    <cfRule type="containsText" dxfId="10268" priority="10557" operator="containsText" text="Bajo">
      <formula>NOT(ISERROR(SEARCH("Bajo",G118)))</formula>
    </cfRule>
    <cfRule type="containsText" dxfId="10267" priority="10558" operator="containsText" text="Medio">
      <formula>NOT(ISERROR(SEARCH("Medio",G118)))</formula>
    </cfRule>
    <cfRule type="containsText" dxfId="10266" priority="10559" operator="containsText" text="Alto">
      <formula>NOT(ISERROR(SEARCH("Alto",G118)))</formula>
    </cfRule>
  </conditionalFormatting>
  <conditionalFormatting sqref="N119">
    <cfRule type="containsText" dxfId="10265" priority="10552" operator="containsText" text="No se pudo ejecutar">
      <formula>NOT(ISERROR(SEARCH("No se pudo ejecutar",N119)))</formula>
    </cfRule>
    <cfRule type="containsText" dxfId="10264" priority="10553" operator="containsText" text="Pendiente">
      <formula>NOT(ISERROR(SEARCH("Pendiente",N119)))</formula>
    </cfRule>
    <cfRule type="containsText" dxfId="10263" priority="10554" operator="containsText" text="No Aplica">
      <formula>NOT(ISERROR(SEARCH("No Aplica",N119)))</formula>
    </cfRule>
    <cfRule type="containsText" dxfId="10262" priority="10555" operator="containsText" text="Fallido">
      <formula>NOT(ISERROR(SEARCH("Fallido",N119)))</formula>
    </cfRule>
    <cfRule type="containsText" dxfId="10261" priority="10556" operator="containsText" text="Éxitoso">
      <formula>NOT(ISERROR(SEARCH("Éxitoso",N119)))</formula>
    </cfRule>
  </conditionalFormatting>
  <conditionalFormatting sqref="O119">
    <cfRule type="containsText" dxfId="10260" priority="10547" operator="containsText" text="No se pudo ejecutar">
      <formula>NOT(ISERROR(SEARCH("No se pudo ejecutar",O119)))</formula>
    </cfRule>
    <cfRule type="containsText" dxfId="10259" priority="10548" operator="containsText" text="Pendiente">
      <formula>NOT(ISERROR(SEARCH("Pendiente",O119)))</formula>
    </cfRule>
    <cfRule type="containsText" dxfId="10258" priority="10549" operator="containsText" text="No Aplica">
      <formula>NOT(ISERROR(SEARCH("No Aplica",O119)))</formula>
    </cfRule>
    <cfRule type="containsText" dxfId="10257" priority="10550" operator="containsText" text="Fallido">
      <formula>NOT(ISERROR(SEARCH("Fallido",O119)))</formula>
    </cfRule>
    <cfRule type="containsText" dxfId="10256" priority="10551" operator="containsText" text="Éxitoso">
      <formula>NOT(ISERROR(SEARCH("Éxitoso",O119)))</formula>
    </cfRule>
  </conditionalFormatting>
  <conditionalFormatting sqref="P119">
    <cfRule type="containsText" dxfId="10255" priority="10542" operator="containsText" text="No se pudo ejecutar">
      <formula>NOT(ISERROR(SEARCH("No se pudo ejecutar",P119)))</formula>
    </cfRule>
    <cfRule type="containsText" dxfId="10254" priority="10543" operator="containsText" text="Pendiente">
      <formula>NOT(ISERROR(SEARCH("Pendiente",P119)))</formula>
    </cfRule>
    <cfRule type="containsText" dxfId="10253" priority="10544" operator="containsText" text="No Aplica">
      <formula>NOT(ISERROR(SEARCH("No Aplica",P119)))</formula>
    </cfRule>
    <cfRule type="containsText" dxfId="10252" priority="10545" operator="containsText" text="Fallido">
      <formula>NOT(ISERROR(SEARCH("Fallido",P119)))</formula>
    </cfRule>
    <cfRule type="containsText" dxfId="10251" priority="10546" operator="containsText" text="Éxitoso">
      <formula>NOT(ISERROR(SEARCH("Éxitoso",P119)))</formula>
    </cfRule>
  </conditionalFormatting>
  <conditionalFormatting sqref="Q119">
    <cfRule type="containsText" dxfId="10250" priority="10537" operator="containsText" text="No se pudo ejecutar">
      <formula>NOT(ISERROR(SEARCH("No se pudo ejecutar",Q119)))</formula>
    </cfRule>
    <cfRule type="containsText" dxfId="10249" priority="10538" operator="containsText" text="Pendiente">
      <formula>NOT(ISERROR(SEARCH("Pendiente",Q119)))</formula>
    </cfRule>
    <cfRule type="containsText" dxfId="10248" priority="10539" operator="containsText" text="No Aplica">
      <formula>NOT(ISERROR(SEARCH("No Aplica",Q119)))</formula>
    </cfRule>
    <cfRule type="containsText" dxfId="10247" priority="10540" operator="containsText" text="Fallido">
      <formula>NOT(ISERROR(SEARCH("Fallido",Q119)))</formula>
    </cfRule>
    <cfRule type="containsText" dxfId="10246" priority="10541" operator="containsText" text="Éxitoso">
      <formula>NOT(ISERROR(SEARCH("Éxitoso",Q119)))</formula>
    </cfRule>
  </conditionalFormatting>
  <conditionalFormatting sqref="R119">
    <cfRule type="containsText" dxfId="10245" priority="10532" operator="containsText" text="No se pudo ejecutar">
      <formula>NOT(ISERROR(SEARCH("No se pudo ejecutar",R119)))</formula>
    </cfRule>
    <cfRule type="containsText" dxfId="10244" priority="10533" operator="containsText" text="Pendiente">
      <formula>NOT(ISERROR(SEARCH("Pendiente",R119)))</formula>
    </cfRule>
    <cfRule type="containsText" dxfId="10243" priority="10534" operator="containsText" text="No Aplica">
      <formula>NOT(ISERROR(SEARCH("No Aplica",R119)))</formula>
    </cfRule>
    <cfRule type="containsText" dxfId="10242" priority="10535" operator="containsText" text="Fallido">
      <formula>NOT(ISERROR(SEARCH("Fallido",R119)))</formula>
    </cfRule>
    <cfRule type="containsText" dxfId="10241" priority="10536" operator="containsText" text="Éxitoso">
      <formula>NOT(ISERROR(SEARCH("Éxitoso",R119)))</formula>
    </cfRule>
  </conditionalFormatting>
  <conditionalFormatting sqref="S119">
    <cfRule type="containsText" dxfId="10240" priority="10527" operator="containsText" text="No se pudo ejecutar">
      <formula>NOT(ISERROR(SEARCH("No se pudo ejecutar",S119)))</formula>
    </cfRule>
    <cfRule type="containsText" dxfId="10239" priority="10528" operator="containsText" text="Pendiente">
      <formula>NOT(ISERROR(SEARCH("Pendiente",S119)))</formula>
    </cfRule>
    <cfRule type="containsText" dxfId="10238" priority="10529" operator="containsText" text="No Aplica">
      <formula>NOT(ISERROR(SEARCH("No Aplica",S119)))</formula>
    </cfRule>
    <cfRule type="containsText" dxfId="10237" priority="10530" operator="containsText" text="Fallido">
      <formula>NOT(ISERROR(SEARCH("Fallido",S119)))</formula>
    </cfRule>
    <cfRule type="containsText" dxfId="10236" priority="10531" operator="containsText" text="Éxitoso">
      <formula>NOT(ISERROR(SEARCH("Éxitoso",S119)))</formula>
    </cfRule>
  </conditionalFormatting>
  <conditionalFormatting sqref="T119">
    <cfRule type="containsText" dxfId="10235" priority="10522" operator="containsText" text="No se pudo ejecutar">
      <formula>NOT(ISERROR(SEARCH("No se pudo ejecutar",T119)))</formula>
    </cfRule>
    <cfRule type="containsText" dxfId="10234" priority="10523" operator="containsText" text="Pendiente">
      <formula>NOT(ISERROR(SEARCH("Pendiente",T119)))</formula>
    </cfRule>
    <cfRule type="containsText" dxfId="10233" priority="10524" operator="containsText" text="No Aplica">
      <formula>NOT(ISERROR(SEARCH("No Aplica",T119)))</formula>
    </cfRule>
    <cfRule type="containsText" dxfId="10232" priority="10525" operator="containsText" text="Fallido">
      <formula>NOT(ISERROR(SEARCH("Fallido",T119)))</formula>
    </cfRule>
    <cfRule type="containsText" dxfId="10231" priority="10526" operator="containsText" text="Éxitoso">
      <formula>NOT(ISERROR(SEARCH("Éxitoso",T119)))</formula>
    </cfRule>
  </conditionalFormatting>
  <conditionalFormatting sqref="U119">
    <cfRule type="containsText" dxfId="10230" priority="10517" operator="containsText" text="No se pudo ejecutar">
      <formula>NOT(ISERROR(SEARCH("No se pudo ejecutar",U119)))</formula>
    </cfRule>
    <cfRule type="containsText" dxfId="10229" priority="10518" operator="containsText" text="Pendiente">
      <formula>NOT(ISERROR(SEARCH("Pendiente",U119)))</formula>
    </cfRule>
    <cfRule type="containsText" dxfId="10228" priority="10519" operator="containsText" text="No Aplica">
      <formula>NOT(ISERROR(SEARCH("No Aplica",U119)))</formula>
    </cfRule>
    <cfRule type="containsText" dxfId="10227" priority="10520" operator="containsText" text="Fallido">
      <formula>NOT(ISERROR(SEARCH("Fallido",U119)))</formula>
    </cfRule>
    <cfRule type="containsText" dxfId="10226" priority="10521" operator="containsText" text="Éxitoso">
      <formula>NOT(ISERROR(SEARCH("Éxitoso",U119)))</formula>
    </cfRule>
  </conditionalFormatting>
  <conditionalFormatting sqref="V119">
    <cfRule type="containsText" dxfId="10225" priority="10512" operator="containsText" text="No se pudo ejecutar">
      <formula>NOT(ISERROR(SEARCH("No se pudo ejecutar",V119)))</formula>
    </cfRule>
    <cfRule type="containsText" dxfId="10224" priority="10513" operator="containsText" text="Pendiente">
      <formula>NOT(ISERROR(SEARCH("Pendiente",V119)))</formula>
    </cfRule>
    <cfRule type="containsText" dxfId="10223" priority="10514" operator="containsText" text="No Aplica">
      <formula>NOT(ISERROR(SEARCH("No Aplica",V119)))</formula>
    </cfRule>
    <cfRule type="containsText" dxfId="10222" priority="10515" operator="containsText" text="Fallido">
      <formula>NOT(ISERROR(SEARCH("Fallido",V119)))</formula>
    </cfRule>
    <cfRule type="containsText" dxfId="10221" priority="10516" operator="containsText" text="Éxitoso">
      <formula>NOT(ISERROR(SEARCH("Éxitoso",V119)))</formula>
    </cfRule>
  </conditionalFormatting>
  <conditionalFormatting sqref="W119">
    <cfRule type="containsText" dxfId="10220" priority="10507" operator="containsText" text="No se pudo ejecutar">
      <formula>NOT(ISERROR(SEARCH("No se pudo ejecutar",W119)))</formula>
    </cfRule>
    <cfRule type="containsText" dxfId="10219" priority="10508" operator="containsText" text="Pendiente">
      <formula>NOT(ISERROR(SEARCH("Pendiente",W119)))</formula>
    </cfRule>
    <cfRule type="containsText" dxfId="10218" priority="10509" operator="containsText" text="No Aplica">
      <formula>NOT(ISERROR(SEARCH("No Aplica",W119)))</formula>
    </cfRule>
    <cfRule type="containsText" dxfId="10217" priority="10510" operator="containsText" text="Fallido">
      <formula>NOT(ISERROR(SEARCH("Fallido",W119)))</formula>
    </cfRule>
    <cfRule type="containsText" dxfId="10216" priority="10511" operator="containsText" text="Éxitoso">
      <formula>NOT(ISERROR(SEARCH("Éxitoso",W119)))</formula>
    </cfRule>
  </conditionalFormatting>
  <conditionalFormatting sqref="M119">
    <cfRule type="containsText" dxfId="10215" priority="10502" operator="containsText" text="No se pudo ejecutar">
      <formula>NOT(ISERROR(SEARCH("No se pudo ejecutar",M119)))</formula>
    </cfRule>
    <cfRule type="containsText" dxfId="10214" priority="10503" operator="containsText" text="Pendiente">
      <formula>NOT(ISERROR(SEARCH("Pendiente",M119)))</formula>
    </cfRule>
    <cfRule type="containsText" dxfId="10213" priority="10504" operator="containsText" text="No Aplica">
      <formula>NOT(ISERROR(SEARCH("No Aplica",M119)))</formula>
    </cfRule>
    <cfRule type="containsText" dxfId="10212" priority="10505" operator="containsText" text="Fallido">
      <formula>NOT(ISERROR(SEARCH("Fallido",M119)))</formula>
    </cfRule>
    <cfRule type="containsText" dxfId="10211" priority="10506" operator="containsText" text="Éxitoso">
      <formula>NOT(ISERROR(SEARCH("Éxitoso",M119)))</formula>
    </cfRule>
  </conditionalFormatting>
  <conditionalFormatting sqref="G119">
    <cfRule type="containsText" dxfId="10210" priority="10499" operator="containsText" text="Bajo">
      <formula>NOT(ISERROR(SEARCH("Bajo",G119)))</formula>
    </cfRule>
    <cfRule type="containsText" dxfId="10209" priority="10500" operator="containsText" text="Medio">
      <formula>NOT(ISERROR(SEARCH("Medio",G119)))</formula>
    </cfRule>
    <cfRule type="containsText" dxfId="10208" priority="10501" operator="containsText" text="Alto">
      <formula>NOT(ISERROR(SEARCH("Alto",G119)))</formula>
    </cfRule>
  </conditionalFormatting>
  <conditionalFormatting sqref="N120">
    <cfRule type="containsText" dxfId="10207" priority="10494" operator="containsText" text="No se pudo ejecutar">
      <formula>NOT(ISERROR(SEARCH("No se pudo ejecutar",N120)))</formula>
    </cfRule>
    <cfRule type="containsText" dxfId="10206" priority="10495" operator="containsText" text="Pendiente">
      <formula>NOT(ISERROR(SEARCH("Pendiente",N120)))</formula>
    </cfRule>
    <cfRule type="containsText" dxfId="10205" priority="10496" operator="containsText" text="No Aplica">
      <formula>NOT(ISERROR(SEARCH("No Aplica",N120)))</formula>
    </cfRule>
    <cfRule type="containsText" dxfId="10204" priority="10497" operator="containsText" text="Fallido">
      <formula>NOT(ISERROR(SEARCH("Fallido",N120)))</formula>
    </cfRule>
    <cfRule type="containsText" dxfId="10203" priority="10498" operator="containsText" text="Éxitoso">
      <formula>NOT(ISERROR(SEARCH("Éxitoso",N120)))</formula>
    </cfRule>
  </conditionalFormatting>
  <conditionalFormatting sqref="O120">
    <cfRule type="containsText" dxfId="10202" priority="10489" operator="containsText" text="No se pudo ejecutar">
      <formula>NOT(ISERROR(SEARCH("No se pudo ejecutar",O120)))</formula>
    </cfRule>
    <cfRule type="containsText" dxfId="10201" priority="10490" operator="containsText" text="Pendiente">
      <formula>NOT(ISERROR(SEARCH("Pendiente",O120)))</formula>
    </cfRule>
    <cfRule type="containsText" dxfId="10200" priority="10491" operator="containsText" text="No Aplica">
      <formula>NOT(ISERROR(SEARCH("No Aplica",O120)))</formula>
    </cfRule>
    <cfRule type="containsText" dxfId="10199" priority="10492" operator="containsText" text="Fallido">
      <formula>NOT(ISERROR(SEARCH("Fallido",O120)))</formula>
    </cfRule>
    <cfRule type="containsText" dxfId="10198" priority="10493" operator="containsText" text="Éxitoso">
      <formula>NOT(ISERROR(SEARCH("Éxitoso",O120)))</formula>
    </cfRule>
  </conditionalFormatting>
  <conditionalFormatting sqref="P120">
    <cfRule type="containsText" dxfId="10197" priority="10484" operator="containsText" text="No se pudo ejecutar">
      <formula>NOT(ISERROR(SEARCH("No se pudo ejecutar",P120)))</formula>
    </cfRule>
    <cfRule type="containsText" dxfId="10196" priority="10485" operator="containsText" text="Pendiente">
      <formula>NOT(ISERROR(SEARCH("Pendiente",P120)))</formula>
    </cfRule>
    <cfRule type="containsText" dxfId="10195" priority="10486" operator="containsText" text="No Aplica">
      <formula>NOT(ISERROR(SEARCH("No Aplica",P120)))</formula>
    </cfRule>
    <cfRule type="containsText" dxfId="10194" priority="10487" operator="containsText" text="Fallido">
      <formula>NOT(ISERROR(SEARCH("Fallido",P120)))</formula>
    </cfRule>
    <cfRule type="containsText" dxfId="10193" priority="10488" operator="containsText" text="Éxitoso">
      <formula>NOT(ISERROR(SEARCH("Éxitoso",P120)))</formula>
    </cfRule>
  </conditionalFormatting>
  <conditionalFormatting sqref="Q120">
    <cfRule type="containsText" dxfId="10192" priority="10479" operator="containsText" text="No se pudo ejecutar">
      <formula>NOT(ISERROR(SEARCH("No se pudo ejecutar",Q120)))</formula>
    </cfRule>
    <cfRule type="containsText" dxfId="10191" priority="10480" operator="containsText" text="Pendiente">
      <formula>NOT(ISERROR(SEARCH("Pendiente",Q120)))</formula>
    </cfRule>
    <cfRule type="containsText" dxfId="10190" priority="10481" operator="containsText" text="No Aplica">
      <formula>NOT(ISERROR(SEARCH("No Aplica",Q120)))</formula>
    </cfRule>
    <cfRule type="containsText" dxfId="10189" priority="10482" operator="containsText" text="Fallido">
      <formula>NOT(ISERROR(SEARCH("Fallido",Q120)))</formula>
    </cfRule>
    <cfRule type="containsText" dxfId="10188" priority="10483" operator="containsText" text="Éxitoso">
      <formula>NOT(ISERROR(SEARCH("Éxitoso",Q120)))</formula>
    </cfRule>
  </conditionalFormatting>
  <conditionalFormatting sqref="R120">
    <cfRule type="containsText" dxfId="10187" priority="10474" operator="containsText" text="No se pudo ejecutar">
      <formula>NOT(ISERROR(SEARCH("No se pudo ejecutar",R120)))</formula>
    </cfRule>
    <cfRule type="containsText" dxfId="10186" priority="10475" operator="containsText" text="Pendiente">
      <formula>NOT(ISERROR(SEARCH("Pendiente",R120)))</formula>
    </cfRule>
    <cfRule type="containsText" dxfId="10185" priority="10476" operator="containsText" text="No Aplica">
      <formula>NOT(ISERROR(SEARCH("No Aplica",R120)))</formula>
    </cfRule>
    <cfRule type="containsText" dxfId="10184" priority="10477" operator="containsText" text="Fallido">
      <formula>NOT(ISERROR(SEARCH("Fallido",R120)))</formula>
    </cfRule>
    <cfRule type="containsText" dxfId="10183" priority="10478" operator="containsText" text="Éxitoso">
      <formula>NOT(ISERROR(SEARCH("Éxitoso",R120)))</formula>
    </cfRule>
  </conditionalFormatting>
  <conditionalFormatting sqref="S120">
    <cfRule type="containsText" dxfId="10182" priority="10469" operator="containsText" text="No se pudo ejecutar">
      <formula>NOT(ISERROR(SEARCH("No se pudo ejecutar",S120)))</formula>
    </cfRule>
    <cfRule type="containsText" dxfId="10181" priority="10470" operator="containsText" text="Pendiente">
      <formula>NOT(ISERROR(SEARCH("Pendiente",S120)))</formula>
    </cfRule>
    <cfRule type="containsText" dxfId="10180" priority="10471" operator="containsText" text="No Aplica">
      <formula>NOT(ISERROR(SEARCH("No Aplica",S120)))</formula>
    </cfRule>
    <cfRule type="containsText" dxfId="10179" priority="10472" operator="containsText" text="Fallido">
      <formula>NOT(ISERROR(SEARCH("Fallido",S120)))</formula>
    </cfRule>
    <cfRule type="containsText" dxfId="10178" priority="10473" operator="containsText" text="Éxitoso">
      <formula>NOT(ISERROR(SEARCH("Éxitoso",S120)))</formula>
    </cfRule>
  </conditionalFormatting>
  <conditionalFormatting sqref="T120">
    <cfRule type="containsText" dxfId="10177" priority="10464" operator="containsText" text="No se pudo ejecutar">
      <formula>NOT(ISERROR(SEARCH("No se pudo ejecutar",T120)))</formula>
    </cfRule>
    <cfRule type="containsText" dxfId="10176" priority="10465" operator="containsText" text="Pendiente">
      <formula>NOT(ISERROR(SEARCH("Pendiente",T120)))</formula>
    </cfRule>
    <cfRule type="containsText" dxfId="10175" priority="10466" operator="containsText" text="No Aplica">
      <formula>NOT(ISERROR(SEARCH("No Aplica",T120)))</formula>
    </cfRule>
    <cfRule type="containsText" dxfId="10174" priority="10467" operator="containsText" text="Fallido">
      <formula>NOT(ISERROR(SEARCH("Fallido",T120)))</formula>
    </cfRule>
    <cfRule type="containsText" dxfId="10173" priority="10468" operator="containsText" text="Éxitoso">
      <formula>NOT(ISERROR(SEARCH("Éxitoso",T120)))</formula>
    </cfRule>
  </conditionalFormatting>
  <conditionalFormatting sqref="U120">
    <cfRule type="containsText" dxfId="10172" priority="10459" operator="containsText" text="No se pudo ejecutar">
      <formula>NOT(ISERROR(SEARCH("No se pudo ejecutar",U120)))</formula>
    </cfRule>
    <cfRule type="containsText" dxfId="10171" priority="10460" operator="containsText" text="Pendiente">
      <formula>NOT(ISERROR(SEARCH("Pendiente",U120)))</formula>
    </cfRule>
    <cfRule type="containsText" dxfId="10170" priority="10461" operator="containsText" text="No Aplica">
      <formula>NOT(ISERROR(SEARCH("No Aplica",U120)))</formula>
    </cfRule>
    <cfRule type="containsText" dxfId="10169" priority="10462" operator="containsText" text="Fallido">
      <formula>NOT(ISERROR(SEARCH("Fallido",U120)))</formula>
    </cfRule>
    <cfRule type="containsText" dxfId="10168" priority="10463" operator="containsText" text="Éxitoso">
      <formula>NOT(ISERROR(SEARCH("Éxitoso",U120)))</formula>
    </cfRule>
  </conditionalFormatting>
  <conditionalFormatting sqref="V120">
    <cfRule type="containsText" dxfId="10167" priority="10454" operator="containsText" text="No se pudo ejecutar">
      <formula>NOT(ISERROR(SEARCH("No se pudo ejecutar",V120)))</formula>
    </cfRule>
    <cfRule type="containsText" dxfId="10166" priority="10455" operator="containsText" text="Pendiente">
      <formula>NOT(ISERROR(SEARCH("Pendiente",V120)))</formula>
    </cfRule>
    <cfRule type="containsText" dxfId="10165" priority="10456" operator="containsText" text="No Aplica">
      <formula>NOT(ISERROR(SEARCH("No Aplica",V120)))</formula>
    </cfRule>
    <cfRule type="containsText" dxfId="10164" priority="10457" operator="containsText" text="Fallido">
      <formula>NOT(ISERROR(SEARCH("Fallido",V120)))</formula>
    </cfRule>
    <cfRule type="containsText" dxfId="10163" priority="10458" operator="containsText" text="Éxitoso">
      <formula>NOT(ISERROR(SEARCH("Éxitoso",V120)))</formula>
    </cfRule>
  </conditionalFormatting>
  <conditionalFormatting sqref="W120">
    <cfRule type="containsText" dxfId="10162" priority="10449" operator="containsText" text="No se pudo ejecutar">
      <formula>NOT(ISERROR(SEARCH("No se pudo ejecutar",W120)))</formula>
    </cfRule>
    <cfRule type="containsText" dxfId="10161" priority="10450" operator="containsText" text="Pendiente">
      <formula>NOT(ISERROR(SEARCH("Pendiente",W120)))</formula>
    </cfRule>
    <cfRule type="containsText" dxfId="10160" priority="10451" operator="containsText" text="No Aplica">
      <formula>NOT(ISERROR(SEARCH("No Aplica",W120)))</formula>
    </cfRule>
    <cfRule type="containsText" dxfId="10159" priority="10452" operator="containsText" text="Fallido">
      <formula>NOT(ISERROR(SEARCH("Fallido",W120)))</formula>
    </cfRule>
    <cfRule type="containsText" dxfId="10158" priority="10453" operator="containsText" text="Éxitoso">
      <formula>NOT(ISERROR(SEARCH("Éxitoso",W120)))</formula>
    </cfRule>
  </conditionalFormatting>
  <conditionalFormatting sqref="M120">
    <cfRule type="containsText" dxfId="10157" priority="10444" operator="containsText" text="No se pudo ejecutar">
      <formula>NOT(ISERROR(SEARCH("No se pudo ejecutar",M120)))</formula>
    </cfRule>
    <cfRule type="containsText" dxfId="10156" priority="10445" operator="containsText" text="Pendiente">
      <formula>NOT(ISERROR(SEARCH("Pendiente",M120)))</formula>
    </cfRule>
    <cfRule type="containsText" dxfId="10155" priority="10446" operator="containsText" text="No Aplica">
      <formula>NOT(ISERROR(SEARCH("No Aplica",M120)))</formula>
    </cfRule>
    <cfRule type="containsText" dxfId="10154" priority="10447" operator="containsText" text="Fallido">
      <formula>NOT(ISERROR(SEARCH("Fallido",M120)))</formula>
    </cfRule>
    <cfRule type="containsText" dxfId="10153" priority="10448" operator="containsText" text="Éxitoso">
      <formula>NOT(ISERROR(SEARCH("Éxitoso",M120)))</formula>
    </cfRule>
  </conditionalFormatting>
  <conditionalFormatting sqref="G120">
    <cfRule type="containsText" dxfId="10152" priority="10441" operator="containsText" text="Bajo">
      <formula>NOT(ISERROR(SEARCH("Bajo",G120)))</formula>
    </cfRule>
    <cfRule type="containsText" dxfId="10151" priority="10442" operator="containsText" text="Medio">
      <formula>NOT(ISERROR(SEARCH("Medio",G120)))</formula>
    </cfRule>
    <cfRule type="containsText" dxfId="10150" priority="10443" operator="containsText" text="Alto">
      <formula>NOT(ISERROR(SEARCH("Alto",G120)))</formula>
    </cfRule>
  </conditionalFormatting>
  <conditionalFormatting sqref="N121">
    <cfRule type="containsText" dxfId="10149" priority="10436" operator="containsText" text="No se pudo ejecutar">
      <formula>NOT(ISERROR(SEARCH("No se pudo ejecutar",N121)))</formula>
    </cfRule>
    <cfRule type="containsText" dxfId="10148" priority="10437" operator="containsText" text="Pendiente">
      <formula>NOT(ISERROR(SEARCH("Pendiente",N121)))</formula>
    </cfRule>
    <cfRule type="containsText" dxfId="10147" priority="10438" operator="containsText" text="No Aplica">
      <formula>NOT(ISERROR(SEARCH("No Aplica",N121)))</formula>
    </cfRule>
    <cfRule type="containsText" dxfId="10146" priority="10439" operator="containsText" text="Fallido">
      <formula>NOT(ISERROR(SEARCH("Fallido",N121)))</formula>
    </cfRule>
    <cfRule type="containsText" dxfId="10145" priority="10440" operator="containsText" text="Éxitoso">
      <formula>NOT(ISERROR(SEARCH("Éxitoso",N121)))</formula>
    </cfRule>
  </conditionalFormatting>
  <conditionalFormatting sqref="O121">
    <cfRule type="containsText" dxfId="10144" priority="10431" operator="containsText" text="No se pudo ejecutar">
      <formula>NOT(ISERROR(SEARCH("No se pudo ejecutar",O121)))</formula>
    </cfRule>
    <cfRule type="containsText" dxfId="10143" priority="10432" operator="containsText" text="Pendiente">
      <formula>NOT(ISERROR(SEARCH("Pendiente",O121)))</formula>
    </cfRule>
    <cfRule type="containsText" dxfId="10142" priority="10433" operator="containsText" text="No Aplica">
      <formula>NOT(ISERROR(SEARCH("No Aplica",O121)))</formula>
    </cfRule>
    <cfRule type="containsText" dxfId="10141" priority="10434" operator="containsText" text="Fallido">
      <formula>NOT(ISERROR(SEARCH("Fallido",O121)))</formula>
    </cfRule>
    <cfRule type="containsText" dxfId="10140" priority="10435" operator="containsText" text="Éxitoso">
      <formula>NOT(ISERROR(SEARCH("Éxitoso",O121)))</formula>
    </cfRule>
  </conditionalFormatting>
  <conditionalFormatting sqref="P121">
    <cfRule type="containsText" dxfId="10139" priority="10426" operator="containsText" text="No se pudo ejecutar">
      <formula>NOT(ISERROR(SEARCH("No se pudo ejecutar",P121)))</formula>
    </cfRule>
    <cfRule type="containsText" dxfId="10138" priority="10427" operator="containsText" text="Pendiente">
      <formula>NOT(ISERROR(SEARCH("Pendiente",P121)))</formula>
    </cfRule>
    <cfRule type="containsText" dxfId="10137" priority="10428" operator="containsText" text="No Aplica">
      <formula>NOT(ISERROR(SEARCH("No Aplica",P121)))</formula>
    </cfRule>
    <cfRule type="containsText" dxfId="10136" priority="10429" operator="containsText" text="Fallido">
      <formula>NOT(ISERROR(SEARCH("Fallido",P121)))</formula>
    </cfRule>
    <cfRule type="containsText" dxfId="10135" priority="10430" operator="containsText" text="Éxitoso">
      <formula>NOT(ISERROR(SEARCH("Éxitoso",P121)))</formula>
    </cfRule>
  </conditionalFormatting>
  <conditionalFormatting sqref="Q121">
    <cfRule type="containsText" dxfId="10134" priority="10421" operator="containsText" text="No se pudo ejecutar">
      <formula>NOT(ISERROR(SEARCH("No se pudo ejecutar",Q121)))</formula>
    </cfRule>
    <cfRule type="containsText" dxfId="10133" priority="10422" operator="containsText" text="Pendiente">
      <formula>NOT(ISERROR(SEARCH("Pendiente",Q121)))</formula>
    </cfRule>
    <cfRule type="containsText" dxfId="10132" priority="10423" operator="containsText" text="No Aplica">
      <formula>NOT(ISERROR(SEARCH("No Aplica",Q121)))</formula>
    </cfRule>
    <cfRule type="containsText" dxfId="10131" priority="10424" operator="containsText" text="Fallido">
      <formula>NOT(ISERROR(SEARCH("Fallido",Q121)))</formula>
    </cfRule>
    <cfRule type="containsText" dxfId="10130" priority="10425" operator="containsText" text="Éxitoso">
      <formula>NOT(ISERROR(SEARCH("Éxitoso",Q121)))</formula>
    </cfRule>
  </conditionalFormatting>
  <conditionalFormatting sqref="R121">
    <cfRule type="containsText" dxfId="10129" priority="10416" operator="containsText" text="No se pudo ejecutar">
      <formula>NOT(ISERROR(SEARCH("No se pudo ejecutar",R121)))</formula>
    </cfRule>
    <cfRule type="containsText" dxfId="10128" priority="10417" operator="containsText" text="Pendiente">
      <formula>NOT(ISERROR(SEARCH("Pendiente",R121)))</formula>
    </cfRule>
    <cfRule type="containsText" dxfId="10127" priority="10418" operator="containsText" text="No Aplica">
      <formula>NOT(ISERROR(SEARCH("No Aplica",R121)))</formula>
    </cfRule>
    <cfRule type="containsText" dxfId="10126" priority="10419" operator="containsText" text="Fallido">
      <formula>NOT(ISERROR(SEARCH("Fallido",R121)))</formula>
    </cfRule>
    <cfRule type="containsText" dxfId="10125" priority="10420" operator="containsText" text="Éxitoso">
      <formula>NOT(ISERROR(SEARCH("Éxitoso",R121)))</formula>
    </cfRule>
  </conditionalFormatting>
  <conditionalFormatting sqref="S121">
    <cfRule type="containsText" dxfId="10124" priority="10411" operator="containsText" text="No se pudo ejecutar">
      <formula>NOT(ISERROR(SEARCH("No se pudo ejecutar",S121)))</formula>
    </cfRule>
    <cfRule type="containsText" dxfId="10123" priority="10412" operator="containsText" text="Pendiente">
      <formula>NOT(ISERROR(SEARCH("Pendiente",S121)))</formula>
    </cfRule>
    <cfRule type="containsText" dxfId="10122" priority="10413" operator="containsText" text="No Aplica">
      <formula>NOT(ISERROR(SEARCH("No Aplica",S121)))</formula>
    </cfRule>
    <cfRule type="containsText" dxfId="10121" priority="10414" operator="containsText" text="Fallido">
      <formula>NOT(ISERROR(SEARCH("Fallido",S121)))</formula>
    </cfRule>
    <cfRule type="containsText" dxfId="10120" priority="10415" operator="containsText" text="Éxitoso">
      <formula>NOT(ISERROR(SEARCH("Éxitoso",S121)))</formula>
    </cfRule>
  </conditionalFormatting>
  <conditionalFormatting sqref="T121">
    <cfRule type="containsText" dxfId="10119" priority="10406" operator="containsText" text="No se pudo ejecutar">
      <formula>NOT(ISERROR(SEARCH("No se pudo ejecutar",T121)))</formula>
    </cfRule>
    <cfRule type="containsText" dxfId="10118" priority="10407" operator="containsText" text="Pendiente">
      <formula>NOT(ISERROR(SEARCH("Pendiente",T121)))</formula>
    </cfRule>
    <cfRule type="containsText" dxfId="10117" priority="10408" operator="containsText" text="No Aplica">
      <formula>NOT(ISERROR(SEARCH("No Aplica",T121)))</formula>
    </cfRule>
    <cfRule type="containsText" dxfId="10116" priority="10409" operator="containsText" text="Fallido">
      <formula>NOT(ISERROR(SEARCH("Fallido",T121)))</formula>
    </cfRule>
    <cfRule type="containsText" dxfId="10115" priority="10410" operator="containsText" text="Éxitoso">
      <formula>NOT(ISERROR(SEARCH("Éxitoso",T121)))</formula>
    </cfRule>
  </conditionalFormatting>
  <conditionalFormatting sqref="U121">
    <cfRule type="containsText" dxfId="10114" priority="10401" operator="containsText" text="No se pudo ejecutar">
      <formula>NOT(ISERROR(SEARCH("No se pudo ejecutar",U121)))</formula>
    </cfRule>
    <cfRule type="containsText" dxfId="10113" priority="10402" operator="containsText" text="Pendiente">
      <formula>NOT(ISERROR(SEARCH("Pendiente",U121)))</formula>
    </cfRule>
    <cfRule type="containsText" dxfId="10112" priority="10403" operator="containsText" text="No Aplica">
      <formula>NOT(ISERROR(SEARCH("No Aplica",U121)))</formula>
    </cfRule>
    <cfRule type="containsText" dxfId="10111" priority="10404" operator="containsText" text="Fallido">
      <formula>NOT(ISERROR(SEARCH("Fallido",U121)))</formula>
    </cfRule>
    <cfRule type="containsText" dxfId="10110" priority="10405" operator="containsText" text="Éxitoso">
      <formula>NOT(ISERROR(SEARCH("Éxitoso",U121)))</formula>
    </cfRule>
  </conditionalFormatting>
  <conditionalFormatting sqref="V121">
    <cfRule type="containsText" dxfId="10109" priority="10396" operator="containsText" text="No se pudo ejecutar">
      <formula>NOT(ISERROR(SEARCH("No se pudo ejecutar",V121)))</formula>
    </cfRule>
    <cfRule type="containsText" dxfId="10108" priority="10397" operator="containsText" text="Pendiente">
      <formula>NOT(ISERROR(SEARCH("Pendiente",V121)))</formula>
    </cfRule>
    <cfRule type="containsText" dxfId="10107" priority="10398" operator="containsText" text="No Aplica">
      <formula>NOT(ISERROR(SEARCH("No Aplica",V121)))</formula>
    </cfRule>
    <cfRule type="containsText" dxfId="10106" priority="10399" operator="containsText" text="Fallido">
      <formula>NOT(ISERROR(SEARCH("Fallido",V121)))</formula>
    </cfRule>
    <cfRule type="containsText" dxfId="10105" priority="10400" operator="containsText" text="Éxitoso">
      <formula>NOT(ISERROR(SEARCH("Éxitoso",V121)))</formula>
    </cfRule>
  </conditionalFormatting>
  <conditionalFormatting sqref="W121">
    <cfRule type="containsText" dxfId="10104" priority="10391" operator="containsText" text="No se pudo ejecutar">
      <formula>NOT(ISERROR(SEARCH("No se pudo ejecutar",W121)))</formula>
    </cfRule>
    <cfRule type="containsText" dxfId="10103" priority="10392" operator="containsText" text="Pendiente">
      <formula>NOT(ISERROR(SEARCH("Pendiente",W121)))</formula>
    </cfRule>
    <cfRule type="containsText" dxfId="10102" priority="10393" operator="containsText" text="No Aplica">
      <formula>NOT(ISERROR(SEARCH("No Aplica",W121)))</formula>
    </cfRule>
    <cfRule type="containsText" dxfId="10101" priority="10394" operator="containsText" text="Fallido">
      <formula>NOT(ISERROR(SEARCH("Fallido",W121)))</formula>
    </cfRule>
    <cfRule type="containsText" dxfId="10100" priority="10395" operator="containsText" text="Éxitoso">
      <formula>NOT(ISERROR(SEARCH("Éxitoso",W121)))</formula>
    </cfRule>
  </conditionalFormatting>
  <conditionalFormatting sqref="M121">
    <cfRule type="containsText" dxfId="10099" priority="10386" operator="containsText" text="No se pudo ejecutar">
      <formula>NOT(ISERROR(SEARCH("No se pudo ejecutar",M121)))</formula>
    </cfRule>
    <cfRule type="containsText" dxfId="10098" priority="10387" operator="containsText" text="Pendiente">
      <formula>NOT(ISERROR(SEARCH("Pendiente",M121)))</formula>
    </cfRule>
    <cfRule type="containsText" dxfId="10097" priority="10388" operator="containsText" text="No Aplica">
      <formula>NOT(ISERROR(SEARCH("No Aplica",M121)))</formula>
    </cfRule>
    <cfRule type="containsText" dxfId="10096" priority="10389" operator="containsText" text="Fallido">
      <formula>NOT(ISERROR(SEARCH("Fallido",M121)))</formula>
    </cfRule>
    <cfRule type="containsText" dxfId="10095" priority="10390" operator="containsText" text="Éxitoso">
      <formula>NOT(ISERROR(SEARCH("Éxitoso",M121)))</formula>
    </cfRule>
  </conditionalFormatting>
  <conditionalFormatting sqref="G121">
    <cfRule type="containsText" dxfId="10094" priority="10383" operator="containsText" text="Bajo">
      <formula>NOT(ISERROR(SEARCH("Bajo",G121)))</formula>
    </cfRule>
    <cfRule type="containsText" dxfId="10093" priority="10384" operator="containsText" text="Medio">
      <formula>NOT(ISERROR(SEARCH("Medio",G121)))</formula>
    </cfRule>
    <cfRule type="containsText" dxfId="10092" priority="10385" operator="containsText" text="Alto">
      <formula>NOT(ISERROR(SEARCH("Alto",G121)))</formula>
    </cfRule>
  </conditionalFormatting>
  <conditionalFormatting sqref="N122">
    <cfRule type="containsText" dxfId="10091" priority="10378" operator="containsText" text="No se pudo ejecutar">
      <formula>NOT(ISERROR(SEARCH("No se pudo ejecutar",N122)))</formula>
    </cfRule>
    <cfRule type="containsText" dxfId="10090" priority="10379" operator="containsText" text="Pendiente">
      <formula>NOT(ISERROR(SEARCH("Pendiente",N122)))</formula>
    </cfRule>
    <cfRule type="containsText" dxfId="10089" priority="10380" operator="containsText" text="No Aplica">
      <formula>NOT(ISERROR(SEARCH("No Aplica",N122)))</formula>
    </cfRule>
    <cfRule type="containsText" dxfId="10088" priority="10381" operator="containsText" text="Fallido">
      <formula>NOT(ISERROR(SEARCH("Fallido",N122)))</formula>
    </cfRule>
    <cfRule type="containsText" dxfId="10087" priority="10382" operator="containsText" text="Éxitoso">
      <formula>NOT(ISERROR(SEARCH("Éxitoso",N122)))</formula>
    </cfRule>
  </conditionalFormatting>
  <conditionalFormatting sqref="O122">
    <cfRule type="containsText" dxfId="10086" priority="10373" operator="containsText" text="No se pudo ejecutar">
      <formula>NOT(ISERROR(SEARCH("No se pudo ejecutar",O122)))</formula>
    </cfRule>
    <cfRule type="containsText" dxfId="10085" priority="10374" operator="containsText" text="Pendiente">
      <formula>NOT(ISERROR(SEARCH("Pendiente",O122)))</formula>
    </cfRule>
    <cfRule type="containsText" dxfId="10084" priority="10375" operator="containsText" text="No Aplica">
      <formula>NOT(ISERROR(SEARCH("No Aplica",O122)))</formula>
    </cfRule>
    <cfRule type="containsText" dxfId="10083" priority="10376" operator="containsText" text="Fallido">
      <formula>NOT(ISERROR(SEARCH("Fallido",O122)))</formula>
    </cfRule>
    <cfRule type="containsText" dxfId="10082" priority="10377" operator="containsText" text="Éxitoso">
      <formula>NOT(ISERROR(SEARCH("Éxitoso",O122)))</formula>
    </cfRule>
  </conditionalFormatting>
  <conditionalFormatting sqref="P122">
    <cfRule type="containsText" dxfId="10081" priority="10368" operator="containsText" text="No se pudo ejecutar">
      <formula>NOT(ISERROR(SEARCH("No se pudo ejecutar",P122)))</formula>
    </cfRule>
    <cfRule type="containsText" dxfId="10080" priority="10369" operator="containsText" text="Pendiente">
      <formula>NOT(ISERROR(SEARCH("Pendiente",P122)))</formula>
    </cfRule>
    <cfRule type="containsText" dxfId="10079" priority="10370" operator="containsText" text="No Aplica">
      <formula>NOT(ISERROR(SEARCH("No Aplica",P122)))</formula>
    </cfRule>
    <cfRule type="containsText" dxfId="10078" priority="10371" operator="containsText" text="Fallido">
      <formula>NOT(ISERROR(SEARCH("Fallido",P122)))</formula>
    </cfRule>
    <cfRule type="containsText" dxfId="10077" priority="10372" operator="containsText" text="Éxitoso">
      <formula>NOT(ISERROR(SEARCH("Éxitoso",P122)))</formula>
    </cfRule>
  </conditionalFormatting>
  <conditionalFormatting sqref="Q122">
    <cfRule type="containsText" dxfId="10076" priority="10363" operator="containsText" text="No se pudo ejecutar">
      <formula>NOT(ISERROR(SEARCH("No se pudo ejecutar",Q122)))</formula>
    </cfRule>
    <cfRule type="containsText" dxfId="10075" priority="10364" operator="containsText" text="Pendiente">
      <formula>NOT(ISERROR(SEARCH("Pendiente",Q122)))</formula>
    </cfRule>
    <cfRule type="containsText" dxfId="10074" priority="10365" operator="containsText" text="No Aplica">
      <formula>NOT(ISERROR(SEARCH("No Aplica",Q122)))</formula>
    </cfRule>
    <cfRule type="containsText" dxfId="10073" priority="10366" operator="containsText" text="Fallido">
      <formula>NOT(ISERROR(SEARCH("Fallido",Q122)))</formula>
    </cfRule>
    <cfRule type="containsText" dxfId="10072" priority="10367" operator="containsText" text="Éxitoso">
      <formula>NOT(ISERROR(SEARCH("Éxitoso",Q122)))</formula>
    </cfRule>
  </conditionalFormatting>
  <conditionalFormatting sqref="R122">
    <cfRule type="containsText" dxfId="10071" priority="10358" operator="containsText" text="No se pudo ejecutar">
      <formula>NOT(ISERROR(SEARCH("No se pudo ejecutar",R122)))</formula>
    </cfRule>
    <cfRule type="containsText" dxfId="10070" priority="10359" operator="containsText" text="Pendiente">
      <formula>NOT(ISERROR(SEARCH("Pendiente",R122)))</formula>
    </cfRule>
    <cfRule type="containsText" dxfId="10069" priority="10360" operator="containsText" text="No Aplica">
      <formula>NOT(ISERROR(SEARCH("No Aplica",R122)))</formula>
    </cfRule>
    <cfRule type="containsText" dxfId="10068" priority="10361" operator="containsText" text="Fallido">
      <formula>NOT(ISERROR(SEARCH("Fallido",R122)))</formula>
    </cfRule>
    <cfRule type="containsText" dxfId="10067" priority="10362" operator="containsText" text="Éxitoso">
      <formula>NOT(ISERROR(SEARCH("Éxitoso",R122)))</formula>
    </cfRule>
  </conditionalFormatting>
  <conditionalFormatting sqref="S122">
    <cfRule type="containsText" dxfId="10066" priority="10353" operator="containsText" text="No se pudo ejecutar">
      <formula>NOT(ISERROR(SEARCH("No se pudo ejecutar",S122)))</formula>
    </cfRule>
    <cfRule type="containsText" dxfId="10065" priority="10354" operator="containsText" text="Pendiente">
      <formula>NOT(ISERROR(SEARCH("Pendiente",S122)))</formula>
    </cfRule>
    <cfRule type="containsText" dxfId="10064" priority="10355" operator="containsText" text="No Aplica">
      <formula>NOT(ISERROR(SEARCH("No Aplica",S122)))</formula>
    </cfRule>
    <cfRule type="containsText" dxfId="10063" priority="10356" operator="containsText" text="Fallido">
      <formula>NOT(ISERROR(SEARCH("Fallido",S122)))</formula>
    </cfRule>
    <cfRule type="containsText" dxfId="10062" priority="10357" operator="containsText" text="Éxitoso">
      <formula>NOT(ISERROR(SEARCH("Éxitoso",S122)))</formula>
    </cfRule>
  </conditionalFormatting>
  <conditionalFormatting sqref="T122">
    <cfRule type="containsText" dxfId="10061" priority="10348" operator="containsText" text="No se pudo ejecutar">
      <formula>NOT(ISERROR(SEARCH("No se pudo ejecutar",T122)))</formula>
    </cfRule>
    <cfRule type="containsText" dxfId="10060" priority="10349" operator="containsText" text="Pendiente">
      <formula>NOT(ISERROR(SEARCH("Pendiente",T122)))</formula>
    </cfRule>
    <cfRule type="containsText" dxfId="10059" priority="10350" operator="containsText" text="No Aplica">
      <formula>NOT(ISERROR(SEARCH("No Aplica",T122)))</formula>
    </cfRule>
    <cfRule type="containsText" dxfId="10058" priority="10351" operator="containsText" text="Fallido">
      <formula>NOT(ISERROR(SEARCH("Fallido",T122)))</formula>
    </cfRule>
    <cfRule type="containsText" dxfId="10057" priority="10352" operator="containsText" text="Éxitoso">
      <formula>NOT(ISERROR(SEARCH("Éxitoso",T122)))</formula>
    </cfRule>
  </conditionalFormatting>
  <conditionalFormatting sqref="U122">
    <cfRule type="containsText" dxfId="10056" priority="10343" operator="containsText" text="No se pudo ejecutar">
      <formula>NOT(ISERROR(SEARCH("No se pudo ejecutar",U122)))</formula>
    </cfRule>
    <cfRule type="containsText" dxfId="10055" priority="10344" operator="containsText" text="Pendiente">
      <formula>NOT(ISERROR(SEARCH("Pendiente",U122)))</formula>
    </cfRule>
    <cfRule type="containsText" dxfId="10054" priority="10345" operator="containsText" text="No Aplica">
      <formula>NOT(ISERROR(SEARCH("No Aplica",U122)))</formula>
    </cfRule>
    <cfRule type="containsText" dxfId="10053" priority="10346" operator="containsText" text="Fallido">
      <formula>NOT(ISERROR(SEARCH("Fallido",U122)))</formula>
    </cfRule>
    <cfRule type="containsText" dxfId="10052" priority="10347" operator="containsText" text="Éxitoso">
      <formula>NOT(ISERROR(SEARCH("Éxitoso",U122)))</formula>
    </cfRule>
  </conditionalFormatting>
  <conditionalFormatting sqref="V122">
    <cfRule type="containsText" dxfId="10051" priority="10338" operator="containsText" text="No se pudo ejecutar">
      <formula>NOT(ISERROR(SEARCH("No se pudo ejecutar",V122)))</formula>
    </cfRule>
    <cfRule type="containsText" dxfId="10050" priority="10339" operator="containsText" text="Pendiente">
      <formula>NOT(ISERROR(SEARCH("Pendiente",V122)))</formula>
    </cfRule>
    <cfRule type="containsText" dxfId="10049" priority="10340" operator="containsText" text="No Aplica">
      <formula>NOT(ISERROR(SEARCH("No Aplica",V122)))</formula>
    </cfRule>
    <cfRule type="containsText" dxfId="10048" priority="10341" operator="containsText" text="Fallido">
      <formula>NOT(ISERROR(SEARCH("Fallido",V122)))</formula>
    </cfRule>
    <cfRule type="containsText" dxfId="10047" priority="10342" operator="containsText" text="Éxitoso">
      <formula>NOT(ISERROR(SEARCH("Éxitoso",V122)))</formula>
    </cfRule>
  </conditionalFormatting>
  <conditionalFormatting sqref="W122">
    <cfRule type="containsText" dxfId="10046" priority="10333" operator="containsText" text="No se pudo ejecutar">
      <formula>NOT(ISERROR(SEARCH("No se pudo ejecutar",W122)))</formula>
    </cfRule>
    <cfRule type="containsText" dxfId="10045" priority="10334" operator="containsText" text="Pendiente">
      <formula>NOT(ISERROR(SEARCH("Pendiente",W122)))</formula>
    </cfRule>
    <cfRule type="containsText" dxfId="10044" priority="10335" operator="containsText" text="No Aplica">
      <formula>NOT(ISERROR(SEARCH("No Aplica",W122)))</formula>
    </cfRule>
    <cfRule type="containsText" dxfId="10043" priority="10336" operator="containsText" text="Fallido">
      <formula>NOT(ISERROR(SEARCH("Fallido",W122)))</formula>
    </cfRule>
    <cfRule type="containsText" dxfId="10042" priority="10337" operator="containsText" text="Éxitoso">
      <formula>NOT(ISERROR(SEARCH("Éxitoso",W122)))</formula>
    </cfRule>
  </conditionalFormatting>
  <conditionalFormatting sqref="M122">
    <cfRule type="containsText" dxfId="10041" priority="10328" operator="containsText" text="No se pudo ejecutar">
      <formula>NOT(ISERROR(SEARCH("No se pudo ejecutar",M122)))</formula>
    </cfRule>
    <cfRule type="containsText" dxfId="10040" priority="10329" operator="containsText" text="Pendiente">
      <formula>NOT(ISERROR(SEARCH("Pendiente",M122)))</formula>
    </cfRule>
    <cfRule type="containsText" dxfId="10039" priority="10330" operator="containsText" text="No Aplica">
      <formula>NOT(ISERROR(SEARCH("No Aplica",M122)))</formula>
    </cfRule>
    <cfRule type="containsText" dxfId="10038" priority="10331" operator="containsText" text="Fallido">
      <formula>NOT(ISERROR(SEARCH("Fallido",M122)))</formula>
    </cfRule>
    <cfRule type="containsText" dxfId="10037" priority="10332" operator="containsText" text="Éxitoso">
      <formula>NOT(ISERROR(SEARCH("Éxitoso",M122)))</formula>
    </cfRule>
  </conditionalFormatting>
  <conditionalFormatting sqref="G122">
    <cfRule type="containsText" dxfId="10036" priority="10325" operator="containsText" text="Bajo">
      <formula>NOT(ISERROR(SEARCH("Bajo",G122)))</formula>
    </cfRule>
    <cfRule type="containsText" dxfId="10035" priority="10326" operator="containsText" text="Medio">
      <formula>NOT(ISERROR(SEARCH("Medio",G122)))</formula>
    </cfRule>
    <cfRule type="containsText" dxfId="10034" priority="10327" operator="containsText" text="Alto">
      <formula>NOT(ISERROR(SEARCH("Alto",G122)))</formula>
    </cfRule>
  </conditionalFormatting>
  <conditionalFormatting sqref="N123">
    <cfRule type="containsText" dxfId="10033" priority="10320" operator="containsText" text="No se pudo ejecutar">
      <formula>NOT(ISERROR(SEARCH("No se pudo ejecutar",N123)))</formula>
    </cfRule>
    <cfRule type="containsText" dxfId="10032" priority="10321" operator="containsText" text="Pendiente">
      <formula>NOT(ISERROR(SEARCH("Pendiente",N123)))</formula>
    </cfRule>
    <cfRule type="containsText" dxfId="10031" priority="10322" operator="containsText" text="No Aplica">
      <formula>NOT(ISERROR(SEARCH("No Aplica",N123)))</formula>
    </cfRule>
    <cfRule type="containsText" dxfId="10030" priority="10323" operator="containsText" text="Fallido">
      <formula>NOT(ISERROR(SEARCH("Fallido",N123)))</formula>
    </cfRule>
    <cfRule type="containsText" dxfId="10029" priority="10324" operator="containsText" text="Éxitoso">
      <formula>NOT(ISERROR(SEARCH("Éxitoso",N123)))</formula>
    </cfRule>
  </conditionalFormatting>
  <conditionalFormatting sqref="O123">
    <cfRule type="containsText" dxfId="10028" priority="10315" operator="containsText" text="No se pudo ejecutar">
      <formula>NOT(ISERROR(SEARCH("No se pudo ejecutar",O123)))</formula>
    </cfRule>
    <cfRule type="containsText" dxfId="10027" priority="10316" operator="containsText" text="Pendiente">
      <formula>NOT(ISERROR(SEARCH("Pendiente",O123)))</formula>
    </cfRule>
    <cfRule type="containsText" dxfId="10026" priority="10317" operator="containsText" text="No Aplica">
      <formula>NOT(ISERROR(SEARCH("No Aplica",O123)))</formula>
    </cfRule>
    <cfRule type="containsText" dxfId="10025" priority="10318" operator="containsText" text="Fallido">
      <formula>NOT(ISERROR(SEARCH("Fallido",O123)))</formula>
    </cfRule>
    <cfRule type="containsText" dxfId="10024" priority="10319" operator="containsText" text="Éxitoso">
      <formula>NOT(ISERROR(SEARCH("Éxitoso",O123)))</formula>
    </cfRule>
  </conditionalFormatting>
  <conditionalFormatting sqref="P123">
    <cfRule type="containsText" dxfId="10023" priority="10310" operator="containsText" text="No se pudo ejecutar">
      <formula>NOT(ISERROR(SEARCH("No se pudo ejecutar",P123)))</formula>
    </cfRule>
    <cfRule type="containsText" dxfId="10022" priority="10311" operator="containsText" text="Pendiente">
      <formula>NOT(ISERROR(SEARCH("Pendiente",P123)))</formula>
    </cfRule>
    <cfRule type="containsText" dxfId="10021" priority="10312" operator="containsText" text="No Aplica">
      <formula>NOT(ISERROR(SEARCH("No Aplica",P123)))</formula>
    </cfRule>
    <cfRule type="containsText" dxfId="10020" priority="10313" operator="containsText" text="Fallido">
      <formula>NOT(ISERROR(SEARCH("Fallido",P123)))</formula>
    </cfRule>
    <cfRule type="containsText" dxfId="10019" priority="10314" operator="containsText" text="Éxitoso">
      <formula>NOT(ISERROR(SEARCH("Éxitoso",P123)))</formula>
    </cfRule>
  </conditionalFormatting>
  <conditionalFormatting sqref="Q123">
    <cfRule type="containsText" dxfId="10018" priority="10305" operator="containsText" text="No se pudo ejecutar">
      <formula>NOT(ISERROR(SEARCH("No se pudo ejecutar",Q123)))</formula>
    </cfRule>
    <cfRule type="containsText" dxfId="10017" priority="10306" operator="containsText" text="Pendiente">
      <formula>NOT(ISERROR(SEARCH("Pendiente",Q123)))</formula>
    </cfRule>
    <cfRule type="containsText" dxfId="10016" priority="10307" operator="containsText" text="No Aplica">
      <formula>NOT(ISERROR(SEARCH("No Aplica",Q123)))</formula>
    </cfRule>
    <cfRule type="containsText" dxfId="10015" priority="10308" operator="containsText" text="Fallido">
      <formula>NOT(ISERROR(SEARCH("Fallido",Q123)))</formula>
    </cfRule>
    <cfRule type="containsText" dxfId="10014" priority="10309" operator="containsText" text="Éxitoso">
      <formula>NOT(ISERROR(SEARCH("Éxitoso",Q123)))</formula>
    </cfRule>
  </conditionalFormatting>
  <conditionalFormatting sqref="R123">
    <cfRule type="containsText" dxfId="10013" priority="10300" operator="containsText" text="No se pudo ejecutar">
      <formula>NOT(ISERROR(SEARCH("No se pudo ejecutar",R123)))</formula>
    </cfRule>
    <cfRule type="containsText" dxfId="10012" priority="10301" operator="containsText" text="Pendiente">
      <formula>NOT(ISERROR(SEARCH("Pendiente",R123)))</formula>
    </cfRule>
    <cfRule type="containsText" dxfId="10011" priority="10302" operator="containsText" text="No Aplica">
      <formula>NOT(ISERROR(SEARCH("No Aplica",R123)))</formula>
    </cfRule>
    <cfRule type="containsText" dxfId="10010" priority="10303" operator="containsText" text="Fallido">
      <formula>NOT(ISERROR(SEARCH("Fallido",R123)))</formula>
    </cfRule>
    <cfRule type="containsText" dxfId="10009" priority="10304" operator="containsText" text="Éxitoso">
      <formula>NOT(ISERROR(SEARCH("Éxitoso",R123)))</formula>
    </cfRule>
  </conditionalFormatting>
  <conditionalFormatting sqref="S123">
    <cfRule type="containsText" dxfId="10008" priority="10295" operator="containsText" text="No se pudo ejecutar">
      <formula>NOT(ISERROR(SEARCH("No se pudo ejecutar",S123)))</formula>
    </cfRule>
    <cfRule type="containsText" dxfId="10007" priority="10296" operator="containsText" text="Pendiente">
      <formula>NOT(ISERROR(SEARCH("Pendiente",S123)))</formula>
    </cfRule>
    <cfRule type="containsText" dxfId="10006" priority="10297" operator="containsText" text="No Aplica">
      <formula>NOT(ISERROR(SEARCH("No Aplica",S123)))</formula>
    </cfRule>
    <cfRule type="containsText" dxfId="10005" priority="10298" operator="containsText" text="Fallido">
      <formula>NOT(ISERROR(SEARCH("Fallido",S123)))</formula>
    </cfRule>
    <cfRule type="containsText" dxfId="10004" priority="10299" operator="containsText" text="Éxitoso">
      <formula>NOT(ISERROR(SEARCH("Éxitoso",S123)))</formula>
    </cfRule>
  </conditionalFormatting>
  <conditionalFormatting sqref="T123">
    <cfRule type="containsText" dxfId="10003" priority="10290" operator="containsText" text="No se pudo ejecutar">
      <formula>NOT(ISERROR(SEARCH("No se pudo ejecutar",T123)))</formula>
    </cfRule>
    <cfRule type="containsText" dxfId="10002" priority="10291" operator="containsText" text="Pendiente">
      <formula>NOT(ISERROR(SEARCH("Pendiente",T123)))</formula>
    </cfRule>
    <cfRule type="containsText" dxfId="10001" priority="10292" operator="containsText" text="No Aplica">
      <formula>NOT(ISERROR(SEARCH("No Aplica",T123)))</formula>
    </cfRule>
    <cfRule type="containsText" dxfId="10000" priority="10293" operator="containsText" text="Fallido">
      <formula>NOT(ISERROR(SEARCH("Fallido",T123)))</formula>
    </cfRule>
    <cfRule type="containsText" dxfId="9999" priority="10294" operator="containsText" text="Éxitoso">
      <formula>NOT(ISERROR(SEARCH("Éxitoso",T123)))</formula>
    </cfRule>
  </conditionalFormatting>
  <conditionalFormatting sqref="U123">
    <cfRule type="containsText" dxfId="9998" priority="10285" operator="containsText" text="No se pudo ejecutar">
      <formula>NOT(ISERROR(SEARCH("No se pudo ejecutar",U123)))</formula>
    </cfRule>
    <cfRule type="containsText" dxfId="9997" priority="10286" operator="containsText" text="Pendiente">
      <formula>NOT(ISERROR(SEARCH("Pendiente",U123)))</formula>
    </cfRule>
    <cfRule type="containsText" dxfId="9996" priority="10287" operator="containsText" text="No Aplica">
      <formula>NOT(ISERROR(SEARCH("No Aplica",U123)))</formula>
    </cfRule>
    <cfRule type="containsText" dxfId="9995" priority="10288" operator="containsText" text="Fallido">
      <formula>NOT(ISERROR(SEARCH("Fallido",U123)))</formula>
    </cfRule>
    <cfRule type="containsText" dxfId="9994" priority="10289" operator="containsText" text="Éxitoso">
      <formula>NOT(ISERROR(SEARCH("Éxitoso",U123)))</formula>
    </cfRule>
  </conditionalFormatting>
  <conditionalFormatting sqref="V123">
    <cfRule type="containsText" dxfId="9993" priority="10280" operator="containsText" text="No se pudo ejecutar">
      <formula>NOT(ISERROR(SEARCH("No se pudo ejecutar",V123)))</formula>
    </cfRule>
    <cfRule type="containsText" dxfId="9992" priority="10281" operator="containsText" text="Pendiente">
      <formula>NOT(ISERROR(SEARCH("Pendiente",V123)))</formula>
    </cfRule>
    <cfRule type="containsText" dxfId="9991" priority="10282" operator="containsText" text="No Aplica">
      <formula>NOT(ISERROR(SEARCH("No Aplica",V123)))</formula>
    </cfRule>
    <cfRule type="containsText" dxfId="9990" priority="10283" operator="containsText" text="Fallido">
      <formula>NOT(ISERROR(SEARCH("Fallido",V123)))</formula>
    </cfRule>
    <cfRule type="containsText" dxfId="9989" priority="10284" operator="containsText" text="Éxitoso">
      <formula>NOT(ISERROR(SEARCH("Éxitoso",V123)))</formula>
    </cfRule>
  </conditionalFormatting>
  <conditionalFormatting sqref="W123">
    <cfRule type="containsText" dxfId="9988" priority="10275" operator="containsText" text="No se pudo ejecutar">
      <formula>NOT(ISERROR(SEARCH("No se pudo ejecutar",W123)))</formula>
    </cfRule>
    <cfRule type="containsText" dxfId="9987" priority="10276" operator="containsText" text="Pendiente">
      <formula>NOT(ISERROR(SEARCH("Pendiente",W123)))</formula>
    </cfRule>
    <cfRule type="containsText" dxfId="9986" priority="10277" operator="containsText" text="No Aplica">
      <formula>NOT(ISERROR(SEARCH("No Aplica",W123)))</formula>
    </cfRule>
    <cfRule type="containsText" dxfId="9985" priority="10278" operator="containsText" text="Fallido">
      <formula>NOT(ISERROR(SEARCH("Fallido",W123)))</formula>
    </cfRule>
    <cfRule type="containsText" dxfId="9984" priority="10279" operator="containsText" text="Éxitoso">
      <formula>NOT(ISERROR(SEARCH("Éxitoso",W123)))</formula>
    </cfRule>
  </conditionalFormatting>
  <conditionalFormatting sqref="M123">
    <cfRule type="containsText" dxfId="9983" priority="10270" operator="containsText" text="No se pudo ejecutar">
      <formula>NOT(ISERROR(SEARCH("No se pudo ejecutar",M123)))</formula>
    </cfRule>
    <cfRule type="containsText" dxfId="9982" priority="10271" operator="containsText" text="Pendiente">
      <formula>NOT(ISERROR(SEARCH("Pendiente",M123)))</formula>
    </cfRule>
    <cfRule type="containsText" dxfId="9981" priority="10272" operator="containsText" text="No Aplica">
      <formula>NOT(ISERROR(SEARCH("No Aplica",M123)))</formula>
    </cfRule>
    <cfRule type="containsText" dxfId="9980" priority="10273" operator="containsText" text="Fallido">
      <formula>NOT(ISERROR(SEARCH("Fallido",M123)))</formula>
    </cfRule>
    <cfRule type="containsText" dxfId="9979" priority="10274" operator="containsText" text="Éxitoso">
      <formula>NOT(ISERROR(SEARCH("Éxitoso",M123)))</formula>
    </cfRule>
  </conditionalFormatting>
  <conditionalFormatting sqref="G123">
    <cfRule type="containsText" dxfId="9978" priority="10267" operator="containsText" text="Bajo">
      <formula>NOT(ISERROR(SEARCH("Bajo",G123)))</formula>
    </cfRule>
    <cfRule type="containsText" dxfId="9977" priority="10268" operator="containsText" text="Medio">
      <formula>NOT(ISERROR(SEARCH("Medio",G123)))</formula>
    </cfRule>
    <cfRule type="containsText" dxfId="9976" priority="10269" operator="containsText" text="Alto">
      <formula>NOT(ISERROR(SEARCH("Alto",G123)))</formula>
    </cfRule>
  </conditionalFormatting>
  <conditionalFormatting sqref="N124">
    <cfRule type="containsText" dxfId="9975" priority="10262" operator="containsText" text="No se pudo ejecutar">
      <formula>NOT(ISERROR(SEARCH("No se pudo ejecutar",N124)))</formula>
    </cfRule>
    <cfRule type="containsText" dxfId="9974" priority="10263" operator="containsText" text="Pendiente">
      <formula>NOT(ISERROR(SEARCH("Pendiente",N124)))</formula>
    </cfRule>
    <cfRule type="containsText" dxfId="9973" priority="10264" operator="containsText" text="No Aplica">
      <formula>NOT(ISERROR(SEARCH("No Aplica",N124)))</formula>
    </cfRule>
    <cfRule type="containsText" dxfId="9972" priority="10265" operator="containsText" text="Fallido">
      <formula>NOT(ISERROR(SEARCH("Fallido",N124)))</formula>
    </cfRule>
    <cfRule type="containsText" dxfId="9971" priority="10266" operator="containsText" text="Éxitoso">
      <formula>NOT(ISERROR(SEARCH("Éxitoso",N124)))</formula>
    </cfRule>
  </conditionalFormatting>
  <conditionalFormatting sqref="O124">
    <cfRule type="containsText" dxfId="9970" priority="10257" operator="containsText" text="No se pudo ejecutar">
      <formula>NOT(ISERROR(SEARCH("No se pudo ejecutar",O124)))</formula>
    </cfRule>
    <cfRule type="containsText" dxfId="9969" priority="10258" operator="containsText" text="Pendiente">
      <formula>NOT(ISERROR(SEARCH("Pendiente",O124)))</formula>
    </cfRule>
    <cfRule type="containsText" dxfId="9968" priority="10259" operator="containsText" text="No Aplica">
      <formula>NOT(ISERROR(SEARCH("No Aplica",O124)))</formula>
    </cfRule>
    <cfRule type="containsText" dxfId="9967" priority="10260" operator="containsText" text="Fallido">
      <formula>NOT(ISERROR(SEARCH("Fallido",O124)))</formula>
    </cfRule>
    <cfRule type="containsText" dxfId="9966" priority="10261" operator="containsText" text="Éxitoso">
      <formula>NOT(ISERROR(SEARCH("Éxitoso",O124)))</formula>
    </cfRule>
  </conditionalFormatting>
  <conditionalFormatting sqref="P124">
    <cfRule type="containsText" dxfId="9965" priority="10252" operator="containsText" text="No se pudo ejecutar">
      <formula>NOT(ISERROR(SEARCH("No se pudo ejecutar",P124)))</formula>
    </cfRule>
    <cfRule type="containsText" dxfId="9964" priority="10253" operator="containsText" text="Pendiente">
      <formula>NOT(ISERROR(SEARCH("Pendiente",P124)))</formula>
    </cfRule>
    <cfRule type="containsText" dxfId="9963" priority="10254" operator="containsText" text="No Aplica">
      <formula>NOT(ISERROR(SEARCH("No Aplica",P124)))</formula>
    </cfRule>
    <cfRule type="containsText" dxfId="9962" priority="10255" operator="containsText" text="Fallido">
      <formula>NOT(ISERROR(SEARCH("Fallido",P124)))</formula>
    </cfRule>
    <cfRule type="containsText" dxfId="9961" priority="10256" operator="containsText" text="Éxitoso">
      <formula>NOT(ISERROR(SEARCH("Éxitoso",P124)))</formula>
    </cfRule>
  </conditionalFormatting>
  <conditionalFormatting sqref="Q124">
    <cfRule type="containsText" dxfId="9960" priority="10247" operator="containsText" text="No se pudo ejecutar">
      <formula>NOT(ISERROR(SEARCH("No se pudo ejecutar",Q124)))</formula>
    </cfRule>
    <cfRule type="containsText" dxfId="9959" priority="10248" operator="containsText" text="Pendiente">
      <formula>NOT(ISERROR(SEARCH("Pendiente",Q124)))</formula>
    </cfRule>
    <cfRule type="containsText" dxfId="9958" priority="10249" operator="containsText" text="No Aplica">
      <formula>NOT(ISERROR(SEARCH("No Aplica",Q124)))</formula>
    </cfRule>
    <cfRule type="containsText" dxfId="9957" priority="10250" operator="containsText" text="Fallido">
      <formula>NOT(ISERROR(SEARCH("Fallido",Q124)))</formula>
    </cfRule>
    <cfRule type="containsText" dxfId="9956" priority="10251" operator="containsText" text="Éxitoso">
      <formula>NOT(ISERROR(SEARCH("Éxitoso",Q124)))</formula>
    </cfRule>
  </conditionalFormatting>
  <conditionalFormatting sqref="R124">
    <cfRule type="containsText" dxfId="9955" priority="10242" operator="containsText" text="No se pudo ejecutar">
      <formula>NOT(ISERROR(SEARCH("No se pudo ejecutar",R124)))</formula>
    </cfRule>
    <cfRule type="containsText" dxfId="9954" priority="10243" operator="containsText" text="Pendiente">
      <formula>NOT(ISERROR(SEARCH("Pendiente",R124)))</formula>
    </cfRule>
    <cfRule type="containsText" dxfId="9953" priority="10244" operator="containsText" text="No Aplica">
      <formula>NOT(ISERROR(SEARCH("No Aplica",R124)))</formula>
    </cfRule>
    <cfRule type="containsText" dxfId="9952" priority="10245" operator="containsText" text="Fallido">
      <formula>NOT(ISERROR(SEARCH("Fallido",R124)))</formula>
    </cfRule>
    <cfRule type="containsText" dxfId="9951" priority="10246" operator="containsText" text="Éxitoso">
      <formula>NOT(ISERROR(SEARCH("Éxitoso",R124)))</formula>
    </cfRule>
  </conditionalFormatting>
  <conditionalFormatting sqref="S124">
    <cfRule type="containsText" dxfId="9950" priority="10237" operator="containsText" text="No se pudo ejecutar">
      <formula>NOT(ISERROR(SEARCH("No se pudo ejecutar",S124)))</formula>
    </cfRule>
    <cfRule type="containsText" dxfId="9949" priority="10238" operator="containsText" text="Pendiente">
      <formula>NOT(ISERROR(SEARCH("Pendiente",S124)))</formula>
    </cfRule>
    <cfRule type="containsText" dxfId="9948" priority="10239" operator="containsText" text="No Aplica">
      <formula>NOT(ISERROR(SEARCH("No Aplica",S124)))</formula>
    </cfRule>
    <cfRule type="containsText" dxfId="9947" priority="10240" operator="containsText" text="Fallido">
      <formula>NOT(ISERROR(SEARCH("Fallido",S124)))</formula>
    </cfRule>
    <cfRule type="containsText" dxfId="9946" priority="10241" operator="containsText" text="Éxitoso">
      <formula>NOT(ISERROR(SEARCH("Éxitoso",S124)))</formula>
    </cfRule>
  </conditionalFormatting>
  <conditionalFormatting sqref="T124">
    <cfRule type="containsText" dxfId="9945" priority="10232" operator="containsText" text="No se pudo ejecutar">
      <formula>NOT(ISERROR(SEARCH("No se pudo ejecutar",T124)))</formula>
    </cfRule>
    <cfRule type="containsText" dxfId="9944" priority="10233" operator="containsText" text="Pendiente">
      <formula>NOT(ISERROR(SEARCH("Pendiente",T124)))</formula>
    </cfRule>
    <cfRule type="containsText" dxfId="9943" priority="10234" operator="containsText" text="No Aplica">
      <formula>NOT(ISERROR(SEARCH("No Aplica",T124)))</formula>
    </cfRule>
    <cfRule type="containsText" dxfId="9942" priority="10235" operator="containsText" text="Fallido">
      <formula>NOT(ISERROR(SEARCH("Fallido",T124)))</formula>
    </cfRule>
    <cfRule type="containsText" dxfId="9941" priority="10236" operator="containsText" text="Éxitoso">
      <formula>NOT(ISERROR(SEARCH("Éxitoso",T124)))</formula>
    </cfRule>
  </conditionalFormatting>
  <conditionalFormatting sqref="U124">
    <cfRule type="containsText" dxfId="9940" priority="10227" operator="containsText" text="No se pudo ejecutar">
      <formula>NOT(ISERROR(SEARCH("No se pudo ejecutar",U124)))</formula>
    </cfRule>
    <cfRule type="containsText" dxfId="9939" priority="10228" operator="containsText" text="Pendiente">
      <formula>NOT(ISERROR(SEARCH("Pendiente",U124)))</formula>
    </cfRule>
    <cfRule type="containsText" dxfId="9938" priority="10229" operator="containsText" text="No Aplica">
      <formula>NOT(ISERROR(SEARCH("No Aplica",U124)))</formula>
    </cfRule>
    <cfRule type="containsText" dxfId="9937" priority="10230" operator="containsText" text="Fallido">
      <formula>NOT(ISERROR(SEARCH("Fallido",U124)))</formula>
    </cfRule>
    <cfRule type="containsText" dxfId="9936" priority="10231" operator="containsText" text="Éxitoso">
      <formula>NOT(ISERROR(SEARCH("Éxitoso",U124)))</formula>
    </cfRule>
  </conditionalFormatting>
  <conditionalFormatting sqref="V124">
    <cfRule type="containsText" dxfId="9935" priority="10222" operator="containsText" text="No se pudo ejecutar">
      <formula>NOT(ISERROR(SEARCH("No se pudo ejecutar",V124)))</formula>
    </cfRule>
    <cfRule type="containsText" dxfId="9934" priority="10223" operator="containsText" text="Pendiente">
      <formula>NOT(ISERROR(SEARCH("Pendiente",V124)))</formula>
    </cfRule>
    <cfRule type="containsText" dxfId="9933" priority="10224" operator="containsText" text="No Aplica">
      <formula>NOT(ISERROR(SEARCH("No Aplica",V124)))</formula>
    </cfRule>
    <cfRule type="containsText" dxfId="9932" priority="10225" operator="containsText" text="Fallido">
      <formula>NOT(ISERROR(SEARCH("Fallido",V124)))</formula>
    </cfRule>
    <cfRule type="containsText" dxfId="9931" priority="10226" operator="containsText" text="Éxitoso">
      <formula>NOT(ISERROR(SEARCH("Éxitoso",V124)))</formula>
    </cfRule>
  </conditionalFormatting>
  <conditionalFormatting sqref="W124">
    <cfRule type="containsText" dxfId="9930" priority="10217" operator="containsText" text="No se pudo ejecutar">
      <formula>NOT(ISERROR(SEARCH("No se pudo ejecutar",W124)))</formula>
    </cfRule>
    <cfRule type="containsText" dxfId="9929" priority="10218" operator="containsText" text="Pendiente">
      <formula>NOT(ISERROR(SEARCH("Pendiente",W124)))</formula>
    </cfRule>
    <cfRule type="containsText" dxfId="9928" priority="10219" operator="containsText" text="No Aplica">
      <formula>NOT(ISERROR(SEARCH("No Aplica",W124)))</formula>
    </cfRule>
    <cfRule type="containsText" dxfId="9927" priority="10220" operator="containsText" text="Fallido">
      <formula>NOT(ISERROR(SEARCH("Fallido",W124)))</formula>
    </cfRule>
    <cfRule type="containsText" dxfId="9926" priority="10221" operator="containsText" text="Éxitoso">
      <formula>NOT(ISERROR(SEARCH("Éxitoso",W124)))</formula>
    </cfRule>
  </conditionalFormatting>
  <conditionalFormatting sqref="M124">
    <cfRule type="containsText" dxfId="9925" priority="10212" operator="containsText" text="No se pudo ejecutar">
      <formula>NOT(ISERROR(SEARCH("No se pudo ejecutar",M124)))</formula>
    </cfRule>
    <cfRule type="containsText" dxfId="9924" priority="10213" operator="containsText" text="Pendiente">
      <formula>NOT(ISERROR(SEARCH("Pendiente",M124)))</formula>
    </cfRule>
    <cfRule type="containsText" dxfId="9923" priority="10214" operator="containsText" text="No Aplica">
      <formula>NOT(ISERROR(SEARCH("No Aplica",M124)))</formula>
    </cfRule>
    <cfRule type="containsText" dxfId="9922" priority="10215" operator="containsText" text="Fallido">
      <formula>NOT(ISERROR(SEARCH("Fallido",M124)))</formula>
    </cfRule>
    <cfRule type="containsText" dxfId="9921" priority="10216" operator="containsText" text="Éxitoso">
      <formula>NOT(ISERROR(SEARCH("Éxitoso",M124)))</formula>
    </cfRule>
  </conditionalFormatting>
  <conditionalFormatting sqref="G124">
    <cfRule type="containsText" dxfId="9920" priority="10209" operator="containsText" text="Bajo">
      <formula>NOT(ISERROR(SEARCH("Bajo",G124)))</formula>
    </cfRule>
    <cfRule type="containsText" dxfId="9919" priority="10210" operator="containsText" text="Medio">
      <formula>NOT(ISERROR(SEARCH("Medio",G124)))</formula>
    </cfRule>
    <cfRule type="containsText" dxfId="9918" priority="10211" operator="containsText" text="Alto">
      <formula>NOT(ISERROR(SEARCH("Alto",G124)))</formula>
    </cfRule>
  </conditionalFormatting>
  <conditionalFormatting sqref="N125">
    <cfRule type="containsText" dxfId="9917" priority="10204" operator="containsText" text="No se pudo ejecutar">
      <formula>NOT(ISERROR(SEARCH("No se pudo ejecutar",N125)))</formula>
    </cfRule>
    <cfRule type="containsText" dxfId="9916" priority="10205" operator="containsText" text="Pendiente">
      <formula>NOT(ISERROR(SEARCH("Pendiente",N125)))</formula>
    </cfRule>
    <cfRule type="containsText" dxfId="9915" priority="10206" operator="containsText" text="No Aplica">
      <formula>NOT(ISERROR(SEARCH("No Aplica",N125)))</formula>
    </cfRule>
    <cfRule type="containsText" dxfId="9914" priority="10207" operator="containsText" text="Fallido">
      <formula>NOT(ISERROR(SEARCH("Fallido",N125)))</formula>
    </cfRule>
    <cfRule type="containsText" dxfId="9913" priority="10208" operator="containsText" text="Éxitoso">
      <formula>NOT(ISERROR(SEARCH("Éxitoso",N125)))</formula>
    </cfRule>
  </conditionalFormatting>
  <conditionalFormatting sqref="O125">
    <cfRule type="containsText" dxfId="9912" priority="10199" operator="containsText" text="No se pudo ejecutar">
      <formula>NOT(ISERROR(SEARCH("No se pudo ejecutar",O125)))</formula>
    </cfRule>
    <cfRule type="containsText" dxfId="9911" priority="10200" operator="containsText" text="Pendiente">
      <formula>NOT(ISERROR(SEARCH("Pendiente",O125)))</formula>
    </cfRule>
    <cfRule type="containsText" dxfId="9910" priority="10201" operator="containsText" text="No Aplica">
      <formula>NOT(ISERROR(SEARCH("No Aplica",O125)))</formula>
    </cfRule>
    <cfRule type="containsText" dxfId="9909" priority="10202" operator="containsText" text="Fallido">
      <formula>NOT(ISERROR(SEARCH("Fallido",O125)))</formula>
    </cfRule>
    <cfRule type="containsText" dxfId="9908" priority="10203" operator="containsText" text="Éxitoso">
      <formula>NOT(ISERROR(SEARCH("Éxitoso",O125)))</formula>
    </cfRule>
  </conditionalFormatting>
  <conditionalFormatting sqref="P125">
    <cfRule type="containsText" dxfId="9907" priority="10194" operator="containsText" text="No se pudo ejecutar">
      <formula>NOT(ISERROR(SEARCH("No se pudo ejecutar",P125)))</formula>
    </cfRule>
    <cfRule type="containsText" dxfId="9906" priority="10195" operator="containsText" text="Pendiente">
      <formula>NOT(ISERROR(SEARCH("Pendiente",P125)))</formula>
    </cfRule>
    <cfRule type="containsText" dxfId="9905" priority="10196" operator="containsText" text="No Aplica">
      <formula>NOT(ISERROR(SEARCH("No Aplica",P125)))</formula>
    </cfRule>
    <cfRule type="containsText" dxfId="9904" priority="10197" operator="containsText" text="Fallido">
      <formula>NOT(ISERROR(SEARCH("Fallido",P125)))</formula>
    </cfRule>
    <cfRule type="containsText" dxfId="9903" priority="10198" operator="containsText" text="Éxitoso">
      <formula>NOT(ISERROR(SEARCH("Éxitoso",P125)))</formula>
    </cfRule>
  </conditionalFormatting>
  <conditionalFormatting sqref="Q125">
    <cfRule type="containsText" dxfId="9902" priority="10189" operator="containsText" text="No se pudo ejecutar">
      <formula>NOT(ISERROR(SEARCH("No se pudo ejecutar",Q125)))</formula>
    </cfRule>
    <cfRule type="containsText" dxfId="9901" priority="10190" operator="containsText" text="Pendiente">
      <formula>NOT(ISERROR(SEARCH("Pendiente",Q125)))</formula>
    </cfRule>
    <cfRule type="containsText" dxfId="9900" priority="10191" operator="containsText" text="No Aplica">
      <formula>NOT(ISERROR(SEARCH("No Aplica",Q125)))</formula>
    </cfRule>
    <cfRule type="containsText" dxfId="9899" priority="10192" operator="containsText" text="Fallido">
      <formula>NOT(ISERROR(SEARCH("Fallido",Q125)))</formula>
    </cfRule>
    <cfRule type="containsText" dxfId="9898" priority="10193" operator="containsText" text="Éxitoso">
      <formula>NOT(ISERROR(SEARCH("Éxitoso",Q125)))</formula>
    </cfRule>
  </conditionalFormatting>
  <conditionalFormatting sqref="R125">
    <cfRule type="containsText" dxfId="9897" priority="10184" operator="containsText" text="No se pudo ejecutar">
      <formula>NOT(ISERROR(SEARCH("No se pudo ejecutar",R125)))</formula>
    </cfRule>
    <cfRule type="containsText" dxfId="9896" priority="10185" operator="containsText" text="Pendiente">
      <formula>NOT(ISERROR(SEARCH("Pendiente",R125)))</formula>
    </cfRule>
    <cfRule type="containsText" dxfId="9895" priority="10186" operator="containsText" text="No Aplica">
      <formula>NOT(ISERROR(SEARCH("No Aplica",R125)))</formula>
    </cfRule>
    <cfRule type="containsText" dxfId="9894" priority="10187" operator="containsText" text="Fallido">
      <formula>NOT(ISERROR(SEARCH("Fallido",R125)))</formula>
    </cfRule>
    <cfRule type="containsText" dxfId="9893" priority="10188" operator="containsText" text="Éxitoso">
      <formula>NOT(ISERROR(SEARCH("Éxitoso",R125)))</formula>
    </cfRule>
  </conditionalFormatting>
  <conditionalFormatting sqref="S125">
    <cfRule type="containsText" dxfId="9892" priority="10179" operator="containsText" text="No se pudo ejecutar">
      <formula>NOT(ISERROR(SEARCH("No se pudo ejecutar",S125)))</formula>
    </cfRule>
    <cfRule type="containsText" dxfId="9891" priority="10180" operator="containsText" text="Pendiente">
      <formula>NOT(ISERROR(SEARCH("Pendiente",S125)))</formula>
    </cfRule>
    <cfRule type="containsText" dxfId="9890" priority="10181" operator="containsText" text="No Aplica">
      <formula>NOT(ISERROR(SEARCH("No Aplica",S125)))</formula>
    </cfRule>
    <cfRule type="containsText" dxfId="9889" priority="10182" operator="containsText" text="Fallido">
      <formula>NOT(ISERROR(SEARCH("Fallido",S125)))</formula>
    </cfRule>
    <cfRule type="containsText" dxfId="9888" priority="10183" operator="containsText" text="Éxitoso">
      <formula>NOT(ISERROR(SEARCH("Éxitoso",S125)))</formula>
    </cfRule>
  </conditionalFormatting>
  <conditionalFormatting sqref="T125">
    <cfRule type="containsText" dxfId="9887" priority="10174" operator="containsText" text="No se pudo ejecutar">
      <formula>NOT(ISERROR(SEARCH("No se pudo ejecutar",T125)))</formula>
    </cfRule>
    <cfRule type="containsText" dxfId="9886" priority="10175" operator="containsText" text="Pendiente">
      <formula>NOT(ISERROR(SEARCH("Pendiente",T125)))</formula>
    </cfRule>
    <cfRule type="containsText" dxfId="9885" priority="10176" operator="containsText" text="No Aplica">
      <formula>NOT(ISERROR(SEARCH("No Aplica",T125)))</formula>
    </cfRule>
    <cfRule type="containsText" dxfId="9884" priority="10177" operator="containsText" text="Fallido">
      <formula>NOT(ISERROR(SEARCH("Fallido",T125)))</formula>
    </cfRule>
    <cfRule type="containsText" dxfId="9883" priority="10178" operator="containsText" text="Éxitoso">
      <formula>NOT(ISERROR(SEARCH("Éxitoso",T125)))</formula>
    </cfRule>
  </conditionalFormatting>
  <conditionalFormatting sqref="U125">
    <cfRule type="containsText" dxfId="9882" priority="10169" operator="containsText" text="No se pudo ejecutar">
      <formula>NOT(ISERROR(SEARCH("No se pudo ejecutar",U125)))</formula>
    </cfRule>
    <cfRule type="containsText" dxfId="9881" priority="10170" operator="containsText" text="Pendiente">
      <formula>NOT(ISERROR(SEARCH("Pendiente",U125)))</formula>
    </cfRule>
    <cfRule type="containsText" dxfId="9880" priority="10171" operator="containsText" text="No Aplica">
      <formula>NOT(ISERROR(SEARCH("No Aplica",U125)))</formula>
    </cfRule>
    <cfRule type="containsText" dxfId="9879" priority="10172" operator="containsText" text="Fallido">
      <formula>NOT(ISERROR(SEARCH("Fallido",U125)))</formula>
    </cfRule>
    <cfRule type="containsText" dxfId="9878" priority="10173" operator="containsText" text="Éxitoso">
      <formula>NOT(ISERROR(SEARCH("Éxitoso",U125)))</formula>
    </cfRule>
  </conditionalFormatting>
  <conditionalFormatting sqref="V125">
    <cfRule type="containsText" dxfId="9877" priority="10164" operator="containsText" text="No se pudo ejecutar">
      <formula>NOT(ISERROR(SEARCH("No se pudo ejecutar",V125)))</formula>
    </cfRule>
    <cfRule type="containsText" dxfId="9876" priority="10165" operator="containsText" text="Pendiente">
      <formula>NOT(ISERROR(SEARCH("Pendiente",V125)))</formula>
    </cfRule>
    <cfRule type="containsText" dxfId="9875" priority="10166" operator="containsText" text="No Aplica">
      <formula>NOT(ISERROR(SEARCH("No Aplica",V125)))</formula>
    </cfRule>
    <cfRule type="containsText" dxfId="9874" priority="10167" operator="containsText" text="Fallido">
      <formula>NOT(ISERROR(SEARCH("Fallido",V125)))</formula>
    </cfRule>
    <cfRule type="containsText" dxfId="9873" priority="10168" operator="containsText" text="Éxitoso">
      <formula>NOT(ISERROR(SEARCH("Éxitoso",V125)))</formula>
    </cfRule>
  </conditionalFormatting>
  <conditionalFormatting sqref="W125">
    <cfRule type="containsText" dxfId="9872" priority="10159" operator="containsText" text="No se pudo ejecutar">
      <formula>NOT(ISERROR(SEARCH("No se pudo ejecutar",W125)))</formula>
    </cfRule>
    <cfRule type="containsText" dxfId="9871" priority="10160" operator="containsText" text="Pendiente">
      <formula>NOT(ISERROR(SEARCH("Pendiente",W125)))</formula>
    </cfRule>
    <cfRule type="containsText" dxfId="9870" priority="10161" operator="containsText" text="No Aplica">
      <formula>NOT(ISERROR(SEARCH("No Aplica",W125)))</formula>
    </cfRule>
    <cfRule type="containsText" dxfId="9869" priority="10162" operator="containsText" text="Fallido">
      <formula>NOT(ISERROR(SEARCH("Fallido",W125)))</formula>
    </cfRule>
    <cfRule type="containsText" dxfId="9868" priority="10163" operator="containsText" text="Éxitoso">
      <formula>NOT(ISERROR(SEARCH("Éxitoso",W125)))</formula>
    </cfRule>
  </conditionalFormatting>
  <conditionalFormatting sqref="M125">
    <cfRule type="containsText" dxfId="9867" priority="10154" operator="containsText" text="No se pudo ejecutar">
      <formula>NOT(ISERROR(SEARCH("No se pudo ejecutar",M125)))</formula>
    </cfRule>
    <cfRule type="containsText" dxfId="9866" priority="10155" operator="containsText" text="Pendiente">
      <formula>NOT(ISERROR(SEARCH("Pendiente",M125)))</formula>
    </cfRule>
    <cfRule type="containsText" dxfId="9865" priority="10156" operator="containsText" text="No Aplica">
      <formula>NOT(ISERROR(SEARCH("No Aplica",M125)))</formula>
    </cfRule>
    <cfRule type="containsText" dxfId="9864" priority="10157" operator="containsText" text="Fallido">
      <formula>NOT(ISERROR(SEARCH("Fallido",M125)))</formula>
    </cfRule>
    <cfRule type="containsText" dxfId="9863" priority="10158" operator="containsText" text="Éxitoso">
      <formula>NOT(ISERROR(SEARCH("Éxitoso",M125)))</formula>
    </cfRule>
  </conditionalFormatting>
  <conditionalFormatting sqref="G125">
    <cfRule type="containsText" dxfId="9862" priority="10151" operator="containsText" text="Bajo">
      <formula>NOT(ISERROR(SEARCH("Bajo",G125)))</formula>
    </cfRule>
    <cfRule type="containsText" dxfId="9861" priority="10152" operator="containsText" text="Medio">
      <formula>NOT(ISERROR(SEARCH("Medio",G125)))</formula>
    </cfRule>
    <cfRule type="containsText" dxfId="9860" priority="10153" operator="containsText" text="Alto">
      <formula>NOT(ISERROR(SEARCH("Alto",G125)))</formula>
    </cfRule>
  </conditionalFormatting>
  <conditionalFormatting sqref="N126">
    <cfRule type="containsText" dxfId="9859" priority="10146" operator="containsText" text="No se pudo ejecutar">
      <formula>NOT(ISERROR(SEARCH("No se pudo ejecutar",N126)))</formula>
    </cfRule>
    <cfRule type="containsText" dxfId="9858" priority="10147" operator="containsText" text="Pendiente">
      <formula>NOT(ISERROR(SEARCH("Pendiente",N126)))</formula>
    </cfRule>
    <cfRule type="containsText" dxfId="9857" priority="10148" operator="containsText" text="No Aplica">
      <formula>NOT(ISERROR(SEARCH("No Aplica",N126)))</formula>
    </cfRule>
    <cfRule type="containsText" dxfId="9856" priority="10149" operator="containsText" text="Fallido">
      <formula>NOT(ISERROR(SEARCH("Fallido",N126)))</formula>
    </cfRule>
    <cfRule type="containsText" dxfId="9855" priority="10150" operator="containsText" text="Éxitoso">
      <formula>NOT(ISERROR(SEARCH("Éxitoso",N126)))</formula>
    </cfRule>
  </conditionalFormatting>
  <conditionalFormatting sqref="O126">
    <cfRule type="containsText" dxfId="9854" priority="10141" operator="containsText" text="No se pudo ejecutar">
      <formula>NOT(ISERROR(SEARCH("No se pudo ejecutar",O126)))</formula>
    </cfRule>
    <cfRule type="containsText" dxfId="9853" priority="10142" operator="containsText" text="Pendiente">
      <formula>NOT(ISERROR(SEARCH("Pendiente",O126)))</formula>
    </cfRule>
    <cfRule type="containsText" dxfId="9852" priority="10143" operator="containsText" text="No Aplica">
      <formula>NOT(ISERROR(SEARCH("No Aplica",O126)))</formula>
    </cfRule>
    <cfRule type="containsText" dxfId="9851" priority="10144" operator="containsText" text="Fallido">
      <formula>NOT(ISERROR(SEARCH("Fallido",O126)))</formula>
    </cfRule>
    <cfRule type="containsText" dxfId="9850" priority="10145" operator="containsText" text="Éxitoso">
      <formula>NOT(ISERROR(SEARCH("Éxitoso",O126)))</formula>
    </cfRule>
  </conditionalFormatting>
  <conditionalFormatting sqref="P126">
    <cfRule type="containsText" dxfId="9849" priority="10136" operator="containsText" text="No se pudo ejecutar">
      <formula>NOT(ISERROR(SEARCH("No se pudo ejecutar",P126)))</formula>
    </cfRule>
    <cfRule type="containsText" dxfId="9848" priority="10137" operator="containsText" text="Pendiente">
      <formula>NOT(ISERROR(SEARCH("Pendiente",P126)))</formula>
    </cfRule>
    <cfRule type="containsText" dxfId="9847" priority="10138" operator="containsText" text="No Aplica">
      <formula>NOT(ISERROR(SEARCH("No Aplica",P126)))</formula>
    </cfRule>
    <cfRule type="containsText" dxfId="9846" priority="10139" operator="containsText" text="Fallido">
      <formula>NOT(ISERROR(SEARCH("Fallido",P126)))</formula>
    </cfRule>
    <cfRule type="containsText" dxfId="9845" priority="10140" operator="containsText" text="Éxitoso">
      <formula>NOT(ISERROR(SEARCH("Éxitoso",P126)))</formula>
    </cfRule>
  </conditionalFormatting>
  <conditionalFormatting sqref="Q126">
    <cfRule type="containsText" dxfId="9844" priority="10131" operator="containsText" text="No se pudo ejecutar">
      <formula>NOT(ISERROR(SEARCH("No se pudo ejecutar",Q126)))</formula>
    </cfRule>
    <cfRule type="containsText" dxfId="9843" priority="10132" operator="containsText" text="Pendiente">
      <formula>NOT(ISERROR(SEARCH("Pendiente",Q126)))</formula>
    </cfRule>
    <cfRule type="containsText" dxfId="9842" priority="10133" operator="containsText" text="No Aplica">
      <formula>NOT(ISERROR(SEARCH("No Aplica",Q126)))</formula>
    </cfRule>
    <cfRule type="containsText" dxfId="9841" priority="10134" operator="containsText" text="Fallido">
      <formula>NOT(ISERROR(SEARCH("Fallido",Q126)))</formula>
    </cfRule>
    <cfRule type="containsText" dxfId="9840" priority="10135" operator="containsText" text="Éxitoso">
      <formula>NOT(ISERROR(SEARCH("Éxitoso",Q126)))</formula>
    </cfRule>
  </conditionalFormatting>
  <conditionalFormatting sqref="R126">
    <cfRule type="containsText" dxfId="9839" priority="10126" operator="containsText" text="No se pudo ejecutar">
      <formula>NOT(ISERROR(SEARCH("No se pudo ejecutar",R126)))</formula>
    </cfRule>
    <cfRule type="containsText" dxfId="9838" priority="10127" operator="containsText" text="Pendiente">
      <formula>NOT(ISERROR(SEARCH("Pendiente",R126)))</formula>
    </cfRule>
    <cfRule type="containsText" dxfId="9837" priority="10128" operator="containsText" text="No Aplica">
      <formula>NOT(ISERROR(SEARCH("No Aplica",R126)))</formula>
    </cfRule>
    <cfRule type="containsText" dxfId="9836" priority="10129" operator="containsText" text="Fallido">
      <formula>NOT(ISERROR(SEARCH("Fallido",R126)))</formula>
    </cfRule>
    <cfRule type="containsText" dxfId="9835" priority="10130" operator="containsText" text="Éxitoso">
      <formula>NOT(ISERROR(SEARCH("Éxitoso",R126)))</formula>
    </cfRule>
  </conditionalFormatting>
  <conditionalFormatting sqref="S126">
    <cfRule type="containsText" dxfId="9834" priority="10121" operator="containsText" text="No se pudo ejecutar">
      <formula>NOT(ISERROR(SEARCH("No se pudo ejecutar",S126)))</formula>
    </cfRule>
    <cfRule type="containsText" dxfId="9833" priority="10122" operator="containsText" text="Pendiente">
      <formula>NOT(ISERROR(SEARCH("Pendiente",S126)))</formula>
    </cfRule>
    <cfRule type="containsText" dxfId="9832" priority="10123" operator="containsText" text="No Aplica">
      <formula>NOT(ISERROR(SEARCH("No Aplica",S126)))</formula>
    </cfRule>
    <cfRule type="containsText" dxfId="9831" priority="10124" operator="containsText" text="Fallido">
      <formula>NOT(ISERROR(SEARCH("Fallido",S126)))</formula>
    </cfRule>
    <cfRule type="containsText" dxfId="9830" priority="10125" operator="containsText" text="Éxitoso">
      <formula>NOT(ISERROR(SEARCH("Éxitoso",S126)))</formula>
    </cfRule>
  </conditionalFormatting>
  <conditionalFormatting sqref="T126">
    <cfRule type="containsText" dxfId="9829" priority="10116" operator="containsText" text="No se pudo ejecutar">
      <formula>NOT(ISERROR(SEARCH("No se pudo ejecutar",T126)))</formula>
    </cfRule>
    <cfRule type="containsText" dxfId="9828" priority="10117" operator="containsText" text="Pendiente">
      <formula>NOT(ISERROR(SEARCH("Pendiente",T126)))</formula>
    </cfRule>
    <cfRule type="containsText" dxfId="9827" priority="10118" operator="containsText" text="No Aplica">
      <formula>NOT(ISERROR(SEARCH("No Aplica",T126)))</formula>
    </cfRule>
    <cfRule type="containsText" dxfId="9826" priority="10119" operator="containsText" text="Fallido">
      <formula>NOT(ISERROR(SEARCH("Fallido",T126)))</formula>
    </cfRule>
    <cfRule type="containsText" dxfId="9825" priority="10120" operator="containsText" text="Éxitoso">
      <formula>NOT(ISERROR(SEARCH("Éxitoso",T126)))</formula>
    </cfRule>
  </conditionalFormatting>
  <conditionalFormatting sqref="U126">
    <cfRule type="containsText" dxfId="9824" priority="10111" operator="containsText" text="No se pudo ejecutar">
      <formula>NOT(ISERROR(SEARCH("No se pudo ejecutar",U126)))</formula>
    </cfRule>
    <cfRule type="containsText" dxfId="9823" priority="10112" operator="containsText" text="Pendiente">
      <formula>NOT(ISERROR(SEARCH("Pendiente",U126)))</formula>
    </cfRule>
    <cfRule type="containsText" dxfId="9822" priority="10113" operator="containsText" text="No Aplica">
      <formula>NOT(ISERROR(SEARCH("No Aplica",U126)))</formula>
    </cfRule>
    <cfRule type="containsText" dxfId="9821" priority="10114" operator="containsText" text="Fallido">
      <formula>NOT(ISERROR(SEARCH("Fallido",U126)))</formula>
    </cfRule>
    <cfRule type="containsText" dxfId="9820" priority="10115" operator="containsText" text="Éxitoso">
      <formula>NOT(ISERROR(SEARCH("Éxitoso",U126)))</formula>
    </cfRule>
  </conditionalFormatting>
  <conditionalFormatting sqref="V126">
    <cfRule type="containsText" dxfId="9819" priority="10106" operator="containsText" text="No se pudo ejecutar">
      <formula>NOT(ISERROR(SEARCH("No se pudo ejecutar",V126)))</formula>
    </cfRule>
    <cfRule type="containsText" dxfId="9818" priority="10107" operator="containsText" text="Pendiente">
      <formula>NOT(ISERROR(SEARCH("Pendiente",V126)))</formula>
    </cfRule>
    <cfRule type="containsText" dxfId="9817" priority="10108" operator="containsText" text="No Aplica">
      <formula>NOT(ISERROR(SEARCH("No Aplica",V126)))</formula>
    </cfRule>
    <cfRule type="containsText" dxfId="9816" priority="10109" operator="containsText" text="Fallido">
      <formula>NOT(ISERROR(SEARCH("Fallido",V126)))</formula>
    </cfRule>
    <cfRule type="containsText" dxfId="9815" priority="10110" operator="containsText" text="Éxitoso">
      <formula>NOT(ISERROR(SEARCH("Éxitoso",V126)))</formula>
    </cfRule>
  </conditionalFormatting>
  <conditionalFormatting sqref="W126">
    <cfRule type="containsText" dxfId="9814" priority="10101" operator="containsText" text="No se pudo ejecutar">
      <formula>NOT(ISERROR(SEARCH("No se pudo ejecutar",W126)))</formula>
    </cfRule>
    <cfRule type="containsText" dxfId="9813" priority="10102" operator="containsText" text="Pendiente">
      <formula>NOT(ISERROR(SEARCH("Pendiente",W126)))</formula>
    </cfRule>
    <cfRule type="containsText" dxfId="9812" priority="10103" operator="containsText" text="No Aplica">
      <formula>NOT(ISERROR(SEARCH("No Aplica",W126)))</formula>
    </cfRule>
    <cfRule type="containsText" dxfId="9811" priority="10104" operator="containsText" text="Fallido">
      <formula>NOT(ISERROR(SEARCH("Fallido",W126)))</formula>
    </cfRule>
    <cfRule type="containsText" dxfId="9810" priority="10105" operator="containsText" text="Éxitoso">
      <formula>NOT(ISERROR(SEARCH("Éxitoso",W126)))</formula>
    </cfRule>
  </conditionalFormatting>
  <conditionalFormatting sqref="M126">
    <cfRule type="containsText" dxfId="9809" priority="10096" operator="containsText" text="No se pudo ejecutar">
      <formula>NOT(ISERROR(SEARCH("No se pudo ejecutar",M126)))</formula>
    </cfRule>
    <cfRule type="containsText" dxfId="9808" priority="10097" operator="containsText" text="Pendiente">
      <formula>NOT(ISERROR(SEARCH("Pendiente",M126)))</formula>
    </cfRule>
    <cfRule type="containsText" dxfId="9807" priority="10098" operator="containsText" text="No Aplica">
      <formula>NOT(ISERROR(SEARCH("No Aplica",M126)))</formula>
    </cfRule>
    <cfRule type="containsText" dxfId="9806" priority="10099" operator="containsText" text="Fallido">
      <formula>NOT(ISERROR(SEARCH("Fallido",M126)))</formula>
    </cfRule>
    <cfRule type="containsText" dxfId="9805" priority="10100" operator="containsText" text="Éxitoso">
      <formula>NOT(ISERROR(SEARCH("Éxitoso",M126)))</formula>
    </cfRule>
  </conditionalFormatting>
  <conditionalFormatting sqref="G126">
    <cfRule type="containsText" dxfId="9804" priority="10093" operator="containsText" text="Bajo">
      <formula>NOT(ISERROR(SEARCH("Bajo",G126)))</formula>
    </cfRule>
    <cfRule type="containsText" dxfId="9803" priority="10094" operator="containsText" text="Medio">
      <formula>NOT(ISERROR(SEARCH("Medio",G126)))</formula>
    </cfRule>
    <cfRule type="containsText" dxfId="9802" priority="10095" operator="containsText" text="Alto">
      <formula>NOT(ISERROR(SEARCH("Alto",G126)))</formula>
    </cfRule>
  </conditionalFormatting>
  <conditionalFormatting sqref="N127">
    <cfRule type="containsText" dxfId="9801" priority="10088" operator="containsText" text="No se pudo ejecutar">
      <formula>NOT(ISERROR(SEARCH("No se pudo ejecutar",N127)))</formula>
    </cfRule>
    <cfRule type="containsText" dxfId="9800" priority="10089" operator="containsText" text="Pendiente">
      <formula>NOT(ISERROR(SEARCH("Pendiente",N127)))</formula>
    </cfRule>
    <cfRule type="containsText" dxfId="9799" priority="10090" operator="containsText" text="No Aplica">
      <formula>NOT(ISERROR(SEARCH("No Aplica",N127)))</formula>
    </cfRule>
    <cfRule type="containsText" dxfId="9798" priority="10091" operator="containsText" text="Fallido">
      <formula>NOT(ISERROR(SEARCH("Fallido",N127)))</formula>
    </cfRule>
    <cfRule type="containsText" dxfId="9797" priority="10092" operator="containsText" text="Éxitoso">
      <formula>NOT(ISERROR(SEARCH("Éxitoso",N127)))</formula>
    </cfRule>
  </conditionalFormatting>
  <conditionalFormatting sqref="O127">
    <cfRule type="containsText" dxfId="9796" priority="10083" operator="containsText" text="No se pudo ejecutar">
      <formula>NOT(ISERROR(SEARCH("No se pudo ejecutar",O127)))</formula>
    </cfRule>
    <cfRule type="containsText" dxfId="9795" priority="10084" operator="containsText" text="Pendiente">
      <formula>NOT(ISERROR(SEARCH("Pendiente",O127)))</formula>
    </cfRule>
    <cfRule type="containsText" dxfId="9794" priority="10085" operator="containsText" text="No Aplica">
      <formula>NOT(ISERROR(SEARCH("No Aplica",O127)))</formula>
    </cfRule>
    <cfRule type="containsText" dxfId="9793" priority="10086" operator="containsText" text="Fallido">
      <formula>NOT(ISERROR(SEARCH("Fallido",O127)))</formula>
    </cfRule>
    <cfRule type="containsText" dxfId="9792" priority="10087" operator="containsText" text="Éxitoso">
      <formula>NOT(ISERROR(SEARCH("Éxitoso",O127)))</formula>
    </cfRule>
  </conditionalFormatting>
  <conditionalFormatting sqref="P127">
    <cfRule type="containsText" dxfId="9791" priority="10078" operator="containsText" text="No se pudo ejecutar">
      <formula>NOT(ISERROR(SEARCH("No se pudo ejecutar",P127)))</formula>
    </cfRule>
    <cfRule type="containsText" dxfId="9790" priority="10079" operator="containsText" text="Pendiente">
      <formula>NOT(ISERROR(SEARCH("Pendiente",P127)))</formula>
    </cfRule>
    <cfRule type="containsText" dxfId="9789" priority="10080" operator="containsText" text="No Aplica">
      <formula>NOT(ISERROR(SEARCH("No Aplica",P127)))</formula>
    </cfRule>
    <cfRule type="containsText" dxfId="9788" priority="10081" operator="containsText" text="Fallido">
      <formula>NOT(ISERROR(SEARCH("Fallido",P127)))</formula>
    </cfRule>
    <cfRule type="containsText" dxfId="9787" priority="10082" operator="containsText" text="Éxitoso">
      <formula>NOT(ISERROR(SEARCH("Éxitoso",P127)))</formula>
    </cfRule>
  </conditionalFormatting>
  <conditionalFormatting sqref="Q127">
    <cfRule type="containsText" dxfId="9786" priority="10073" operator="containsText" text="No se pudo ejecutar">
      <formula>NOT(ISERROR(SEARCH("No se pudo ejecutar",Q127)))</formula>
    </cfRule>
    <cfRule type="containsText" dxfId="9785" priority="10074" operator="containsText" text="Pendiente">
      <formula>NOT(ISERROR(SEARCH("Pendiente",Q127)))</formula>
    </cfRule>
    <cfRule type="containsText" dxfId="9784" priority="10075" operator="containsText" text="No Aplica">
      <formula>NOT(ISERROR(SEARCH("No Aplica",Q127)))</formula>
    </cfRule>
    <cfRule type="containsText" dxfId="9783" priority="10076" operator="containsText" text="Fallido">
      <formula>NOT(ISERROR(SEARCH("Fallido",Q127)))</formula>
    </cfRule>
    <cfRule type="containsText" dxfId="9782" priority="10077" operator="containsText" text="Éxitoso">
      <formula>NOT(ISERROR(SEARCH("Éxitoso",Q127)))</formula>
    </cfRule>
  </conditionalFormatting>
  <conditionalFormatting sqref="R127">
    <cfRule type="containsText" dxfId="9781" priority="10068" operator="containsText" text="No se pudo ejecutar">
      <formula>NOT(ISERROR(SEARCH("No se pudo ejecutar",R127)))</formula>
    </cfRule>
    <cfRule type="containsText" dxfId="9780" priority="10069" operator="containsText" text="Pendiente">
      <formula>NOT(ISERROR(SEARCH("Pendiente",R127)))</formula>
    </cfRule>
    <cfRule type="containsText" dxfId="9779" priority="10070" operator="containsText" text="No Aplica">
      <formula>NOT(ISERROR(SEARCH("No Aplica",R127)))</formula>
    </cfRule>
    <cfRule type="containsText" dxfId="9778" priority="10071" operator="containsText" text="Fallido">
      <formula>NOT(ISERROR(SEARCH("Fallido",R127)))</formula>
    </cfRule>
    <cfRule type="containsText" dxfId="9777" priority="10072" operator="containsText" text="Éxitoso">
      <formula>NOT(ISERROR(SEARCH("Éxitoso",R127)))</formula>
    </cfRule>
  </conditionalFormatting>
  <conditionalFormatting sqref="S127">
    <cfRule type="containsText" dxfId="9776" priority="10063" operator="containsText" text="No se pudo ejecutar">
      <formula>NOT(ISERROR(SEARCH("No se pudo ejecutar",S127)))</formula>
    </cfRule>
    <cfRule type="containsText" dxfId="9775" priority="10064" operator="containsText" text="Pendiente">
      <formula>NOT(ISERROR(SEARCH("Pendiente",S127)))</formula>
    </cfRule>
    <cfRule type="containsText" dxfId="9774" priority="10065" operator="containsText" text="No Aplica">
      <formula>NOT(ISERROR(SEARCH("No Aplica",S127)))</formula>
    </cfRule>
    <cfRule type="containsText" dxfId="9773" priority="10066" operator="containsText" text="Fallido">
      <formula>NOT(ISERROR(SEARCH("Fallido",S127)))</formula>
    </cfRule>
    <cfRule type="containsText" dxfId="9772" priority="10067" operator="containsText" text="Éxitoso">
      <formula>NOT(ISERROR(SEARCH("Éxitoso",S127)))</formula>
    </cfRule>
  </conditionalFormatting>
  <conditionalFormatting sqref="T127">
    <cfRule type="containsText" dxfId="9771" priority="10058" operator="containsText" text="No se pudo ejecutar">
      <formula>NOT(ISERROR(SEARCH("No se pudo ejecutar",T127)))</formula>
    </cfRule>
    <cfRule type="containsText" dxfId="9770" priority="10059" operator="containsText" text="Pendiente">
      <formula>NOT(ISERROR(SEARCH("Pendiente",T127)))</formula>
    </cfRule>
    <cfRule type="containsText" dxfId="9769" priority="10060" operator="containsText" text="No Aplica">
      <formula>NOT(ISERROR(SEARCH("No Aplica",T127)))</formula>
    </cfRule>
    <cfRule type="containsText" dxfId="9768" priority="10061" operator="containsText" text="Fallido">
      <formula>NOT(ISERROR(SEARCH("Fallido",T127)))</formula>
    </cfRule>
    <cfRule type="containsText" dxfId="9767" priority="10062" operator="containsText" text="Éxitoso">
      <formula>NOT(ISERROR(SEARCH("Éxitoso",T127)))</formula>
    </cfRule>
  </conditionalFormatting>
  <conditionalFormatting sqref="U127">
    <cfRule type="containsText" dxfId="9766" priority="10053" operator="containsText" text="No se pudo ejecutar">
      <formula>NOT(ISERROR(SEARCH("No se pudo ejecutar",U127)))</formula>
    </cfRule>
    <cfRule type="containsText" dxfId="9765" priority="10054" operator="containsText" text="Pendiente">
      <formula>NOT(ISERROR(SEARCH("Pendiente",U127)))</formula>
    </cfRule>
    <cfRule type="containsText" dxfId="9764" priority="10055" operator="containsText" text="No Aplica">
      <formula>NOT(ISERROR(SEARCH("No Aplica",U127)))</formula>
    </cfRule>
    <cfRule type="containsText" dxfId="9763" priority="10056" operator="containsText" text="Fallido">
      <formula>NOT(ISERROR(SEARCH("Fallido",U127)))</formula>
    </cfRule>
    <cfRule type="containsText" dxfId="9762" priority="10057" operator="containsText" text="Éxitoso">
      <formula>NOT(ISERROR(SEARCH("Éxitoso",U127)))</formula>
    </cfRule>
  </conditionalFormatting>
  <conditionalFormatting sqref="V127">
    <cfRule type="containsText" dxfId="9761" priority="10048" operator="containsText" text="No se pudo ejecutar">
      <formula>NOT(ISERROR(SEARCH("No se pudo ejecutar",V127)))</formula>
    </cfRule>
    <cfRule type="containsText" dxfId="9760" priority="10049" operator="containsText" text="Pendiente">
      <formula>NOT(ISERROR(SEARCH("Pendiente",V127)))</formula>
    </cfRule>
    <cfRule type="containsText" dxfId="9759" priority="10050" operator="containsText" text="No Aplica">
      <formula>NOT(ISERROR(SEARCH("No Aplica",V127)))</formula>
    </cfRule>
    <cfRule type="containsText" dxfId="9758" priority="10051" operator="containsText" text="Fallido">
      <formula>NOT(ISERROR(SEARCH("Fallido",V127)))</formula>
    </cfRule>
    <cfRule type="containsText" dxfId="9757" priority="10052" operator="containsText" text="Éxitoso">
      <formula>NOT(ISERROR(SEARCH("Éxitoso",V127)))</formula>
    </cfRule>
  </conditionalFormatting>
  <conditionalFormatting sqref="W127">
    <cfRule type="containsText" dxfId="9756" priority="10043" operator="containsText" text="No se pudo ejecutar">
      <formula>NOT(ISERROR(SEARCH("No se pudo ejecutar",W127)))</formula>
    </cfRule>
    <cfRule type="containsText" dxfId="9755" priority="10044" operator="containsText" text="Pendiente">
      <formula>NOT(ISERROR(SEARCH("Pendiente",W127)))</formula>
    </cfRule>
    <cfRule type="containsText" dxfId="9754" priority="10045" operator="containsText" text="No Aplica">
      <formula>NOT(ISERROR(SEARCH("No Aplica",W127)))</formula>
    </cfRule>
    <cfRule type="containsText" dxfId="9753" priority="10046" operator="containsText" text="Fallido">
      <formula>NOT(ISERROR(SEARCH("Fallido",W127)))</formula>
    </cfRule>
    <cfRule type="containsText" dxfId="9752" priority="10047" operator="containsText" text="Éxitoso">
      <formula>NOT(ISERROR(SEARCH("Éxitoso",W127)))</formula>
    </cfRule>
  </conditionalFormatting>
  <conditionalFormatting sqref="M127">
    <cfRule type="containsText" dxfId="9751" priority="10038" operator="containsText" text="No se pudo ejecutar">
      <formula>NOT(ISERROR(SEARCH("No se pudo ejecutar",M127)))</formula>
    </cfRule>
    <cfRule type="containsText" dxfId="9750" priority="10039" operator="containsText" text="Pendiente">
      <formula>NOT(ISERROR(SEARCH("Pendiente",M127)))</formula>
    </cfRule>
    <cfRule type="containsText" dxfId="9749" priority="10040" operator="containsText" text="No Aplica">
      <formula>NOT(ISERROR(SEARCH("No Aplica",M127)))</formula>
    </cfRule>
    <cfRule type="containsText" dxfId="9748" priority="10041" operator="containsText" text="Fallido">
      <formula>NOT(ISERROR(SEARCH("Fallido",M127)))</formula>
    </cfRule>
    <cfRule type="containsText" dxfId="9747" priority="10042" operator="containsText" text="Éxitoso">
      <formula>NOT(ISERROR(SEARCH("Éxitoso",M127)))</formula>
    </cfRule>
  </conditionalFormatting>
  <conditionalFormatting sqref="G127">
    <cfRule type="containsText" dxfId="9746" priority="10035" operator="containsText" text="Bajo">
      <formula>NOT(ISERROR(SEARCH("Bajo",G127)))</formula>
    </cfRule>
    <cfRule type="containsText" dxfId="9745" priority="10036" operator="containsText" text="Medio">
      <formula>NOT(ISERROR(SEARCH("Medio",G127)))</formula>
    </cfRule>
    <cfRule type="containsText" dxfId="9744" priority="10037" operator="containsText" text="Alto">
      <formula>NOT(ISERROR(SEARCH("Alto",G127)))</formula>
    </cfRule>
  </conditionalFormatting>
  <conditionalFormatting sqref="N128">
    <cfRule type="containsText" dxfId="9743" priority="10030" operator="containsText" text="No se pudo ejecutar">
      <formula>NOT(ISERROR(SEARCH("No se pudo ejecutar",N128)))</formula>
    </cfRule>
    <cfRule type="containsText" dxfId="9742" priority="10031" operator="containsText" text="Pendiente">
      <formula>NOT(ISERROR(SEARCH("Pendiente",N128)))</formula>
    </cfRule>
    <cfRule type="containsText" dxfId="9741" priority="10032" operator="containsText" text="No Aplica">
      <formula>NOT(ISERROR(SEARCH("No Aplica",N128)))</formula>
    </cfRule>
    <cfRule type="containsText" dxfId="9740" priority="10033" operator="containsText" text="Fallido">
      <formula>NOT(ISERROR(SEARCH("Fallido",N128)))</formula>
    </cfRule>
    <cfRule type="containsText" dxfId="9739" priority="10034" operator="containsText" text="Éxitoso">
      <formula>NOT(ISERROR(SEARCH("Éxitoso",N128)))</formula>
    </cfRule>
  </conditionalFormatting>
  <conditionalFormatting sqref="O128">
    <cfRule type="containsText" dxfId="9738" priority="10025" operator="containsText" text="No se pudo ejecutar">
      <formula>NOT(ISERROR(SEARCH("No se pudo ejecutar",O128)))</formula>
    </cfRule>
    <cfRule type="containsText" dxfId="9737" priority="10026" operator="containsText" text="Pendiente">
      <formula>NOT(ISERROR(SEARCH("Pendiente",O128)))</formula>
    </cfRule>
    <cfRule type="containsText" dxfId="9736" priority="10027" operator="containsText" text="No Aplica">
      <formula>NOT(ISERROR(SEARCH("No Aplica",O128)))</formula>
    </cfRule>
    <cfRule type="containsText" dxfId="9735" priority="10028" operator="containsText" text="Fallido">
      <formula>NOT(ISERROR(SEARCH("Fallido",O128)))</formula>
    </cfRule>
    <cfRule type="containsText" dxfId="9734" priority="10029" operator="containsText" text="Éxitoso">
      <formula>NOT(ISERROR(SEARCH("Éxitoso",O128)))</formula>
    </cfRule>
  </conditionalFormatting>
  <conditionalFormatting sqref="P128">
    <cfRule type="containsText" dxfId="9733" priority="10020" operator="containsText" text="No se pudo ejecutar">
      <formula>NOT(ISERROR(SEARCH("No se pudo ejecutar",P128)))</formula>
    </cfRule>
    <cfRule type="containsText" dxfId="9732" priority="10021" operator="containsText" text="Pendiente">
      <formula>NOT(ISERROR(SEARCH("Pendiente",P128)))</formula>
    </cfRule>
    <cfRule type="containsText" dxfId="9731" priority="10022" operator="containsText" text="No Aplica">
      <formula>NOT(ISERROR(SEARCH("No Aplica",P128)))</formula>
    </cfRule>
    <cfRule type="containsText" dxfId="9730" priority="10023" operator="containsText" text="Fallido">
      <formula>NOT(ISERROR(SEARCH("Fallido",P128)))</formula>
    </cfRule>
    <cfRule type="containsText" dxfId="9729" priority="10024" operator="containsText" text="Éxitoso">
      <formula>NOT(ISERROR(SEARCH("Éxitoso",P128)))</formula>
    </cfRule>
  </conditionalFormatting>
  <conditionalFormatting sqref="Q128">
    <cfRule type="containsText" dxfId="9728" priority="10015" operator="containsText" text="No se pudo ejecutar">
      <formula>NOT(ISERROR(SEARCH("No se pudo ejecutar",Q128)))</formula>
    </cfRule>
    <cfRule type="containsText" dxfId="9727" priority="10016" operator="containsText" text="Pendiente">
      <formula>NOT(ISERROR(SEARCH("Pendiente",Q128)))</formula>
    </cfRule>
    <cfRule type="containsText" dxfId="9726" priority="10017" operator="containsText" text="No Aplica">
      <formula>NOT(ISERROR(SEARCH("No Aplica",Q128)))</formula>
    </cfRule>
    <cfRule type="containsText" dxfId="9725" priority="10018" operator="containsText" text="Fallido">
      <formula>NOT(ISERROR(SEARCH("Fallido",Q128)))</formula>
    </cfRule>
    <cfRule type="containsText" dxfId="9724" priority="10019" operator="containsText" text="Éxitoso">
      <formula>NOT(ISERROR(SEARCH("Éxitoso",Q128)))</formula>
    </cfRule>
  </conditionalFormatting>
  <conditionalFormatting sqref="R128">
    <cfRule type="containsText" dxfId="9723" priority="10010" operator="containsText" text="No se pudo ejecutar">
      <formula>NOT(ISERROR(SEARCH("No se pudo ejecutar",R128)))</formula>
    </cfRule>
    <cfRule type="containsText" dxfId="9722" priority="10011" operator="containsText" text="Pendiente">
      <formula>NOT(ISERROR(SEARCH("Pendiente",R128)))</formula>
    </cfRule>
    <cfRule type="containsText" dxfId="9721" priority="10012" operator="containsText" text="No Aplica">
      <formula>NOT(ISERROR(SEARCH("No Aplica",R128)))</formula>
    </cfRule>
    <cfRule type="containsText" dxfId="9720" priority="10013" operator="containsText" text="Fallido">
      <formula>NOT(ISERROR(SEARCH("Fallido",R128)))</formula>
    </cfRule>
    <cfRule type="containsText" dxfId="9719" priority="10014" operator="containsText" text="Éxitoso">
      <formula>NOT(ISERROR(SEARCH("Éxitoso",R128)))</formula>
    </cfRule>
  </conditionalFormatting>
  <conditionalFormatting sqref="S128">
    <cfRule type="containsText" dxfId="9718" priority="10005" operator="containsText" text="No se pudo ejecutar">
      <formula>NOT(ISERROR(SEARCH("No se pudo ejecutar",S128)))</formula>
    </cfRule>
    <cfRule type="containsText" dxfId="9717" priority="10006" operator="containsText" text="Pendiente">
      <formula>NOT(ISERROR(SEARCH("Pendiente",S128)))</formula>
    </cfRule>
    <cfRule type="containsText" dxfId="9716" priority="10007" operator="containsText" text="No Aplica">
      <formula>NOT(ISERROR(SEARCH("No Aplica",S128)))</formula>
    </cfRule>
    <cfRule type="containsText" dxfId="9715" priority="10008" operator="containsText" text="Fallido">
      <formula>NOT(ISERROR(SEARCH("Fallido",S128)))</formula>
    </cfRule>
    <cfRule type="containsText" dxfId="9714" priority="10009" operator="containsText" text="Éxitoso">
      <formula>NOT(ISERROR(SEARCH("Éxitoso",S128)))</formula>
    </cfRule>
  </conditionalFormatting>
  <conditionalFormatting sqref="T128">
    <cfRule type="containsText" dxfId="9713" priority="10000" operator="containsText" text="No se pudo ejecutar">
      <formula>NOT(ISERROR(SEARCH("No se pudo ejecutar",T128)))</formula>
    </cfRule>
    <cfRule type="containsText" dxfId="9712" priority="10001" operator="containsText" text="Pendiente">
      <formula>NOT(ISERROR(SEARCH("Pendiente",T128)))</formula>
    </cfRule>
    <cfRule type="containsText" dxfId="9711" priority="10002" operator="containsText" text="No Aplica">
      <formula>NOT(ISERROR(SEARCH("No Aplica",T128)))</formula>
    </cfRule>
    <cfRule type="containsText" dxfId="9710" priority="10003" operator="containsText" text="Fallido">
      <formula>NOT(ISERROR(SEARCH("Fallido",T128)))</formula>
    </cfRule>
    <cfRule type="containsText" dxfId="9709" priority="10004" operator="containsText" text="Éxitoso">
      <formula>NOT(ISERROR(SEARCH("Éxitoso",T128)))</formula>
    </cfRule>
  </conditionalFormatting>
  <conditionalFormatting sqref="U128">
    <cfRule type="containsText" dxfId="9708" priority="9995" operator="containsText" text="No se pudo ejecutar">
      <formula>NOT(ISERROR(SEARCH("No se pudo ejecutar",U128)))</formula>
    </cfRule>
    <cfRule type="containsText" dxfId="9707" priority="9996" operator="containsText" text="Pendiente">
      <formula>NOT(ISERROR(SEARCH("Pendiente",U128)))</formula>
    </cfRule>
    <cfRule type="containsText" dxfId="9706" priority="9997" operator="containsText" text="No Aplica">
      <formula>NOT(ISERROR(SEARCH("No Aplica",U128)))</formula>
    </cfRule>
    <cfRule type="containsText" dxfId="9705" priority="9998" operator="containsText" text="Fallido">
      <formula>NOT(ISERROR(SEARCH("Fallido",U128)))</formula>
    </cfRule>
    <cfRule type="containsText" dxfId="9704" priority="9999" operator="containsText" text="Éxitoso">
      <formula>NOT(ISERROR(SEARCH("Éxitoso",U128)))</formula>
    </cfRule>
  </conditionalFormatting>
  <conditionalFormatting sqref="V128">
    <cfRule type="containsText" dxfId="9703" priority="9990" operator="containsText" text="No se pudo ejecutar">
      <formula>NOT(ISERROR(SEARCH("No se pudo ejecutar",V128)))</formula>
    </cfRule>
    <cfRule type="containsText" dxfId="9702" priority="9991" operator="containsText" text="Pendiente">
      <formula>NOT(ISERROR(SEARCH("Pendiente",V128)))</formula>
    </cfRule>
    <cfRule type="containsText" dxfId="9701" priority="9992" operator="containsText" text="No Aplica">
      <formula>NOT(ISERROR(SEARCH("No Aplica",V128)))</formula>
    </cfRule>
    <cfRule type="containsText" dxfId="9700" priority="9993" operator="containsText" text="Fallido">
      <formula>NOT(ISERROR(SEARCH("Fallido",V128)))</formula>
    </cfRule>
    <cfRule type="containsText" dxfId="9699" priority="9994" operator="containsText" text="Éxitoso">
      <formula>NOT(ISERROR(SEARCH("Éxitoso",V128)))</formula>
    </cfRule>
  </conditionalFormatting>
  <conditionalFormatting sqref="W128">
    <cfRule type="containsText" dxfId="9698" priority="9985" operator="containsText" text="No se pudo ejecutar">
      <formula>NOT(ISERROR(SEARCH("No se pudo ejecutar",W128)))</formula>
    </cfRule>
    <cfRule type="containsText" dxfId="9697" priority="9986" operator="containsText" text="Pendiente">
      <formula>NOT(ISERROR(SEARCH("Pendiente",W128)))</formula>
    </cfRule>
    <cfRule type="containsText" dxfId="9696" priority="9987" operator="containsText" text="No Aplica">
      <formula>NOT(ISERROR(SEARCH("No Aplica",W128)))</formula>
    </cfRule>
    <cfRule type="containsText" dxfId="9695" priority="9988" operator="containsText" text="Fallido">
      <formula>NOT(ISERROR(SEARCH("Fallido",W128)))</formula>
    </cfRule>
    <cfRule type="containsText" dxfId="9694" priority="9989" operator="containsText" text="Éxitoso">
      <formula>NOT(ISERROR(SEARCH("Éxitoso",W128)))</formula>
    </cfRule>
  </conditionalFormatting>
  <conditionalFormatting sqref="M128">
    <cfRule type="containsText" dxfId="9693" priority="9980" operator="containsText" text="No se pudo ejecutar">
      <formula>NOT(ISERROR(SEARCH("No se pudo ejecutar",M128)))</formula>
    </cfRule>
    <cfRule type="containsText" dxfId="9692" priority="9981" operator="containsText" text="Pendiente">
      <formula>NOT(ISERROR(SEARCH("Pendiente",M128)))</formula>
    </cfRule>
    <cfRule type="containsText" dxfId="9691" priority="9982" operator="containsText" text="No Aplica">
      <formula>NOT(ISERROR(SEARCH("No Aplica",M128)))</formula>
    </cfRule>
    <cfRule type="containsText" dxfId="9690" priority="9983" operator="containsText" text="Fallido">
      <formula>NOT(ISERROR(SEARCH("Fallido",M128)))</formula>
    </cfRule>
    <cfRule type="containsText" dxfId="9689" priority="9984" operator="containsText" text="Éxitoso">
      <formula>NOT(ISERROR(SEARCH("Éxitoso",M128)))</formula>
    </cfRule>
  </conditionalFormatting>
  <conditionalFormatting sqref="G128">
    <cfRule type="containsText" dxfId="9688" priority="9977" operator="containsText" text="Bajo">
      <formula>NOT(ISERROR(SEARCH("Bajo",G128)))</formula>
    </cfRule>
    <cfRule type="containsText" dxfId="9687" priority="9978" operator="containsText" text="Medio">
      <formula>NOT(ISERROR(SEARCH("Medio",G128)))</formula>
    </cfRule>
    <cfRule type="containsText" dxfId="9686" priority="9979" operator="containsText" text="Alto">
      <formula>NOT(ISERROR(SEARCH("Alto",G128)))</formula>
    </cfRule>
  </conditionalFormatting>
  <conditionalFormatting sqref="N129">
    <cfRule type="containsText" dxfId="9685" priority="9972" operator="containsText" text="No se pudo ejecutar">
      <formula>NOT(ISERROR(SEARCH("No se pudo ejecutar",N129)))</formula>
    </cfRule>
    <cfRule type="containsText" dxfId="9684" priority="9973" operator="containsText" text="Pendiente">
      <formula>NOT(ISERROR(SEARCH("Pendiente",N129)))</formula>
    </cfRule>
    <cfRule type="containsText" dxfId="9683" priority="9974" operator="containsText" text="No Aplica">
      <formula>NOT(ISERROR(SEARCH("No Aplica",N129)))</formula>
    </cfRule>
    <cfRule type="containsText" dxfId="9682" priority="9975" operator="containsText" text="Fallido">
      <formula>NOT(ISERROR(SEARCH("Fallido",N129)))</formula>
    </cfRule>
    <cfRule type="containsText" dxfId="9681" priority="9976" operator="containsText" text="Éxitoso">
      <formula>NOT(ISERROR(SEARCH("Éxitoso",N129)))</formula>
    </cfRule>
  </conditionalFormatting>
  <conditionalFormatting sqref="O129">
    <cfRule type="containsText" dxfId="9680" priority="9967" operator="containsText" text="No se pudo ejecutar">
      <formula>NOT(ISERROR(SEARCH("No se pudo ejecutar",O129)))</formula>
    </cfRule>
    <cfRule type="containsText" dxfId="9679" priority="9968" operator="containsText" text="Pendiente">
      <formula>NOT(ISERROR(SEARCH("Pendiente",O129)))</formula>
    </cfRule>
    <cfRule type="containsText" dxfId="9678" priority="9969" operator="containsText" text="No Aplica">
      <formula>NOT(ISERROR(SEARCH("No Aplica",O129)))</formula>
    </cfRule>
    <cfRule type="containsText" dxfId="9677" priority="9970" operator="containsText" text="Fallido">
      <formula>NOT(ISERROR(SEARCH("Fallido",O129)))</formula>
    </cfRule>
    <cfRule type="containsText" dxfId="9676" priority="9971" operator="containsText" text="Éxitoso">
      <formula>NOT(ISERROR(SEARCH("Éxitoso",O129)))</formula>
    </cfRule>
  </conditionalFormatting>
  <conditionalFormatting sqref="P129">
    <cfRule type="containsText" dxfId="9675" priority="9962" operator="containsText" text="No se pudo ejecutar">
      <formula>NOT(ISERROR(SEARCH("No se pudo ejecutar",P129)))</formula>
    </cfRule>
    <cfRule type="containsText" dxfId="9674" priority="9963" operator="containsText" text="Pendiente">
      <formula>NOT(ISERROR(SEARCH("Pendiente",P129)))</formula>
    </cfRule>
    <cfRule type="containsText" dxfId="9673" priority="9964" operator="containsText" text="No Aplica">
      <formula>NOT(ISERROR(SEARCH("No Aplica",P129)))</formula>
    </cfRule>
    <cfRule type="containsText" dxfId="9672" priority="9965" operator="containsText" text="Fallido">
      <formula>NOT(ISERROR(SEARCH("Fallido",P129)))</formula>
    </cfRule>
    <cfRule type="containsText" dxfId="9671" priority="9966" operator="containsText" text="Éxitoso">
      <formula>NOT(ISERROR(SEARCH("Éxitoso",P129)))</formula>
    </cfRule>
  </conditionalFormatting>
  <conditionalFormatting sqref="Q129">
    <cfRule type="containsText" dxfId="9670" priority="9957" operator="containsText" text="No se pudo ejecutar">
      <formula>NOT(ISERROR(SEARCH("No se pudo ejecutar",Q129)))</formula>
    </cfRule>
    <cfRule type="containsText" dxfId="9669" priority="9958" operator="containsText" text="Pendiente">
      <formula>NOT(ISERROR(SEARCH("Pendiente",Q129)))</formula>
    </cfRule>
    <cfRule type="containsText" dxfId="9668" priority="9959" operator="containsText" text="No Aplica">
      <formula>NOT(ISERROR(SEARCH("No Aplica",Q129)))</formula>
    </cfRule>
    <cfRule type="containsText" dxfId="9667" priority="9960" operator="containsText" text="Fallido">
      <formula>NOT(ISERROR(SEARCH("Fallido",Q129)))</formula>
    </cfRule>
    <cfRule type="containsText" dxfId="9666" priority="9961" operator="containsText" text="Éxitoso">
      <formula>NOT(ISERROR(SEARCH("Éxitoso",Q129)))</formula>
    </cfRule>
  </conditionalFormatting>
  <conditionalFormatting sqref="R129">
    <cfRule type="containsText" dxfId="9665" priority="9952" operator="containsText" text="No se pudo ejecutar">
      <formula>NOT(ISERROR(SEARCH("No se pudo ejecutar",R129)))</formula>
    </cfRule>
    <cfRule type="containsText" dxfId="9664" priority="9953" operator="containsText" text="Pendiente">
      <formula>NOT(ISERROR(SEARCH("Pendiente",R129)))</formula>
    </cfRule>
    <cfRule type="containsText" dxfId="9663" priority="9954" operator="containsText" text="No Aplica">
      <formula>NOT(ISERROR(SEARCH("No Aplica",R129)))</formula>
    </cfRule>
    <cfRule type="containsText" dxfId="9662" priority="9955" operator="containsText" text="Fallido">
      <formula>NOT(ISERROR(SEARCH("Fallido",R129)))</formula>
    </cfRule>
    <cfRule type="containsText" dxfId="9661" priority="9956" operator="containsText" text="Éxitoso">
      <formula>NOT(ISERROR(SEARCH("Éxitoso",R129)))</formula>
    </cfRule>
  </conditionalFormatting>
  <conditionalFormatting sqref="S129">
    <cfRule type="containsText" dxfId="9660" priority="9947" operator="containsText" text="No se pudo ejecutar">
      <formula>NOT(ISERROR(SEARCH("No se pudo ejecutar",S129)))</formula>
    </cfRule>
    <cfRule type="containsText" dxfId="9659" priority="9948" operator="containsText" text="Pendiente">
      <formula>NOT(ISERROR(SEARCH("Pendiente",S129)))</formula>
    </cfRule>
    <cfRule type="containsText" dxfId="9658" priority="9949" operator="containsText" text="No Aplica">
      <formula>NOT(ISERROR(SEARCH("No Aplica",S129)))</formula>
    </cfRule>
    <cfRule type="containsText" dxfId="9657" priority="9950" operator="containsText" text="Fallido">
      <formula>NOT(ISERROR(SEARCH("Fallido",S129)))</formula>
    </cfRule>
    <cfRule type="containsText" dxfId="9656" priority="9951" operator="containsText" text="Éxitoso">
      <formula>NOT(ISERROR(SEARCH("Éxitoso",S129)))</formula>
    </cfRule>
  </conditionalFormatting>
  <conditionalFormatting sqref="T129">
    <cfRule type="containsText" dxfId="9655" priority="9942" operator="containsText" text="No se pudo ejecutar">
      <formula>NOT(ISERROR(SEARCH("No se pudo ejecutar",T129)))</formula>
    </cfRule>
    <cfRule type="containsText" dxfId="9654" priority="9943" operator="containsText" text="Pendiente">
      <formula>NOT(ISERROR(SEARCH("Pendiente",T129)))</formula>
    </cfRule>
    <cfRule type="containsText" dxfId="9653" priority="9944" operator="containsText" text="No Aplica">
      <formula>NOT(ISERROR(SEARCH("No Aplica",T129)))</formula>
    </cfRule>
    <cfRule type="containsText" dxfId="9652" priority="9945" operator="containsText" text="Fallido">
      <formula>NOT(ISERROR(SEARCH("Fallido",T129)))</formula>
    </cfRule>
    <cfRule type="containsText" dxfId="9651" priority="9946" operator="containsText" text="Éxitoso">
      <formula>NOT(ISERROR(SEARCH("Éxitoso",T129)))</formula>
    </cfRule>
  </conditionalFormatting>
  <conditionalFormatting sqref="U129">
    <cfRule type="containsText" dxfId="9650" priority="9937" operator="containsText" text="No se pudo ejecutar">
      <formula>NOT(ISERROR(SEARCH("No se pudo ejecutar",U129)))</formula>
    </cfRule>
    <cfRule type="containsText" dxfId="9649" priority="9938" operator="containsText" text="Pendiente">
      <formula>NOT(ISERROR(SEARCH("Pendiente",U129)))</formula>
    </cfRule>
    <cfRule type="containsText" dxfId="9648" priority="9939" operator="containsText" text="No Aplica">
      <formula>NOT(ISERROR(SEARCH("No Aplica",U129)))</formula>
    </cfRule>
    <cfRule type="containsText" dxfId="9647" priority="9940" operator="containsText" text="Fallido">
      <formula>NOT(ISERROR(SEARCH("Fallido",U129)))</formula>
    </cfRule>
    <cfRule type="containsText" dxfId="9646" priority="9941" operator="containsText" text="Éxitoso">
      <formula>NOT(ISERROR(SEARCH("Éxitoso",U129)))</formula>
    </cfRule>
  </conditionalFormatting>
  <conditionalFormatting sqref="V129">
    <cfRule type="containsText" dxfId="9645" priority="9932" operator="containsText" text="No se pudo ejecutar">
      <formula>NOT(ISERROR(SEARCH("No se pudo ejecutar",V129)))</formula>
    </cfRule>
    <cfRule type="containsText" dxfId="9644" priority="9933" operator="containsText" text="Pendiente">
      <formula>NOT(ISERROR(SEARCH("Pendiente",V129)))</formula>
    </cfRule>
    <cfRule type="containsText" dxfId="9643" priority="9934" operator="containsText" text="No Aplica">
      <formula>NOT(ISERROR(SEARCH("No Aplica",V129)))</formula>
    </cfRule>
    <cfRule type="containsText" dxfId="9642" priority="9935" operator="containsText" text="Fallido">
      <formula>NOT(ISERROR(SEARCH("Fallido",V129)))</formula>
    </cfRule>
    <cfRule type="containsText" dxfId="9641" priority="9936" operator="containsText" text="Éxitoso">
      <formula>NOT(ISERROR(SEARCH("Éxitoso",V129)))</formula>
    </cfRule>
  </conditionalFormatting>
  <conditionalFormatting sqref="W129">
    <cfRule type="containsText" dxfId="9640" priority="9927" operator="containsText" text="No se pudo ejecutar">
      <formula>NOT(ISERROR(SEARCH("No se pudo ejecutar",W129)))</formula>
    </cfRule>
    <cfRule type="containsText" dxfId="9639" priority="9928" operator="containsText" text="Pendiente">
      <formula>NOT(ISERROR(SEARCH("Pendiente",W129)))</formula>
    </cfRule>
    <cfRule type="containsText" dxfId="9638" priority="9929" operator="containsText" text="No Aplica">
      <formula>NOT(ISERROR(SEARCH("No Aplica",W129)))</formula>
    </cfRule>
    <cfRule type="containsText" dxfId="9637" priority="9930" operator="containsText" text="Fallido">
      <formula>NOT(ISERROR(SEARCH("Fallido",W129)))</formula>
    </cfRule>
    <cfRule type="containsText" dxfId="9636" priority="9931" operator="containsText" text="Éxitoso">
      <formula>NOT(ISERROR(SEARCH("Éxitoso",W129)))</formula>
    </cfRule>
  </conditionalFormatting>
  <conditionalFormatting sqref="M129">
    <cfRule type="containsText" dxfId="9635" priority="9922" operator="containsText" text="No se pudo ejecutar">
      <formula>NOT(ISERROR(SEARCH("No se pudo ejecutar",M129)))</formula>
    </cfRule>
    <cfRule type="containsText" dxfId="9634" priority="9923" operator="containsText" text="Pendiente">
      <formula>NOT(ISERROR(SEARCH("Pendiente",M129)))</formula>
    </cfRule>
    <cfRule type="containsText" dxfId="9633" priority="9924" operator="containsText" text="No Aplica">
      <formula>NOT(ISERROR(SEARCH("No Aplica",M129)))</formula>
    </cfRule>
    <cfRule type="containsText" dxfId="9632" priority="9925" operator="containsText" text="Fallido">
      <formula>NOT(ISERROR(SEARCH("Fallido",M129)))</formula>
    </cfRule>
    <cfRule type="containsText" dxfId="9631" priority="9926" operator="containsText" text="Éxitoso">
      <formula>NOT(ISERROR(SEARCH("Éxitoso",M129)))</formula>
    </cfRule>
  </conditionalFormatting>
  <conditionalFormatting sqref="G129">
    <cfRule type="containsText" dxfId="9630" priority="9919" operator="containsText" text="Bajo">
      <formula>NOT(ISERROR(SEARCH("Bajo",G129)))</formula>
    </cfRule>
    <cfRule type="containsText" dxfId="9629" priority="9920" operator="containsText" text="Medio">
      <formula>NOT(ISERROR(SEARCH("Medio",G129)))</formula>
    </cfRule>
    <cfRule type="containsText" dxfId="9628" priority="9921" operator="containsText" text="Alto">
      <formula>NOT(ISERROR(SEARCH("Alto",G129)))</formula>
    </cfRule>
  </conditionalFormatting>
  <conditionalFormatting sqref="N130">
    <cfRule type="containsText" dxfId="9627" priority="9914" operator="containsText" text="No se pudo ejecutar">
      <formula>NOT(ISERROR(SEARCH("No se pudo ejecutar",N130)))</formula>
    </cfRule>
    <cfRule type="containsText" dxfId="9626" priority="9915" operator="containsText" text="Pendiente">
      <formula>NOT(ISERROR(SEARCH("Pendiente",N130)))</formula>
    </cfRule>
    <cfRule type="containsText" dxfId="9625" priority="9916" operator="containsText" text="No Aplica">
      <formula>NOT(ISERROR(SEARCH("No Aplica",N130)))</formula>
    </cfRule>
    <cfRule type="containsText" dxfId="9624" priority="9917" operator="containsText" text="Fallido">
      <formula>NOT(ISERROR(SEARCH("Fallido",N130)))</formula>
    </cfRule>
    <cfRule type="containsText" dxfId="9623" priority="9918" operator="containsText" text="Éxitoso">
      <formula>NOT(ISERROR(SEARCH("Éxitoso",N130)))</formula>
    </cfRule>
  </conditionalFormatting>
  <conditionalFormatting sqref="O130">
    <cfRule type="containsText" dxfId="9622" priority="9909" operator="containsText" text="No se pudo ejecutar">
      <formula>NOT(ISERROR(SEARCH("No se pudo ejecutar",O130)))</formula>
    </cfRule>
    <cfRule type="containsText" dxfId="9621" priority="9910" operator="containsText" text="Pendiente">
      <formula>NOT(ISERROR(SEARCH("Pendiente",O130)))</formula>
    </cfRule>
    <cfRule type="containsText" dxfId="9620" priority="9911" operator="containsText" text="No Aplica">
      <formula>NOT(ISERROR(SEARCH("No Aplica",O130)))</formula>
    </cfRule>
    <cfRule type="containsText" dxfId="9619" priority="9912" operator="containsText" text="Fallido">
      <formula>NOT(ISERROR(SEARCH("Fallido",O130)))</formula>
    </cfRule>
    <cfRule type="containsText" dxfId="9618" priority="9913" operator="containsText" text="Éxitoso">
      <formula>NOT(ISERROR(SEARCH("Éxitoso",O130)))</formula>
    </cfRule>
  </conditionalFormatting>
  <conditionalFormatting sqref="P130">
    <cfRule type="containsText" dxfId="9617" priority="9904" operator="containsText" text="No se pudo ejecutar">
      <formula>NOT(ISERROR(SEARCH("No se pudo ejecutar",P130)))</formula>
    </cfRule>
    <cfRule type="containsText" dxfId="9616" priority="9905" operator="containsText" text="Pendiente">
      <formula>NOT(ISERROR(SEARCH("Pendiente",P130)))</formula>
    </cfRule>
    <cfRule type="containsText" dxfId="9615" priority="9906" operator="containsText" text="No Aplica">
      <formula>NOT(ISERROR(SEARCH("No Aplica",P130)))</formula>
    </cfRule>
    <cfRule type="containsText" dxfId="9614" priority="9907" operator="containsText" text="Fallido">
      <formula>NOT(ISERROR(SEARCH("Fallido",P130)))</formula>
    </cfRule>
    <cfRule type="containsText" dxfId="9613" priority="9908" operator="containsText" text="Éxitoso">
      <formula>NOT(ISERROR(SEARCH("Éxitoso",P130)))</formula>
    </cfRule>
  </conditionalFormatting>
  <conditionalFormatting sqref="Q130">
    <cfRule type="containsText" dxfId="9612" priority="9899" operator="containsText" text="No se pudo ejecutar">
      <formula>NOT(ISERROR(SEARCH("No se pudo ejecutar",Q130)))</formula>
    </cfRule>
    <cfRule type="containsText" dxfId="9611" priority="9900" operator="containsText" text="Pendiente">
      <formula>NOT(ISERROR(SEARCH("Pendiente",Q130)))</formula>
    </cfRule>
    <cfRule type="containsText" dxfId="9610" priority="9901" operator="containsText" text="No Aplica">
      <formula>NOT(ISERROR(SEARCH("No Aplica",Q130)))</formula>
    </cfRule>
    <cfRule type="containsText" dxfId="9609" priority="9902" operator="containsText" text="Fallido">
      <formula>NOT(ISERROR(SEARCH("Fallido",Q130)))</formula>
    </cfRule>
    <cfRule type="containsText" dxfId="9608" priority="9903" operator="containsText" text="Éxitoso">
      <formula>NOT(ISERROR(SEARCH("Éxitoso",Q130)))</formula>
    </cfRule>
  </conditionalFormatting>
  <conditionalFormatting sqref="R130">
    <cfRule type="containsText" dxfId="9607" priority="9894" operator="containsText" text="No se pudo ejecutar">
      <formula>NOT(ISERROR(SEARCH("No se pudo ejecutar",R130)))</formula>
    </cfRule>
    <cfRule type="containsText" dxfId="9606" priority="9895" operator="containsText" text="Pendiente">
      <formula>NOT(ISERROR(SEARCH("Pendiente",R130)))</formula>
    </cfRule>
    <cfRule type="containsText" dxfId="9605" priority="9896" operator="containsText" text="No Aplica">
      <formula>NOT(ISERROR(SEARCH("No Aplica",R130)))</formula>
    </cfRule>
    <cfRule type="containsText" dxfId="9604" priority="9897" operator="containsText" text="Fallido">
      <formula>NOT(ISERROR(SEARCH("Fallido",R130)))</formula>
    </cfRule>
    <cfRule type="containsText" dxfId="9603" priority="9898" operator="containsText" text="Éxitoso">
      <formula>NOT(ISERROR(SEARCH("Éxitoso",R130)))</formula>
    </cfRule>
  </conditionalFormatting>
  <conditionalFormatting sqref="S130">
    <cfRule type="containsText" dxfId="9602" priority="9889" operator="containsText" text="No se pudo ejecutar">
      <formula>NOT(ISERROR(SEARCH("No se pudo ejecutar",S130)))</formula>
    </cfRule>
    <cfRule type="containsText" dxfId="9601" priority="9890" operator="containsText" text="Pendiente">
      <formula>NOT(ISERROR(SEARCH("Pendiente",S130)))</formula>
    </cfRule>
    <cfRule type="containsText" dxfId="9600" priority="9891" operator="containsText" text="No Aplica">
      <formula>NOT(ISERROR(SEARCH("No Aplica",S130)))</formula>
    </cfRule>
    <cfRule type="containsText" dxfId="9599" priority="9892" operator="containsText" text="Fallido">
      <formula>NOT(ISERROR(SEARCH("Fallido",S130)))</formula>
    </cfRule>
    <cfRule type="containsText" dxfId="9598" priority="9893" operator="containsText" text="Éxitoso">
      <formula>NOT(ISERROR(SEARCH("Éxitoso",S130)))</formula>
    </cfRule>
  </conditionalFormatting>
  <conditionalFormatting sqref="T130">
    <cfRule type="containsText" dxfId="9597" priority="9884" operator="containsText" text="No se pudo ejecutar">
      <formula>NOT(ISERROR(SEARCH("No se pudo ejecutar",T130)))</formula>
    </cfRule>
    <cfRule type="containsText" dxfId="9596" priority="9885" operator="containsText" text="Pendiente">
      <formula>NOT(ISERROR(SEARCH("Pendiente",T130)))</formula>
    </cfRule>
    <cfRule type="containsText" dxfId="9595" priority="9886" operator="containsText" text="No Aplica">
      <formula>NOT(ISERROR(SEARCH("No Aplica",T130)))</formula>
    </cfRule>
    <cfRule type="containsText" dxfId="9594" priority="9887" operator="containsText" text="Fallido">
      <formula>NOT(ISERROR(SEARCH("Fallido",T130)))</formula>
    </cfRule>
    <cfRule type="containsText" dxfId="9593" priority="9888" operator="containsText" text="Éxitoso">
      <formula>NOT(ISERROR(SEARCH("Éxitoso",T130)))</formula>
    </cfRule>
  </conditionalFormatting>
  <conditionalFormatting sqref="U130">
    <cfRule type="containsText" dxfId="9592" priority="9879" operator="containsText" text="No se pudo ejecutar">
      <formula>NOT(ISERROR(SEARCH("No se pudo ejecutar",U130)))</formula>
    </cfRule>
    <cfRule type="containsText" dxfId="9591" priority="9880" operator="containsText" text="Pendiente">
      <formula>NOT(ISERROR(SEARCH("Pendiente",U130)))</formula>
    </cfRule>
    <cfRule type="containsText" dxfId="9590" priority="9881" operator="containsText" text="No Aplica">
      <formula>NOT(ISERROR(SEARCH("No Aplica",U130)))</formula>
    </cfRule>
    <cfRule type="containsText" dxfId="9589" priority="9882" operator="containsText" text="Fallido">
      <formula>NOT(ISERROR(SEARCH("Fallido",U130)))</formula>
    </cfRule>
    <cfRule type="containsText" dxfId="9588" priority="9883" operator="containsText" text="Éxitoso">
      <formula>NOT(ISERROR(SEARCH("Éxitoso",U130)))</formula>
    </cfRule>
  </conditionalFormatting>
  <conditionalFormatting sqref="V130">
    <cfRule type="containsText" dxfId="9587" priority="9874" operator="containsText" text="No se pudo ejecutar">
      <formula>NOT(ISERROR(SEARCH("No se pudo ejecutar",V130)))</formula>
    </cfRule>
    <cfRule type="containsText" dxfId="9586" priority="9875" operator="containsText" text="Pendiente">
      <formula>NOT(ISERROR(SEARCH("Pendiente",V130)))</formula>
    </cfRule>
    <cfRule type="containsText" dxfId="9585" priority="9876" operator="containsText" text="No Aplica">
      <formula>NOT(ISERROR(SEARCH("No Aplica",V130)))</formula>
    </cfRule>
    <cfRule type="containsText" dxfId="9584" priority="9877" operator="containsText" text="Fallido">
      <formula>NOT(ISERROR(SEARCH("Fallido",V130)))</formula>
    </cfRule>
    <cfRule type="containsText" dxfId="9583" priority="9878" operator="containsText" text="Éxitoso">
      <formula>NOT(ISERROR(SEARCH("Éxitoso",V130)))</formula>
    </cfRule>
  </conditionalFormatting>
  <conditionalFormatting sqref="W130">
    <cfRule type="containsText" dxfId="9582" priority="9869" operator="containsText" text="No se pudo ejecutar">
      <formula>NOT(ISERROR(SEARCH("No se pudo ejecutar",W130)))</formula>
    </cfRule>
    <cfRule type="containsText" dxfId="9581" priority="9870" operator="containsText" text="Pendiente">
      <formula>NOT(ISERROR(SEARCH("Pendiente",W130)))</formula>
    </cfRule>
    <cfRule type="containsText" dxfId="9580" priority="9871" operator="containsText" text="No Aplica">
      <formula>NOT(ISERROR(SEARCH("No Aplica",W130)))</formula>
    </cfRule>
    <cfRule type="containsText" dxfId="9579" priority="9872" operator="containsText" text="Fallido">
      <formula>NOT(ISERROR(SEARCH("Fallido",W130)))</formula>
    </cfRule>
    <cfRule type="containsText" dxfId="9578" priority="9873" operator="containsText" text="Éxitoso">
      <formula>NOT(ISERROR(SEARCH("Éxitoso",W130)))</formula>
    </cfRule>
  </conditionalFormatting>
  <conditionalFormatting sqref="M130">
    <cfRule type="containsText" dxfId="9577" priority="9864" operator="containsText" text="No se pudo ejecutar">
      <formula>NOT(ISERROR(SEARCH("No se pudo ejecutar",M130)))</formula>
    </cfRule>
    <cfRule type="containsText" dxfId="9576" priority="9865" operator="containsText" text="Pendiente">
      <formula>NOT(ISERROR(SEARCH("Pendiente",M130)))</formula>
    </cfRule>
    <cfRule type="containsText" dxfId="9575" priority="9866" operator="containsText" text="No Aplica">
      <formula>NOT(ISERROR(SEARCH("No Aplica",M130)))</formula>
    </cfRule>
    <cfRule type="containsText" dxfId="9574" priority="9867" operator="containsText" text="Fallido">
      <formula>NOT(ISERROR(SEARCH("Fallido",M130)))</formula>
    </cfRule>
    <cfRule type="containsText" dxfId="9573" priority="9868" operator="containsText" text="Éxitoso">
      <formula>NOT(ISERROR(SEARCH("Éxitoso",M130)))</formula>
    </cfRule>
  </conditionalFormatting>
  <conditionalFormatting sqref="G130">
    <cfRule type="containsText" dxfId="9572" priority="9861" operator="containsText" text="Bajo">
      <formula>NOT(ISERROR(SEARCH("Bajo",G130)))</formula>
    </cfRule>
    <cfRule type="containsText" dxfId="9571" priority="9862" operator="containsText" text="Medio">
      <formula>NOT(ISERROR(SEARCH("Medio",G130)))</formula>
    </cfRule>
    <cfRule type="containsText" dxfId="9570" priority="9863" operator="containsText" text="Alto">
      <formula>NOT(ISERROR(SEARCH("Alto",G130)))</formula>
    </cfRule>
  </conditionalFormatting>
  <conditionalFormatting sqref="N131">
    <cfRule type="containsText" dxfId="9569" priority="9856" operator="containsText" text="No se pudo ejecutar">
      <formula>NOT(ISERROR(SEARCH("No se pudo ejecutar",N131)))</formula>
    </cfRule>
    <cfRule type="containsText" dxfId="9568" priority="9857" operator="containsText" text="Pendiente">
      <formula>NOT(ISERROR(SEARCH("Pendiente",N131)))</formula>
    </cfRule>
    <cfRule type="containsText" dxfId="9567" priority="9858" operator="containsText" text="No Aplica">
      <formula>NOT(ISERROR(SEARCH("No Aplica",N131)))</formula>
    </cfRule>
    <cfRule type="containsText" dxfId="9566" priority="9859" operator="containsText" text="Fallido">
      <formula>NOT(ISERROR(SEARCH("Fallido",N131)))</formula>
    </cfRule>
    <cfRule type="containsText" dxfId="9565" priority="9860" operator="containsText" text="Éxitoso">
      <formula>NOT(ISERROR(SEARCH("Éxitoso",N131)))</formula>
    </cfRule>
  </conditionalFormatting>
  <conditionalFormatting sqref="O131">
    <cfRule type="containsText" dxfId="9564" priority="9851" operator="containsText" text="No se pudo ejecutar">
      <formula>NOT(ISERROR(SEARCH("No se pudo ejecutar",O131)))</formula>
    </cfRule>
    <cfRule type="containsText" dxfId="9563" priority="9852" operator="containsText" text="Pendiente">
      <formula>NOT(ISERROR(SEARCH("Pendiente",O131)))</formula>
    </cfRule>
    <cfRule type="containsText" dxfId="9562" priority="9853" operator="containsText" text="No Aplica">
      <formula>NOT(ISERROR(SEARCH("No Aplica",O131)))</formula>
    </cfRule>
    <cfRule type="containsText" dxfId="9561" priority="9854" operator="containsText" text="Fallido">
      <formula>NOT(ISERROR(SEARCH("Fallido",O131)))</formula>
    </cfRule>
    <cfRule type="containsText" dxfId="9560" priority="9855" operator="containsText" text="Éxitoso">
      <formula>NOT(ISERROR(SEARCH("Éxitoso",O131)))</formula>
    </cfRule>
  </conditionalFormatting>
  <conditionalFormatting sqref="P131">
    <cfRule type="containsText" dxfId="9559" priority="9846" operator="containsText" text="No se pudo ejecutar">
      <formula>NOT(ISERROR(SEARCH("No se pudo ejecutar",P131)))</formula>
    </cfRule>
    <cfRule type="containsText" dxfId="9558" priority="9847" operator="containsText" text="Pendiente">
      <formula>NOT(ISERROR(SEARCH("Pendiente",P131)))</formula>
    </cfRule>
    <cfRule type="containsText" dxfId="9557" priority="9848" operator="containsText" text="No Aplica">
      <formula>NOT(ISERROR(SEARCH("No Aplica",P131)))</formula>
    </cfRule>
    <cfRule type="containsText" dxfId="9556" priority="9849" operator="containsText" text="Fallido">
      <formula>NOT(ISERROR(SEARCH("Fallido",P131)))</formula>
    </cfRule>
    <cfRule type="containsText" dxfId="9555" priority="9850" operator="containsText" text="Éxitoso">
      <formula>NOT(ISERROR(SEARCH("Éxitoso",P131)))</formula>
    </cfRule>
  </conditionalFormatting>
  <conditionalFormatting sqref="Q131">
    <cfRule type="containsText" dxfId="9554" priority="9841" operator="containsText" text="No se pudo ejecutar">
      <formula>NOT(ISERROR(SEARCH("No se pudo ejecutar",Q131)))</formula>
    </cfRule>
    <cfRule type="containsText" dxfId="9553" priority="9842" operator="containsText" text="Pendiente">
      <formula>NOT(ISERROR(SEARCH("Pendiente",Q131)))</formula>
    </cfRule>
    <cfRule type="containsText" dxfId="9552" priority="9843" operator="containsText" text="No Aplica">
      <formula>NOT(ISERROR(SEARCH("No Aplica",Q131)))</formula>
    </cfRule>
    <cfRule type="containsText" dxfId="9551" priority="9844" operator="containsText" text="Fallido">
      <formula>NOT(ISERROR(SEARCH("Fallido",Q131)))</formula>
    </cfRule>
    <cfRule type="containsText" dxfId="9550" priority="9845" operator="containsText" text="Éxitoso">
      <formula>NOT(ISERROR(SEARCH("Éxitoso",Q131)))</formula>
    </cfRule>
  </conditionalFormatting>
  <conditionalFormatting sqref="R131">
    <cfRule type="containsText" dxfId="9549" priority="9836" operator="containsText" text="No se pudo ejecutar">
      <formula>NOT(ISERROR(SEARCH("No se pudo ejecutar",R131)))</formula>
    </cfRule>
    <cfRule type="containsText" dxfId="9548" priority="9837" operator="containsText" text="Pendiente">
      <formula>NOT(ISERROR(SEARCH("Pendiente",R131)))</formula>
    </cfRule>
    <cfRule type="containsText" dxfId="9547" priority="9838" operator="containsText" text="No Aplica">
      <formula>NOT(ISERROR(SEARCH("No Aplica",R131)))</formula>
    </cfRule>
    <cfRule type="containsText" dxfId="9546" priority="9839" operator="containsText" text="Fallido">
      <formula>NOT(ISERROR(SEARCH("Fallido",R131)))</formula>
    </cfRule>
    <cfRule type="containsText" dxfId="9545" priority="9840" operator="containsText" text="Éxitoso">
      <formula>NOT(ISERROR(SEARCH("Éxitoso",R131)))</formula>
    </cfRule>
  </conditionalFormatting>
  <conditionalFormatting sqref="S131">
    <cfRule type="containsText" dxfId="9544" priority="9831" operator="containsText" text="No se pudo ejecutar">
      <formula>NOT(ISERROR(SEARCH("No se pudo ejecutar",S131)))</formula>
    </cfRule>
    <cfRule type="containsText" dxfId="9543" priority="9832" operator="containsText" text="Pendiente">
      <formula>NOT(ISERROR(SEARCH("Pendiente",S131)))</formula>
    </cfRule>
    <cfRule type="containsText" dxfId="9542" priority="9833" operator="containsText" text="No Aplica">
      <formula>NOT(ISERROR(SEARCH("No Aplica",S131)))</formula>
    </cfRule>
    <cfRule type="containsText" dxfId="9541" priority="9834" operator="containsText" text="Fallido">
      <formula>NOT(ISERROR(SEARCH("Fallido",S131)))</formula>
    </cfRule>
    <cfRule type="containsText" dxfId="9540" priority="9835" operator="containsText" text="Éxitoso">
      <formula>NOT(ISERROR(SEARCH("Éxitoso",S131)))</formula>
    </cfRule>
  </conditionalFormatting>
  <conditionalFormatting sqref="T131">
    <cfRule type="containsText" dxfId="9539" priority="9826" operator="containsText" text="No se pudo ejecutar">
      <formula>NOT(ISERROR(SEARCH("No se pudo ejecutar",T131)))</formula>
    </cfRule>
    <cfRule type="containsText" dxfId="9538" priority="9827" operator="containsText" text="Pendiente">
      <formula>NOT(ISERROR(SEARCH("Pendiente",T131)))</formula>
    </cfRule>
    <cfRule type="containsText" dxfId="9537" priority="9828" operator="containsText" text="No Aplica">
      <formula>NOT(ISERROR(SEARCH("No Aplica",T131)))</formula>
    </cfRule>
    <cfRule type="containsText" dxfId="9536" priority="9829" operator="containsText" text="Fallido">
      <formula>NOT(ISERROR(SEARCH("Fallido",T131)))</formula>
    </cfRule>
    <cfRule type="containsText" dxfId="9535" priority="9830" operator="containsText" text="Éxitoso">
      <formula>NOT(ISERROR(SEARCH("Éxitoso",T131)))</formula>
    </cfRule>
  </conditionalFormatting>
  <conditionalFormatting sqref="U131">
    <cfRule type="containsText" dxfId="9534" priority="9821" operator="containsText" text="No se pudo ejecutar">
      <formula>NOT(ISERROR(SEARCH("No se pudo ejecutar",U131)))</formula>
    </cfRule>
    <cfRule type="containsText" dxfId="9533" priority="9822" operator="containsText" text="Pendiente">
      <formula>NOT(ISERROR(SEARCH("Pendiente",U131)))</formula>
    </cfRule>
    <cfRule type="containsText" dxfId="9532" priority="9823" operator="containsText" text="No Aplica">
      <formula>NOT(ISERROR(SEARCH("No Aplica",U131)))</formula>
    </cfRule>
    <cfRule type="containsText" dxfId="9531" priority="9824" operator="containsText" text="Fallido">
      <formula>NOT(ISERROR(SEARCH("Fallido",U131)))</formula>
    </cfRule>
    <cfRule type="containsText" dxfId="9530" priority="9825" operator="containsText" text="Éxitoso">
      <formula>NOT(ISERROR(SEARCH("Éxitoso",U131)))</formula>
    </cfRule>
  </conditionalFormatting>
  <conditionalFormatting sqref="V131">
    <cfRule type="containsText" dxfId="9529" priority="9816" operator="containsText" text="No se pudo ejecutar">
      <formula>NOT(ISERROR(SEARCH("No se pudo ejecutar",V131)))</formula>
    </cfRule>
    <cfRule type="containsText" dxfId="9528" priority="9817" operator="containsText" text="Pendiente">
      <formula>NOT(ISERROR(SEARCH("Pendiente",V131)))</formula>
    </cfRule>
    <cfRule type="containsText" dxfId="9527" priority="9818" operator="containsText" text="No Aplica">
      <formula>NOT(ISERROR(SEARCH("No Aplica",V131)))</formula>
    </cfRule>
    <cfRule type="containsText" dxfId="9526" priority="9819" operator="containsText" text="Fallido">
      <formula>NOT(ISERROR(SEARCH("Fallido",V131)))</formula>
    </cfRule>
    <cfRule type="containsText" dxfId="9525" priority="9820" operator="containsText" text="Éxitoso">
      <formula>NOT(ISERROR(SEARCH("Éxitoso",V131)))</formula>
    </cfRule>
  </conditionalFormatting>
  <conditionalFormatting sqref="W131">
    <cfRule type="containsText" dxfId="9524" priority="9811" operator="containsText" text="No se pudo ejecutar">
      <formula>NOT(ISERROR(SEARCH("No se pudo ejecutar",W131)))</formula>
    </cfRule>
    <cfRule type="containsText" dxfId="9523" priority="9812" operator="containsText" text="Pendiente">
      <formula>NOT(ISERROR(SEARCH("Pendiente",W131)))</formula>
    </cfRule>
    <cfRule type="containsText" dxfId="9522" priority="9813" operator="containsText" text="No Aplica">
      <formula>NOT(ISERROR(SEARCH("No Aplica",W131)))</formula>
    </cfRule>
    <cfRule type="containsText" dxfId="9521" priority="9814" operator="containsText" text="Fallido">
      <formula>NOT(ISERROR(SEARCH("Fallido",W131)))</formula>
    </cfRule>
    <cfRule type="containsText" dxfId="9520" priority="9815" operator="containsText" text="Éxitoso">
      <formula>NOT(ISERROR(SEARCH("Éxitoso",W131)))</formula>
    </cfRule>
  </conditionalFormatting>
  <conditionalFormatting sqref="M131">
    <cfRule type="containsText" dxfId="9519" priority="9806" operator="containsText" text="No se pudo ejecutar">
      <formula>NOT(ISERROR(SEARCH("No se pudo ejecutar",M131)))</formula>
    </cfRule>
    <cfRule type="containsText" dxfId="9518" priority="9807" operator="containsText" text="Pendiente">
      <formula>NOT(ISERROR(SEARCH("Pendiente",M131)))</formula>
    </cfRule>
    <cfRule type="containsText" dxfId="9517" priority="9808" operator="containsText" text="No Aplica">
      <formula>NOT(ISERROR(SEARCH("No Aplica",M131)))</formula>
    </cfRule>
    <cfRule type="containsText" dxfId="9516" priority="9809" operator="containsText" text="Fallido">
      <formula>NOT(ISERROR(SEARCH("Fallido",M131)))</formula>
    </cfRule>
    <cfRule type="containsText" dxfId="9515" priority="9810" operator="containsText" text="Éxitoso">
      <formula>NOT(ISERROR(SEARCH("Éxitoso",M131)))</formula>
    </cfRule>
  </conditionalFormatting>
  <conditionalFormatting sqref="G131">
    <cfRule type="containsText" dxfId="9514" priority="9803" operator="containsText" text="Bajo">
      <formula>NOT(ISERROR(SEARCH("Bajo",G131)))</formula>
    </cfRule>
    <cfRule type="containsText" dxfId="9513" priority="9804" operator="containsText" text="Medio">
      <formula>NOT(ISERROR(SEARCH("Medio",G131)))</formula>
    </cfRule>
    <cfRule type="containsText" dxfId="9512" priority="9805" operator="containsText" text="Alto">
      <formula>NOT(ISERROR(SEARCH("Alto",G131)))</formula>
    </cfRule>
  </conditionalFormatting>
  <conditionalFormatting sqref="N132">
    <cfRule type="containsText" dxfId="9511" priority="9798" operator="containsText" text="No se pudo ejecutar">
      <formula>NOT(ISERROR(SEARCH("No se pudo ejecutar",N132)))</formula>
    </cfRule>
    <cfRule type="containsText" dxfId="9510" priority="9799" operator="containsText" text="Pendiente">
      <formula>NOT(ISERROR(SEARCH("Pendiente",N132)))</formula>
    </cfRule>
    <cfRule type="containsText" dxfId="9509" priority="9800" operator="containsText" text="No Aplica">
      <formula>NOT(ISERROR(SEARCH("No Aplica",N132)))</formula>
    </cfRule>
    <cfRule type="containsText" dxfId="9508" priority="9801" operator="containsText" text="Fallido">
      <formula>NOT(ISERROR(SEARCH("Fallido",N132)))</formula>
    </cfRule>
    <cfRule type="containsText" dxfId="9507" priority="9802" operator="containsText" text="Éxitoso">
      <formula>NOT(ISERROR(SEARCH("Éxitoso",N132)))</formula>
    </cfRule>
  </conditionalFormatting>
  <conditionalFormatting sqref="O132">
    <cfRule type="containsText" dxfId="9506" priority="9793" operator="containsText" text="No se pudo ejecutar">
      <formula>NOT(ISERROR(SEARCH("No se pudo ejecutar",O132)))</formula>
    </cfRule>
    <cfRule type="containsText" dxfId="9505" priority="9794" operator="containsText" text="Pendiente">
      <formula>NOT(ISERROR(SEARCH("Pendiente",O132)))</formula>
    </cfRule>
    <cfRule type="containsText" dxfId="9504" priority="9795" operator="containsText" text="No Aplica">
      <formula>NOT(ISERROR(SEARCH("No Aplica",O132)))</formula>
    </cfRule>
    <cfRule type="containsText" dxfId="9503" priority="9796" operator="containsText" text="Fallido">
      <formula>NOT(ISERROR(SEARCH("Fallido",O132)))</formula>
    </cfRule>
    <cfRule type="containsText" dxfId="9502" priority="9797" operator="containsText" text="Éxitoso">
      <formula>NOT(ISERROR(SEARCH("Éxitoso",O132)))</formula>
    </cfRule>
  </conditionalFormatting>
  <conditionalFormatting sqref="P132">
    <cfRule type="containsText" dxfId="9501" priority="9788" operator="containsText" text="No se pudo ejecutar">
      <formula>NOT(ISERROR(SEARCH("No se pudo ejecutar",P132)))</formula>
    </cfRule>
    <cfRule type="containsText" dxfId="9500" priority="9789" operator="containsText" text="Pendiente">
      <formula>NOT(ISERROR(SEARCH("Pendiente",P132)))</formula>
    </cfRule>
    <cfRule type="containsText" dxfId="9499" priority="9790" operator="containsText" text="No Aplica">
      <formula>NOT(ISERROR(SEARCH("No Aplica",P132)))</formula>
    </cfRule>
    <cfRule type="containsText" dxfId="9498" priority="9791" operator="containsText" text="Fallido">
      <formula>NOT(ISERROR(SEARCH("Fallido",P132)))</formula>
    </cfRule>
    <cfRule type="containsText" dxfId="9497" priority="9792" operator="containsText" text="Éxitoso">
      <formula>NOT(ISERROR(SEARCH("Éxitoso",P132)))</formula>
    </cfRule>
  </conditionalFormatting>
  <conditionalFormatting sqref="Q132">
    <cfRule type="containsText" dxfId="9496" priority="9783" operator="containsText" text="No se pudo ejecutar">
      <formula>NOT(ISERROR(SEARCH("No se pudo ejecutar",Q132)))</formula>
    </cfRule>
    <cfRule type="containsText" dxfId="9495" priority="9784" operator="containsText" text="Pendiente">
      <formula>NOT(ISERROR(SEARCH("Pendiente",Q132)))</formula>
    </cfRule>
    <cfRule type="containsText" dxfId="9494" priority="9785" operator="containsText" text="No Aplica">
      <formula>NOT(ISERROR(SEARCH("No Aplica",Q132)))</formula>
    </cfRule>
    <cfRule type="containsText" dxfId="9493" priority="9786" operator="containsText" text="Fallido">
      <formula>NOT(ISERROR(SEARCH("Fallido",Q132)))</formula>
    </cfRule>
    <cfRule type="containsText" dxfId="9492" priority="9787" operator="containsText" text="Éxitoso">
      <formula>NOT(ISERROR(SEARCH("Éxitoso",Q132)))</formula>
    </cfRule>
  </conditionalFormatting>
  <conditionalFormatting sqref="R132">
    <cfRule type="containsText" dxfId="9491" priority="9778" operator="containsText" text="No se pudo ejecutar">
      <formula>NOT(ISERROR(SEARCH("No se pudo ejecutar",R132)))</formula>
    </cfRule>
    <cfRule type="containsText" dxfId="9490" priority="9779" operator="containsText" text="Pendiente">
      <formula>NOT(ISERROR(SEARCH("Pendiente",R132)))</formula>
    </cfRule>
    <cfRule type="containsText" dxfId="9489" priority="9780" operator="containsText" text="No Aplica">
      <formula>NOT(ISERROR(SEARCH("No Aplica",R132)))</formula>
    </cfRule>
    <cfRule type="containsText" dxfId="9488" priority="9781" operator="containsText" text="Fallido">
      <formula>NOT(ISERROR(SEARCH("Fallido",R132)))</formula>
    </cfRule>
    <cfRule type="containsText" dxfId="9487" priority="9782" operator="containsText" text="Éxitoso">
      <formula>NOT(ISERROR(SEARCH("Éxitoso",R132)))</formula>
    </cfRule>
  </conditionalFormatting>
  <conditionalFormatting sqref="S132">
    <cfRule type="containsText" dxfId="9486" priority="9773" operator="containsText" text="No se pudo ejecutar">
      <formula>NOT(ISERROR(SEARCH("No se pudo ejecutar",S132)))</formula>
    </cfRule>
    <cfRule type="containsText" dxfId="9485" priority="9774" operator="containsText" text="Pendiente">
      <formula>NOT(ISERROR(SEARCH("Pendiente",S132)))</formula>
    </cfRule>
    <cfRule type="containsText" dxfId="9484" priority="9775" operator="containsText" text="No Aplica">
      <formula>NOT(ISERROR(SEARCH("No Aplica",S132)))</formula>
    </cfRule>
    <cfRule type="containsText" dxfId="9483" priority="9776" operator="containsText" text="Fallido">
      <formula>NOT(ISERROR(SEARCH("Fallido",S132)))</formula>
    </cfRule>
    <cfRule type="containsText" dxfId="9482" priority="9777" operator="containsText" text="Éxitoso">
      <formula>NOT(ISERROR(SEARCH("Éxitoso",S132)))</formula>
    </cfRule>
  </conditionalFormatting>
  <conditionalFormatting sqref="T132">
    <cfRule type="containsText" dxfId="9481" priority="9768" operator="containsText" text="No se pudo ejecutar">
      <formula>NOT(ISERROR(SEARCH("No se pudo ejecutar",T132)))</formula>
    </cfRule>
    <cfRule type="containsText" dxfId="9480" priority="9769" operator="containsText" text="Pendiente">
      <formula>NOT(ISERROR(SEARCH("Pendiente",T132)))</formula>
    </cfRule>
    <cfRule type="containsText" dxfId="9479" priority="9770" operator="containsText" text="No Aplica">
      <formula>NOT(ISERROR(SEARCH("No Aplica",T132)))</formula>
    </cfRule>
    <cfRule type="containsText" dxfId="9478" priority="9771" operator="containsText" text="Fallido">
      <formula>NOT(ISERROR(SEARCH("Fallido",T132)))</formula>
    </cfRule>
    <cfRule type="containsText" dxfId="9477" priority="9772" operator="containsText" text="Éxitoso">
      <formula>NOT(ISERROR(SEARCH("Éxitoso",T132)))</formula>
    </cfRule>
  </conditionalFormatting>
  <conditionalFormatting sqref="U132">
    <cfRule type="containsText" dxfId="9476" priority="9763" operator="containsText" text="No se pudo ejecutar">
      <formula>NOT(ISERROR(SEARCH("No se pudo ejecutar",U132)))</formula>
    </cfRule>
    <cfRule type="containsText" dxfId="9475" priority="9764" operator="containsText" text="Pendiente">
      <formula>NOT(ISERROR(SEARCH("Pendiente",U132)))</formula>
    </cfRule>
    <cfRule type="containsText" dxfId="9474" priority="9765" operator="containsText" text="No Aplica">
      <formula>NOT(ISERROR(SEARCH("No Aplica",U132)))</formula>
    </cfRule>
    <cfRule type="containsText" dxfId="9473" priority="9766" operator="containsText" text="Fallido">
      <formula>NOT(ISERROR(SEARCH("Fallido",U132)))</formula>
    </cfRule>
    <cfRule type="containsText" dxfId="9472" priority="9767" operator="containsText" text="Éxitoso">
      <formula>NOT(ISERROR(SEARCH("Éxitoso",U132)))</formula>
    </cfRule>
  </conditionalFormatting>
  <conditionalFormatting sqref="V132">
    <cfRule type="containsText" dxfId="9471" priority="9758" operator="containsText" text="No se pudo ejecutar">
      <formula>NOT(ISERROR(SEARCH("No se pudo ejecutar",V132)))</formula>
    </cfRule>
    <cfRule type="containsText" dxfId="9470" priority="9759" operator="containsText" text="Pendiente">
      <formula>NOT(ISERROR(SEARCH("Pendiente",V132)))</formula>
    </cfRule>
    <cfRule type="containsText" dxfId="9469" priority="9760" operator="containsText" text="No Aplica">
      <formula>NOT(ISERROR(SEARCH("No Aplica",V132)))</formula>
    </cfRule>
    <cfRule type="containsText" dxfId="9468" priority="9761" operator="containsText" text="Fallido">
      <formula>NOT(ISERROR(SEARCH("Fallido",V132)))</formula>
    </cfRule>
    <cfRule type="containsText" dxfId="9467" priority="9762" operator="containsText" text="Éxitoso">
      <formula>NOT(ISERROR(SEARCH("Éxitoso",V132)))</formula>
    </cfRule>
  </conditionalFormatting>
  <conditionalFormatting sqref="W132">
    <cfRule type="containsText" dxfId="9466" priority="9753" operator="containsText" text="No se pudo ejecutar">
      <formula>NOT(ISERROR(SEARCH("No se pudo ejecutar",W132)))</formula>
    </cfRule>
    <cfRule type="containsText" dxfId="9465" priority="9754" operator="containsText" text="Pendiente">
      <formula>NOT(ISERROR(SEARCH("Pendiente",W132)))</formula>
    </cfRule>
    <cfRule type="containsText" dxfId="9464" priority="9755" operator="containsText" text="No Aplica">
      <formula>NOT(ISERROR(SEARCH("No Aplica",W132)))</formula>
    </cfRule>
    <cfRule type="containsText" dxfId="9463" priority="9756" operator="containsText" text="Fallido">
      <formula>NOT(ISERROR(SEARCH("Fallido",W132)))</formula>
    </cfRule>
    <cfRule type="containsText" dxfId="9462" priority="9757" operator="containsText" text="Éxitoso">
      <formula>NOT(ISERROR(SEARCH("Éxitoso",W132)))</formula>
    </cfRule>
  </conditionalFormatting>
  <conditionalFormatting sqref="M132">
    <cfRule type="containsText" dxfId="9461" priority="9748" operator="containsText" text="No se pudo ejecutar">
      <formula>NOT(ISERROR(SEARCH("No se pudo ejecutar",M132)))</formula>
    </cfRule>
    <cfRule type="containsText" dxfId="9460" priority="9749" operator="containsText" text="Pendiente">
      <formula>NOT(ISERROR(SEARCH("Pendiente",M132)))</formula>
    </cfRule>
    <cfRule type="containsText" dxfId="9459" priority="9750" operator="containsText" text="No Aplica">
      <formula>NOT(ISERROR(SEARCH("No Aplica",M132)))</formula>
    </cfRule>
    <cfRule type="containsText" dxfId="9458" priority="9751" operator="containsText" text="Fallido">
      <formula>NOT(ISERROR(SEARCH("Fallido",M132)))</formula>
    </cfRule>
    <cfRule type="containsText" dxfId="9457" priority="9752" operator="containsText" text="Éxitoso">
      <formula>NOT(ISERROR(SEARCH("Éxitoso",M132)))</formula>
    </cfRule>
  </conditionalFormatting>
  <conditionalFormatting sqref="G132">
    <cfRule type="containsText" dxfId="9456" priority="9745" operator="containsText" text="Bajo">
      <formula>NOT(ISERROR(SEARCH("Bajo",G132)))</formula>
    </cfRule>
    <cfRule type="containsText" dxfId="9455" priority="9746" operator="containsText" text="Medio">
      <formula>NOT(ISERROR(SEARCH("Medio",G132)))</formula>
    </cfRule>
    <cfRule type="containsText" dxfId="9454" priority="9747" operator="containsText" text="Alto">
      <formula>NOT(ISERROR(SEARCH("Alto",G132)))</formula>
    </cfRule>
  </conditionalFormatting>
  <conditionalFormatting sqref="N133">
    <cfRule type="containsText" dxfId="9453" priority="9740" operator="containsText" text="No se pudo ejecutar">
      <formula>NOT(ISERROR(SEARCH("No se pudo ejecutar",N133)))</formula>
    </cfRule>
    <cfRule type="containsText" dxfId="9452" priority="9741" operator="containsText" text="Pendiente">
      <formula>NOT(ISERROR(SEARCH("Pendiente",N133)))</formula>
    </cfRule>
    <cfRule type="containsText" dxfId="9451" priority="9742" operator="containsText" text="No Aplica">
      <formula>NOT(ISERROR(SEARCH("No Aplica",N133)))</formula>
    </cfRule>
    <cfRule type="containsText" dxfId="9450" priority="9743" operator="containsText" text="Fallido">
      <formula>NOT(ISERROR(SEARCH("Fallido",N133)))</formula>
    </cfRule>
    <cfRule type="containsText" dxfId="9449" priority="9744" operator="containsText" text="Éxitoso">
      <formula>NOT(ISERROR(SEARCH("Éxitoso",N133)))</formula>
    </cfRule>
  </conditionalFormatting>
  <conditionalFormatting sqref="O133">
    <cfRule type="containsText" dxfId="9448" priority="9735" operator="containsText" text="No se pudo ejecutar">
      <formula>NOT(ISERROR(SEARCH("No se pudo ejecutar",O133)))</formula>
    </cfRule>
    <cfRule type="containsText" dxfId="9447" priority="9736" operator="containsText" text="Pendiente">
      <formula>NOT(ISERROR(SEARCH("Pendiente",O133)))</formula>
    </cfRule>
    <cfRule type="containsText" dxfId="9446" priority="9737" operator="containsText" text="No Aplica">
      <formula>NOT(ISERROR(SEARCH("No Aplica",O133)))</formula>
    </cfRule>
    <cfRule type="containsText" dxfId="9445" priority="9738" operator="containsText" text="Fallido">
      <formula>NOT(ISERROR(SEARCH("Fallido",O133)))</formula>
    </cfRule>
    <cfRule type="containsText" dxfId="9444" priority="9739" operator="containsText" text="Éxitoso">
      <formula>NOT(ISERROR(SEARCH("Éxitoso",O133)))</formula>
    </cfRule>
  </conditionalFormatting>
  <conditionalFormatting sqref="P133">
    <cfRule type="containsText" dxfId="9443" priority="9730" operator="containsText" text="No se pudo ejecutar">
      <formula>NOT(ISERROR(SEARCH("No se pudo ejecutar",P133)))</formula>
    </cfRule>
    <cfRule type="containsText" dxfId="9442" priority="9731" operator="containsText" text="Pendiente">
      <formula>NOT(ISERROR(SEARCH("Pendiente",P133)))</formula>
    </cfRule>
    <cfRule type="containsText" dxfId="9441" priority="9732" operator="containsText" text="No Aplica">
      <formula>NOT(ISERROR(SEARCH("No Aplica",P133)))</formula>
    </cfRule>
    <cfRule type="containsText" dxfId="9440" priority="9733" operator="containsText" text="Fallido">
      <formula>NOT(ISERROR(SEARCH("Fallido",P133)))</formula>
    </cfRule>
    <cfRule type="containsText" dxfId="9439" priority="9734" operator="containsText" text="Éxitoso">
      <formula>NOT(ISERROR(SEARCH("Éxitoso",P133)))</formula>
    </cfRule>
  </conditionalFormatting>
  <conditionalFormatting sqref="Q133">
    <cfRule type="containsText" dxfId="9438" priority="9725" operator="containsText" text="No se pudo ejecutar">
      <formula>NOT(ISERROR(SEARCH("No se pudo ejecutar",Q133)))</formula>
    </cfRule>
    <cfRule type="containsText" dxfId="9437" priority="9726" operator="containsText" text="Pendiente">
      <formula>NOT(ISERROR(SEARCH("Pendiente",Q133)))</formula>
    </cfRule>
    <cfRule type="containsText" dxfId="9436" priority="9727" operator="containsText" text="No Aplica">
      <formula>NOT(ISERROR(SEARCH("No Aplica",Q133)))</formula>
    </cfRule>
    <cfRule type="containsText" dxfId="9435" priority="9728" operator="containsText" text="Fallido">
      <formula>NOT(ISERROR(SEARCH("Fallido",Q133)))</formula>
    </cfRule>
    <cfRule type="containsText" dxfId="9434" priority="9729" operator="containsText" text="Éxitoso">
      <formula>NOT(ISERROR(SEARCH("Éxitoso",Q133)))</formula>
    </cfRule>
  </conditionalFormatting>
  <conditionalFormatting sqref="R133">
    <cfRule type="containsText" dxfId="9433" priority="9720" operator="containsText" text="No se pudo ejecutar">
      <formula>NOT(ISERROR(SEARCH("No se pudo ejecutar",R133)))</formula>
    </cfRule>
    <cfRule type="containsText" dxfId="9432" priority="9721" operator="containsText" text="Pendiente">
      <formula>NOT(ISERROR(SEARCH("Pendiente",R133)))</formula>
    </cfRule>
    <cfRule type="containsText" dxfId="9431" priority="9722" operator="containsText" text="No Aplica">
      <formula>NOT(ISERROR(SEARCH("No Aplica",R133)))</formula>
    </cfRule>
    <cfRule type="containsText" dxfId="9430" priority="9723" operator="containsText" text="Fallido">
      <formula>NOT(ISERROR(SEARCH("Fallido",R133)))</formula>
    </cfRule>
    <cfRule type="containsText" dxfId="9429" priority="9724" operator="containsText" text="Éxitoso">
      <formula>NOT(ISERROR(SEARCH("Éxitoso",R133)))</formula>
    </cfRule>
  </conditionalFormatting>
  <conditionalFormatting sqref="S133">
    <cfRule type="containsText" dxfId="9428" priority="9715" operator="containsText" text="No se pudo ejecutar">
      <formula>NOT(ISERROR(SEARCH("No se pudo ejecutar",S133)))</formula>
    </cfRule>
    <cfRule type="containsText" dxfId="9427" priority="9716" operator="containsText" text="Pendiente">
      <formula>NOT(ISERROR(SEARCH("Pendiente",S133)))</formula>
    </cfRule>
    <cfRule type="containsText" dxfId="9426" priority="9717" operator="containsText" text="No Aplica">
      <formula>NOT(ISERROR(SEARCH("No Aplica",S133)))</formula>
    </cfRule>
    <cfRule type="containsText" dxfId="9425" priority="9718" operator="containsText" text="Fallido">
      <formula>NOT(ISERROR(SEARCH("Fallido",S133)))</formula>
    </cfRule>
    <cfRule type="containsText" dxfId="9424" priority="9719" operator="containsText" text="Éxitoso">
      <formula>NOT(ISERROR(SEARCH("Éxitoso",S133)))</formula>
    </cfRule>
  </conditionalFormatting>
  <conditionalFormatting sqref="T133">
    <cfRule type="containsText" dxfId="9423" priority="9710" operator="containsText" text="No se pudo ejecutar">
      <formula>NOT(ISERROR(SEARCH("No se pudo ejecutar",T133)))</formula>
    </cfRule>
    <cfRule type="containsText" dxfId="9422" priority="9711" operator="containsText" text="Pendiente">
      <formula>NOT(ISERROR(SEARCH("Pendiente",T133)))</formula>
    </cfRule>
    <cfRule type="containsText" dxfId="9421" priority="9712" operator="containsText" text="No Aplica">
      <formula>NOT(ISERROR(SEARCH("No Aplica",T133)))</formula>
    </cfRule>
    <cfRule type="containsText" dxfId="9420" priority="9713" operator="containsText" text="Fallido">
      <formula>NOT(ISERROR(SEARCH("Fallido",T133)))</formula>
    </cfRule>
    <cfRule type="containsText" dxfId="9419" priority="9714" operator="containsText" text="Éxitoso">
      <formula>NOT(ISERROR(SEARCH("Éxitoso",T133)))</formula>
    </cfRule>
  </conditionalFormatting>
  <conditionalFormatting sqref="U133">
    <cfRule type="containsText" dxfId="9418" priority="9705" operator="containsText" text="No se pudo ejecutar">
      <formula>NOT(ISERROR(SEARCH("No se pudo ejecutar",U133)))</formula>
    </cfRule>
    <cfRule type="containsText" dxfId="9417" priority="9706" operator="containsText" text="Pendiente">
      <formula>NOT(ISERROR(SEARCH("Pendiente",U133)))</formula>
    </cfRule>
    <cfRule type="containsText" dxfId="9416" priority="9707" operator="containsText" text="No Aplica">
      <formula>NOT(ISERROR(SEARCH("No Aplica",U133)))</formula>
    </cfRule>
    <cfRule type="containsText" dxfId="9415" priority="9708" operator="containsText" text="Fallido">
      <formula>NOT(ISERROR(SEARCH("Fallido",U133)))</formula>
    </cfRule>
    <cfRule type="containsText" dxfId="9414" priority="9709" operator="containsText" text="Éxitoso">
      <formula>NOT(ISERROR(SEARCH("Éxitoso",U133)))</formula>
    </cfRule>
  </conditionalFormatting>
  <conditionalFormatting sqref="V133">
    <cfRule type="containsText" dxfId="9413" priority="9700" operator="containsText" text="No se pudo ejecutar">
      <formula>NOT(ISERROR(SEARCH("No se pudo ejecutar",V133)))</formula>
    </cfRule>
    <cfRule type="containsText" dxfId="9412" priority="9701" operator="containsText" text="Pendiente">
      <formula>NOT(ISERROR(SEARCH("Pendiente",V133)))</formula>
    </cfRule>
    <cfRule type="containsText" dxfId="9411" priority="9702" operator="containsText" text="No Aplica">
      <formula>NOT(ISERROR(SEARCH("No Aplica",V133)))</formula>
    </cfRule>
    <cfRule type="containsText" dxfId="9410" priority="9703" operator="containsText" text="Fallido">
      <formula>NOT(ISERROR(SEARCH("Fallido",V133)))</formula>
    </cfRule>
    <cfRule type="containsText" dxfId="9409" priority="9704" operator="containsText" text="Éxitoso">
      <formula>NOT(ISERROR(SEARCH("Éxitoso",V133)))</formula>
    </cfRule>
  </conditionalFormatting>
  <conditionalFormatting sqref="W133">
    <cfRule type="containsText" dxfId="9408" priority="9695" operator="containsText" text="No se pudo ejecutar">
      <formula>NOT(ISERROR(SEARCH("No se pudo ejecutar",W133)))</formula>
    </cfRule>
    <cfRule type="containsText" dxfId="9407" priority="9696" operator="containsText" text="Pendiente">
      <formula>NOT(ISERROR(SEARCH("Pendiente",W133)))</formula>
    </cfRule>
    <cfRule type="containsText" dxfId="9406" priority="9697" operator="containsText" text="No Aplica">
      <formula>NOT(ISERROR(SEARCH("No Aplica",W133)))</formula>
    </cfRule>
    <cfRule type="containsText" dxfId="9405" priority="9698" operator="containsText" text="Fallido">
      <formula>NOT(ISERROR(SEARCH("Fallido",W133)))</formula>
    </cfRule>
    <cfRule type="containsText" dxfId="9404" priority="9699" operator="containsText" text="Éxitoso">
      <formula>NOT(ISERROR(SEARCH("Éxitoso",W133)))</formula>
    </cfRule>
  </conditionalFormatting>
  <conditionalFormatting sqref="M133">
    <cfRule type="containsText" dxfId="9403" priority="9690" operator="containsText" text="No se pudo ejecutar">
      <formula>NOT(ISERROR(SEARCH("No se pudo ejecutar",M133)))</formula>
    </cfRule>
    <cfRule type="containsText" dxfId="9402" priority="9691" operator="containsText" text="Pendiente">
      <formula>NOT(ISERROR(SEARCH("Pendiente",M133)))</formula>
    </cfRule>
    <cfRule type="containsText" dxfId="9401" priority="9692" operator="containsText" text="No Aplica">
      <formula>NOT(ISERROR(SEARCH("No Aplica",M133)))</formula>
    </cfRule>
    <cfRule type="containsText" dxfId="9400" priority="9693" operator="containsText" text="Fallido">
      <formula>NOT(ISERROR(SEARCH("Fallido",M133)))</formula>
    </cfRule>
    <cfRule type="containsText" dxfId="9399" priority="9694" operator="containsText" text="Éxitoso">
      <formula>NOT(ISERROR(SEARCH("Éxitoso",M133)))</formula>
    </cfRule>
  </conditionalFormatting>
  <conditionalFormatting sqref="G133">
    <cfRule type="containsText" dxfId="9398" priority="9687" operator="containsText" text="Bajo">
      <formula>NOT(ISERROR(SEARCH("Bajo",G133)))</formula>
    </cfRule>
    <cfRule type="containsText" dxfId="9397" priority="9688" operator="containsText" text="Medio">
      <formula>NOT(ISERROR(SEARCH("Medio",G133)))</formula>
    </cfRule>
    <cfRule type="containsText" dxfId="9396" priority="9689" operator="containsText" text="Alto">
      <formula>NOT(ISERROR(SEARCH("Alto",G133)))</formula>
    </cfRule>
  </conditionalFormatting>
  <conditionalFormatting sqref="N134">
    <cfRule type="containsText" dxfId="9395" priority="9682" operator="containsText" text="No se pudo ejecutar">
      <formula>NOT(ISERROR(SEARCH("No se pudo ejecutar",N134)))</formula>
    </cfRule>
    <cfRule type="containsText" dxfId="9394" priority="9683" operator="containsText" text="Pendiente">
      <formula>NOT(ISERROR(SEARCH("Pendiente",N134)))</formula>
    </cfRule>
    <cfRule type="containsText" dxfId="9393" priority="9684" operator="containsText" text="No Aplica">
      <formula>NOT(ISERROR(SEARCH("No Aplica",N134)))</formula>
    </cfRule>
    <cfRule type="containsText" dxfId="9392" priority="9685" operator="containsText" text="Fallido">
      <formula>NOT(ISERROR(SEARCH("Fallido",N134)))</formula>
    </cfRule>
    <cfRule type="containsText" dxfId="9391" priority="9686" operator="containsText" text="Éxitoso">
      <formula>NOT(ISERROR(SEARCH("Éxitoso",N134)))</formula>
    </cfRule>
  </conditionalFormatting>
  <conditionalFormatting sqref="O134">
    <cfRule type="containsText" dxfId="9390" priority="9677" operator="containsText" text="No se pudo ejecutar">
      <formula>NOT(ISERROR(SEARCH("No se pudo ejecutar",O134)))</formula>
    </cfRule>
    <cfRule type="containsText" dxfId="9389" priority="9678" operator="containsText" text="Pendiente">
      <formula>NOT(ISERROR(SEARCH("Pendiente",O134)))</formula>
    </cfRule>
    <cfRule type="containsText" dxfId="9388" priority="9679" operator="containsText" text="No Aplica">
      <formula>NOT(ISERROR(SEARCH("No Aplica",O134)))</formula>
    </cfRule>
    <cfRule type="containsText" dxfId="9387" priority="9680" operator="containsText" text="Fallido">
      <formula>NOT(ISERROR(SEARCH("Fallido",O134)))</formula>
    </cfRule>
    <cfRule type="containsText" dxfId="9386" priority="9681" operator="containsText" text="Éxitoso">
      <formula>NOT(ISERROR(SEARCH("Éxitoso",O134)))</formula>
    </cfRule>
  </conditionalFormatting>
  <conditionalFormatting sqref="P134">
    <cfRule type="containsText" dxfId="9385" priority="9672" operator="containsText" text="No se pudo ejecutar">
      <formula>NOT(ISERROR(SEARCH("No se pudo ejecutar",P134)))</formula>
    </cfRule>
    <cfRule type="containsText" dxfId="9384" priority="9673" operator="containsText" text="Pendiente">
      <formula>NOT(ISERROR(SEARCH("Pendiente",P134)))</formula>
    </cfRule>
    <cfRule type="containsText" dxfId="9383" priority="9674" operator="containsText" text="No Aplica">
      <formula>NOT(ISERROR(SEARCH("No Aplica",P134)))</formula>
    </cfRule>
    <cfRule type="containsText" dxfId="9382" priority="9675" operator="containsText" text="Fallido">
      <formula>NOT(ISERROR(SEARCH("Fallido",P134)))</formula>
    </cfRule>
    <cfRule type="containsText" dxfId="9381" priority="9676" operator="containsText" text="Éxitoso">
      <formula>NOT(ISERROR(SEARCH("Éxitoso",P134)))</formula>
    </cfRule>
  </conditionalFormatting>
  <conditionalFormatting sqref="Q134">
    <cfRule type="containsText" dxfId="9380" priority="9667" operator="containsText" text="No se pudo ejecutar">
      <formula>NOT(ISERROR(SEARCH("No se pudo ejecutar",Q134)))</formula>
    </cfRule>
    <cfRule type="containsText" dxfId="9379" priority="9668" operator="containsText" text="Pendiente">
      <formula>NOT(ISERROR(SEARCH("Pendiente",Q134)))</formula>
    </cfRule>
    <cfRule type="containsText" dxfId="9378" priority="9669" operator="containsText" text="No Aplica">
      <formula>NOT(ISERROR(SEARCH("No Aplica",Q134)))</formula>
    </cfRule>
    <cfRule type="containsText" dxfId="9377" priority="9670" operator="containsText" text="Fallido">
      <formula>NOT(ISERROR(SEARCH("Fallido",Q134)))</formula>
    </cfRule>
    <cfRule type="containsText" dxfId="9376" priority="9671" operator="containsText" text="Éxitoso">
      <formula>NOT(ISERROR(SEARCH("Éxitoso",Q134)))</formula>
    </cfRule>
  </conditionalFormatting>
  <conditionalFormatting sqref="R134">
    <cfRule type="containsText" dxfId="9375" priority="9662" operator="containsText" text="No se pudo ejecutar">
      <formula>NOT(ISERROR(SEARCH("No se pudo ejecutar",R134)))</formula>
    </cfRule>
    <cfRule type="containsText" dxfId="9374" priority="9663" operator="containsText" text="Pendiente">
      <formula>NOT(ISERROR(SEARCH("Pendiente",R134)))</formula>
    </cfRule>
    <cfRule type="containsText" dxfId="9373" priority="9664" operator="containsText" text="No Aplica">
      <formula>NOT(ISERROR(SEARCH("No Aplica",R134)))</formula>
    </cfRule>
    <cfRule type="containsText" dxfId="9372" priority="9665" operator="containsText" text="Fallido">
      <formula>NOT(ISERROR(SEARCH("Fallido",R134)))</formula>
    </cfRule>
    <cfRule type="containsText" dxfId="9371" priority="9666" operator="containsText" text="Éxitoso">
      <formula>NOT(ISERROR(SEARCH("Éxitoso",R134)))</formula>
    </cfRule>
  </conditionalFormatting>
  <conditionalFormatting sqref="S134">
    <cfRule type="containsText" dxfId="9370" priority="9657" operator="containsText" text="No se pudo ejecutar">
      <formula>NOT(ISERROR(SEARCH("No se pudo ejecutar",S134)))</formula>
    </cfRule>
    <cfRule type="containsText" dxfId="9369" priority="9658" operator="containsText" text="Pendiente">
      <formula>NOT(ISERROR(SEARCH("Pendiente",S134)))</formula>
    </cfRule>
    <cfRule type="containsText" dxfId="9368" priority="9659" operator="containsText" text="No Aplica">
      <formula>NOT(ISERROR(SEARCH("No Aplica",S134)))</formula>
    </cfRule>
    <cfRule type="containsText" dxfId="9367" priority="9660" operator="containsText" text="Fallido">
      <formula>NOT(ISERROR(SEARCH("Fallido",S134)))</formula>
    </cfRule>
    <cfRule type="containsText" dxfId="9366" priority="9661" operator="containsText" text="Éxitoso">
      <formula>NOT(ISERROR(SEARCH("Éxitoso",S134)))</formula>
    </cfRule>
  </conditionalFormatting>
  <conditionalFormatting sqref="T134">
    <cfRule type="containsText" dxfId="9365" priority="9652" operator="containsText" text="No se pudo ejecutar">
      <formula>NOT(ISERROR(SEARCH("No se pudo ejecutar",T134)))</formula>
    </cfRule>
    <cfRule type="containsText" dxfId="9364" priority="9653" operator="containsText" text="Pendiente">
      <formula>NOT(ISERROR(SEARCH("Pendiente",T134)))</formula>
    </cfRule>
    <cfRule type="containsText" dxfId="9363" priority="9654" operator="containsText" text="No Aplica">
      <formula>NOT(ISERROR(SEARCH("No Aplica",T134)))</formula>
    </cfRule>
    <cfRule type="containsText" dxfId="9362" priority="9655" operator="containsText" text="Fallido">
      <formula>NOT(ISERROR(SEARCH("Fallido",T134)))</formula>
    </cfRule>
    <cfRule type="containsText" dxfId="9361" priority="9656" operator="containsText" text="Éxitoso">
      <formula>NOT(ISERROR(SEARCH("Éxitoso",T134)))</formula>
    </cfRule>
  </conditionalFormatting>
  <conditionalFormatting sqref="U134">
    <cfRule type="containsText" dxfId="9360" priority="9647" operator="containsText" text="No se pudo ejecutar">
      <formula>NOT(ISERROR(SEARCH("No se pudo ejecutar",U134)))</formula>
    </cfRule>
    <cfRule type="containsText" dxfId="9359" priority="9648" operator="containsText" text="Pendiente">
      <formula>NOT(ISERROR(SEARCH("Pendiente",U134)))</formula>
    </cfRule>
    <cfRule type="containsText" dxfId="9358" priority="9649" operator="containsText" text="No Aplica">
      <formula>NOT(ISERROR(SEARCH("No Aplica",U134)))</formula>
    </cfRule>
    <cfRule type="containsText" dxfId="9357" priority="9650" operator="containsText" text="Fallido">
      <formula>NOT(ISERROR(SEARCH("Fallido",U134)))</formula>
    </cfRule>
    <cfRule type="containsText" dxfId="9356" priority="9651" operator="containsText" text="Éxitoso">
      <formula>NOT(ISERROR(SEARCH("Éxitoso",U134)))</formula>
    </cfRule>
  </conditionalFormatting>
  <conditionalFormatting sqref="V134">
    <cfRule type="containsText" dxfId="9355" priority="9642" operator="containsText" text="No se pudo ejecutar">
      <formula>NOT(ISERROR(SEARCH("No se pudo ejecutar",V134)))</formula>
    </cfRule>
    <cfRule type="containsText" dxfId="9354" priority="9643" operator="containsText" text="Pendiente">
      <formula>NOT(ISERROR(SEARCH("Pendiente",V134)))</formula>
    </cfRule>
    <cfRule type="containsText" dxfId="9353" priority="9644" operator="containsText" text="No Aplica">
      <formula>NOT(ISERROR(SEARCH("No Aplica",V134)))</formula>
    </cfRule>
    <cfRule type="containsText" dxfId="9352" priority="9645" operator="containsText" text="Fallido">
      <formula>NOT(ISERROR(SEARCH("Fallido",V134)))</formula>
    </cfRule>
    <cfRule type="containsText" dxfId="9351" priority="9646" operator="containsText" text="Éxitoso">
      <formula>NOT(ISERROR(SEARCH("Éxitoso",V134)))</formula>
    </cfRule>
  </conditionalFormatting>
  <conditionalFormatting sqref="W134">
    <cfRule type="containsText" dxfId="9350" priority="9637" operator="containsText" text="No se pudo ejecutar">
      <formula>NOT(ISERROR(SEARCH("No se pudo ejecutar",W134)))</formula>
    </cfRule>
    <cfRule type="containsText" dxfId="9349" priority="9638" operator="containsText" text="Pendiente">
      <formula>NOT(ISERROR(SEARCH("Pendiente",W134)))</formula>
    </cfRule>
    <cfRule type="containsText" dxfId="9348" priority="9639" operator="containsText" text="No Aplica">
      <formula>NOT(ISERROR(SEARCH("No Aplica",W134)))</formula>
    </cfRule>
    <cfRule type="containsText" dxfId="9347" priority="9640" operator="containsText" text="Fallido">
      <formula>NOT(ISERROR(SEARCH("Fallido",W134)))</formula>
    </cfRule>
    <cfRule type="containsText" dxfId="9346" priority="9641" operator="containsText" text="Éxitoso">
      <formula>NOT(ISERROR(SEARCH("Éxitoso",W134)))</formula>
    </cfRule>
  </conditionalFormatting>
  <conditionalFormatting sqref="M134">
    <cfRule type="containsText" dxfId="9345" priority="9632" operator="containsText" text="No se pudo ejecutar">
      <formula>NOT(ISERROR(SEARCH("No se pudo ejecutar",M134)))</formula>
    </cfRule>
    <cfRule type="containsText" dxfId="9344" priority="9633" operator="containsText" text="Pendiente">
      <formula>NOT(ISERROR(SEARCH("Pendiente",M134)))</formula>
    </cfRule>
    <cfRule type="containsText" dxfId="9343" priority="9634" operator="containsText" text="No Aplica">
      <formula>NOT(ISERROR(SEARCH("No Aplica",M134)))</formula>
    </cfRule>
    <cfRule type="containsText" dxfId="9342" priority="9635" operator="containsText" text="Fallido">
      <formula>NOT(ISERROR(SEARCH("Fallido",M134)))</formula>
    </cfRule>
    <cfRule type="containsText" dxfId="9341" priority="9636" operator="containsText" text="Éxitoso">
      <formula>NOT(ISERROR(SEARCH("Éxitoso",M134)))</formula>
    </cfRule>
  </conditionalFormatting>
  <conditionalFormatting sqref="G134">
    <cfRule type="containsText" dxfId="9340" priority="9629" operator="containsText" text="Bajo">
      <formula>NOT(ISERROR(SEARCH("Bajo",G134)))</formula>
    </cfRule>
    <cfRule type="containsText" dxfId="9339" priority="9630" operator="containsText" text="Medio">
      <formula>NOT(ISERROR(SEARCH("Medio",G134)))</formula>
    </cfRule>
    <cfRule type="containsText" dxfId="9338" priority="9631" operator="containsText" text="Alto">
      <formula>NOT(ISERROR(SEARCH("Alto",G134)))</formula>
    </cfRule>
  </conditionalFormatting>
  <conditionalFormatting sqref="N135">
    <cfRule type="containsText" dxfId="9337" priority="9624" operator="containsText" text="No se pudo ejecutar">
      <formula>NOT(ISERROR(SEARCH("No se pudo ejecutar",N135)))</formula>
    </cfRule>
    <cfRule type="containsText" dxfId="9336" priority="9625" operator="containsText" text="Pendiente">
      <formula>NOT(ISERROR(SEARCH("Pendiente",N135)))</formula>
    </cfRule>
    <cfRule type="containsText" dxfId="9335" priority="9626" operator="containsText" text="No Aplica">
      <formula>NOT(ISERROR(SEARCH("No Aplica",N135)))</formula>
    </cfRule>
    <cfRule type="containsText" dxfId="9334" priority="9627" operator="containsText" text="Fallido">
      <formula>NOT(ISERROR(SEARCH("Fallido",N135)))</formula>
    </cfRule>
    <cfRule type="containsText" dxfId="9333" priority="9628" operator="containsText" text="Éxitoso">
      <formula>NOT(ISERROR(SEARCH("Éxitoso",N135)))</formula>
    </cfRule>
  </conditionalFormatting>
  <conditionalFormatting sqref="O135">
    <cfRule type="containsText" dxfId="9332" priority="9619" operator="containsText" text="No se pudo ejecutar">
      <formula>NOT(ISERROR(SEARCH("No se pudo ejecutar",O135)))</formula>
    </cfRule>
    <cfRule type="containsText" dxfId="9331" priority="9620" operator="containsText" text="Pendiente">
      <formula>NOT(ISERROR(SEARCH("Pendiente",O135)))</formula>
    </cfRule>
    <cfRule type="containsText" dxfId="9330" priority="9621" operator="containsText" text="No Aplica">
      <formula>NOT(ISERROR(SEARCH("No Aplica",O135)))</formula>
    </cfRule>
    <cfRule type="containsText" dxfId="9329" priority="9622" operator="containsText" text="Fallido">
      <formula>NOT(ISERROR(SEARCH("Fallido",O135)))</formula>
    </cfRule>
    <cfRule type="containsText" dxfId="9328" priority="9623" operator="containsText" text="Éxitoso">
      <formula>NOT(ISERROR(SEARCH("Éxitoso",O135)))</formula>
    </cfRule>
  </conditionalFormatting>
  <conditionalFormatting sqref="P135">
    <cfRule type="containsText" dxfId="9327" priority="9614" operator="containsText" text="No se pudo ejecutar">
      <formula>NOT(ISERROR(SEARCH("No se pudo ejecutar",P135)))</formula>
    </cfRule>
    <cfRule type="containsText" dxfId="9326" priority="9615" operator="containsText" text="Pendiente">
      <formula>NOT(ISERROR(SEARCH("Pendiente",P135)))</formula>
    </cfRule>
    <cfRule type="containsText" dxfId="9325" priority="9616" operator="containsText" text="No Aplica">
      <formula>NOT(ISERROR(SEARCH("No Aplica",P135)))</formula>
    </cfRule>
    <cfRule type="containsText" dxfId="9324" priority="9617" operator="containsText" text="Fallido">
      <formula>NOT(ISERROR(SEARCH("Fallido",P135)))</formula>
    </cfRule>
    <cfRule type="containsText" dxfId="9323" priority="9618" operator="containsText" text="Éxitoso">
      <formula>NOT(ISERROR(SEARCH("Éxitoso",P135)))</formula>
    </cfRule>
  </conditionalFormatting>
  <conditionalFormatting sqref="Q135">
    <cfRule type="containsText" dxfId="9322" priority="9609" operator="containsText" text="No se pudo ejecutar">
      <formula>NOT(ISERROR(SEARCH("No se pudo ejecutar",Q135)))</formula>
    </cfRule>
    <cfRule type="containsText" dxfId="9321" priority="9610" operator="containsText" text="Pendiente">
      <formula>NOT(ISERROR(SEARCH("Pendiente",Q135)))</formula>
    </cfRule>
    <cfRule type="containsText" dxfId="9320" priority="9611" operator="containsText" text="No Aplica">
      <formula>NOT(ISERROR(SEARCH("No Aplica",Q135)))</formula>
    </cfRule>
    <cfRule type="containsText" dxfId="9319" priority="9612" operator="containsText" text="Fallido">
      <formula>NOT(ISERROR(SEARCH("Fallido",Q135)))</formula>
    </cfRule>
    <cfRule type="containsText" dxfId="9318" priority="9613" operator="containsText" text="Éxitoso">
      <formula>NOT(ISERROR(SEARCH("Éxitoso",Q135)))</formula>
    </cfRule>
  </conditionalFormatting>
  <conditionalFormatting sqref="R135">
    <cfRule type="containsText" dxfId="9317" priority="9604" operator="containsText" text="No se pudo ejecutar">
      <formula>NOT(ISERROR(SEARCH("No se pudo ejecutar",R135)))</formula>
    </cfRule>
    <cfRule type="containsText" dxfId="9316" priority="9605" operator="containsText" text="Pendiente">
      <formula>NOT(ISERROR(SEARCH("Pendiente",R135)))</formula>
    </cfRule>
    <cfRule type="containsText" dxfId="9315" priority="9606" operator="containsText" text="No Aplica">
      <formula>NOT(ISERROR(SEARCH("No Aplica",R135)))</formula>
    </cfRule>
    <cfRule type="containsText" dxfId="9314" priority="9607" operator="containsText" text="Fallido">
      <formula>NOT(ISERROR(SEARCH("Fallido",R135)))</formula>
    </cfRule>
    <cfRule type="containsText" dxfId="9313" priority="9608" operator="containsText" text="Éxitoso">
      <formula>NOT(ISERROR(SEARCH("Éxitoso",R135)))</formula>
    </cfRule>
  </conditionalFormatting>
  <conditionalFormatting sqref="S135">
    <cfRule type="containsText" dxfId="9312" priority="9599" operator="containsText" text="No se pudo ejecutar">
      <formula>NOT(ISERROR(SEARCH("No se pudo ejecutar",S135)))</formula>
    </cfRule>
    <cfRule type="containsText" dxfId="9311" priority="9600" operator="containsText" text="Pendiente">
      <formula>NOT(ISERROR(SEARCH("Pendiente",S135)))</formula>
    </cfRule>
    <cfRule type="containsText" dxfId="9310" priority="9601" operator="containsText" text="No Aplica">
      <formula>NOT(ISERROR(SEARCH("No Aplica",S135)))</formula>
    </cfRule>
    <cfRule type="containsText" dxfId="9309" priority="9602" operator="containsText" text="Fallido">
      <formula>NOT(ISERROR(SEARCH("Fallido",S135)))</formula>
    </cfRule>
    <cfRule type="containsText" dxfId="9308" priority="9603" operator="containsText" text="Éxitoso">
      <formula>NOT(ISERROR(SEARCH("Éxitoso",S135)))</formula>
    </cfRule>
  </conditionalFormatting>
  <conditionalFormatting sqref="T135">
    <cfRule type="containsText" dxfId="9307" priority="9594" operator="containsText" text="No se pudo ejecutar">
      <formula>NOT(ISERROR(SEARCH("No se pudo ejecutar",T135)))</formula>
    </cfRule>
    <cfRule type="containsText" dxfId="9306" priority="9595" operator="containsText" text="Pendiente">
      <formula>NOT(ISERROR(SEARCH("Pendiente",T135)))</formula>
    </cfRule>
    <cfRule type="containsText" dxfId="9305" priority="9596" operator="containsText" text="No Aplica">
      <formula>NOT(ISERROR(SEARCH("No Aplica",T135)))</formula>
    </cfRule>
    <cfRule type="containsText" dxfId="9304" priority="9597" operator="containsText" text="Fallido">
      <formula>NOT(ISERROR(SEARCH("Fallido",T135)))</formula>
    </cfRule>
    <cfRule type="containsText" dxfId="9303" priority="9598" operator="containsText" text="Éxitoso">
      <formula>NOT(ISERROR(SEARCH("Éxitoso",T135)))</formula>
    </cfRule>
  </conditionalFormatting>
  <conditionalFormatting sqref="U135">
    <cfRule type="containsText" dxfId="9302" priority="9589" operator="containsText" text="No se pudo ejecutar">
      <formula>NOT(ISERROR(SEARCH("No se pudo ejecutar",U135)))</formula>
    </cfRule>
    <cfRule type="containsText" dxfId="9301" priority="9590" operator="containsText" text="Pendiente">
      <formula>NOT(ISERROR(SEARCH("Pendiente",U135)))</formula>
    </cfRule>
    <cfRule type="containsText" dxfId="9300" priority="9591" operator="containsText" text="No Aplica">
      <formula>NOT(ISERROR(SEARCH("No Aplica",U135)))</formula>
    </cfRule>
    <cfRule type="containsText" dxfId="9299" priority="9592" operator="containsText" text="Fallido">
      <formula>NOT(ISERROR(SEARCH("Fallido",U135)))</formula>
    </cfRule>
    <cfRule type="containsText" dxfId="9298" priority="9593" operator="containsText" text="Éxitoso">
      <formula>NOT(ISERROR(SEARCH("Éxitoso",U135)))</formula>
    </cfRule>
  </conditionalFormatting>
  <conditionalFormatting sqref="V135">
    <cfRule type="containsText" dxfId="9297" priority="9584" operator="containsText" text="No se pudo ejecutar">
      <formula>NOT(ISERROR(SEARCH("No se pudo ejecutar",V135)))</formula>
    </cfRule>
    <cfRule type="containsText" dxfId="9296" priority="9585" operator="containsText" text="Pendiente">
      <formula>NOT(ISERROR(SEARCH("Pendiente",V135)))</formula>
    </cfRule>
    <cfRule type="containsText" dxfId="9295" priority="9586" operator="containsText" text="No Aplica">
      <formula>NOT(ISERROR(SEARCH("No Aplica",V135)))</formula>
    </cfRule>
    <cfRule type="containsText" dxfId="9294" priority="9587" operator="containsText" text="Fallido">
      <formula>NOT(ISERROR(SEARCH("Fallido",V135)))</formula>
    </cfRule>
    <cfRule type="containsText" dxfId="9293" priority="9588" operator="containsText" text="Éxitoso">
      <formula>NOT(ISERROR(SEARCH("Éxitoso",V135)))</formula>
    </cfRule>
  </conditionalFormatting>
  <conditionalFormatting sqref="W135">
    <cfRule type="containsText" dxfId="9292" priority="9579" operator="containsText" text="No se pudo ejecutar">
      <formula>NOT(ISERROR(SEARCH("No se pudo ejecutar",W135)))</formula>
    </cfRule>
    <cfRule type="containsText" dxfId="9291" priority="9580" operator="containsText" text="Pendiente">
      <formula>NOT(ISERROR(SEARCH("Pendiente",W135)))</formula>
    </cfRule>
    <cfRule type="containsText" dxfId="9290" priority="9581" operator="containsText" text="No Aplica">
      <formula>NOT(ISERROR(SEARCH("No Aplica",W135)))</formula>
    </cfRule>
    <cfRule type="containsText" dxfId="9289" priority="9582" operator="containsText" text="Fallido">
      <formula>NOT(ISERROR(SEARCH("Fallido",W135)))</formula>
    </cfRule>
    <cfRule type="containsText" dxfId="9288" priority="9583" operator="containsText" text="Éxitoso">
      <formula>NOT(ISERROR(SEARCH("Éxitoso",W135)))</formula>
    </cfRule>
  </conditionalFormatting>
  <conditionalFormatting sqref="M135">
    <cfRule type="containsText" dxfId="9287" priority="9574" operator="containsText" text="No se pudo ejecutar">
      <formula>NOT(ISERROR(SEARCH("No se pudo ejecutar",M135)))</formula>
    </cfRule>
    <cfRule type="containsText" dxfId="9286" priority="9575" operator="containsText" text="Pendiente">
      <formula>NOT(ISERROR(SEARCH("Pendiente",M135)))</formula>
    </cfRule>
    <cfRule type="containsText" dxfId="9285" priority="9576" operator="containsText" text="No Aplica">
      <formula>NOT(ISERROR(SEARCH("No Aplica",M135)))</formula>
    </cfRule>
    <cfRule type="containsText" dxfId="9284" priority="9577" operator="containsText" text="Fallido">
      <formula>NOT(ISERROR(SEARCH("Fallido",M135)))</formula>
    </cfRule>
    <cfRule type="containsText" dxfId="9283" priority="9578" operator="containsText" text="Éxitoso">
      <formula>NOT(ISERROR(SEARCH("Éxitoso",M135)))</formula>
    </cfRule>
  </conditionalFormatting>
  <conditionalFormatting sqref="G135">
    <cfRule type="containsText" dxfId="9282" priority="9571" operator="containsText" text="Bajo">
      <formula>NOT(ISERROR(SEARCH("Bajo",G135)))</formula>
    </cfRule>
    <cfRule type="containsText" dxfId="9281" priority="9572" operator="containsText" text="Medio">
      <formula>NOT(ISERROR(SEARCH("Medio",G135)))</formula>
    </cfRule>
    <cfRule type="containsText" dxfId="9280" priority="9573" operator="containsText" text="Alto">
      <formula>NOT(ISERROR(SEARCH("Alto",G135)))</formula>
    </cfRule>
  </conditionalFormatting>
  <conditionalFormatting sqref="N136">
    <cfRule type="containsText" dxfId="9279" priority="9566" operator="containsText" text="No se pudo ejecutar">
      <formula>NOT(ISERROR(SEARCH("No se pudo ejecutar",N136)))</formula>
    </cfRule>
    <cfRule type="containsText" dxfId="9278" priority="9567" operator="containsText" text="Pendiente">
      <formula>NOT(ISERROR(SEARCH("Pendiente",N136)))</formula>
    </cfRule>
    <cfRule type="containsText" dxfId="9277" priority="9568" operator="containsText" text="No Aplica">
      <formula>NOT(ISERROR(SEARCH("No Aplica",N136)))</formula>
    </cfRule>
    <cfRule type="containsText" dxfId="9276" priority="9569" operator="containsText" text="Fallido">
      <formula>NOT(ISERROR(SEARCH("Fallido",N136)))</formula>
    </cfRule>
    <cfRule type="containsText" dxfId="9275" priority="9570" operator="containsText" text="Éxitoso">
      <formula>NOT(ISERROR(SEARCH("Éxitoso",N136)))</formula>
    </cfRule>
  </conditionalFormatting>
  <conditionalFormatting sqref="O136">
    <cfRule type="containsText" dxfId="9274" priority="9561" operator="containsText" text="No se pudo ejecutar">
      <formula>NOT(ISERROR(SEARCH("No se pudo ejecutar",O136)))</formula>
    </cfRule>
    <cfRule type="containsText" dxfId="9273" priority="9562" operator="containsText" text="Pendiente">
      <formula>NOT(ISERROR(SEARCH("Pendiente",O136)))</formula>
    </cfRule>
    <cfRule type="containsText" dxfId="9272" priority="9563" operator="containsText" text="No Aplica">
      <formula>NOT(ISERROR(SEARCH("No Aplica",O136)))</formula>
    </cfRule>
    <cfRule type="containsText" dxfId="9271" priority="9564" operator="containsText" text="Fallido">
      <formula>NOT(ISERROR(SEARCH("Fallido",O136)))</formula>
    </cfRule>
    <cfRule type="containsText" dxfId="9270" priority="9565" operator="containsText" text="Éxitoso">
      <formula>NOT(ISERROR(SEARCH("Éxitoso",O136)))</formula>
    </cfRule>
  </conditionalFormatting>
  <conditionalFormatting sqref="P136">
    <cfRule type="containsText" dxfId="9269" priority="9556" operator="containsText" text="No se pudo ejecutar">
      <formula>NOT(ISERROR(SEARCH("No se pudo ejecutar",P136)))</formula>
    </cfRule>
    <cfRule type="containsText" dxfId="9268" priority="9557" operator="containsText" text="Pendiente">
      <formula>NOT(ISERROR(SEARCH("Pendiente",P136)))</formula>
    </cfRule>
    <cfRule type="containsText" dxfId="9267" priority="9558" operator="containsText" text="No Aplica">
      <formula>NOT(ISERROR(SEARCH("No Aplica",P136)))</formula>
    </cfRule>
    <cfRule type="containsText" dxfId="9266" priority="9559" operator="containsText" text="Fallido">
      <formula>NOT(ISERROR(SEARCH("Fallido",P136)))</formula>
    </cfRule>
    <cfRule type="containsText" dxfId="9265" priority="9560" operator="containsText" text="Éxitoso">
      <formula>NOT(ISERROR(SEARCH("Éxitoso",P136)))</formula>
    </cfRule>
  </conditionalFormatting>
  <conditionalFormatting sqref="Q136">
    <cfRule type="containsText" dxfId="9264" priority="9551" operator="containsText" text="No se pudo ejecutar">
      <formula>NOT(ISERROR(SEARCH("No se pudo ejecutar",Q136)))</formula>
    </cfRule>
    <cfRule type="containsText" dxfId="9263" priority="9552" operator="containsText" text="Pendiente">
      <formula>NOT(ISERROR(SEARCH("Pendiente",Q136)))</formula>
    </cfRule>
    <cfRule type="containsText" dxfId="9262" priority="9553" operator="containsText" text="No Aplica">
      <formula>NOT(ISERROR(SEARCH("No Aplica",Q136)))</formula>
    </cfRule>
    <cfRule type="containsText" dxfId="9261" priority="9554" operator="containsText" text="Fallido">
      <formula>NOT(ISERROR(SEARCH("Fallido",Q136)))</formula>
    </cfRule>
    <cfRule type="containsText" dxfId="9260" priority="9555" operator="containsText" text="Éxitoso">
      <formula>NOT(ISERROR(SEARCH("Éxitoso",Q136)))</formula>
    </cfRule>
  </conditionalFormatting>
  <conditionalFormatting sqref="R136">
    <cfRule type="containsText" dxfId="9259" priority="9546" operator="containsText" text="No se pudo ejecutar">
      <formula>NOT(ISERROR(SEARCH("No se pudo ejecutar",R136)))</formula>
    </cfRule>
    <cfRule type="containsText" dxfId="9258" priority="9547" operator="containsText" text="Pendiente">
      <formula>NOT(ISERROR(SEARCH("Pendiente",R136)))</formula>
    </cfRule>
    <cfRule type="containsText" dxfId="9257" priority="9548" operator="containsText" text="No Aplica">
      <formula>NOT(ISERROR(SEARCH("No Aplica",R136)))</formula>
    </cfRule>
    <cfRule type="containsText" dxfId="9256" priority="9549" operator="containsText" text="Fallido">
      <formula>NOT(ISERROR(SEARCH("Fallido",R136)))</formula>
    </cfRule>
    <cfRule type="containsText" dxfId="9255" priority="9550" operator="containsText" text="Éxitoso">
      <formula>NOT(ISERROR(SEARCH("Éxitoso",R136)))</formula>
    </cfRule>
  </conditionalFormatting>
  <conditionalFormatting sqref="S136">
    <cfRule type="containsText" dxfId="9254" priority="9541" operator="containsText" text="No se pudo ejecutar">
      <formula>NOT(ISERROR(SEARCH("No se pudo ejecutar",S136)))</formula>
    </cfRule>
    <cfRule type="containsText" dxfId="9253" priority="9542" operator="containsText" text="Pendiente">
      <formula>NOT(ISERROR(SEARCH("Pendiente",S136)))</formula>
    </cfRule>
    <cfRule type="containsText" dxfId="9252" priority="9543" operator="containsText" text="No Aplica">
      <formula>NOT(ISERROR(SEARCH("No Aplica",S136)))</formula>
    </cfRule>
    <cfRule type="containsText" dxfId="9251" priority="9544" operator="containsText" text="Fallido">
      <formula>NOT(ISERROR(SEARCH("Fallido",S136)))</formula>
    </cfRule>
    <cfRule type="containsText" dxfId="9250" priority="9545" operator="containsText" text="Éxitoso">
      <formula>NOT(ISERROR(SEARCH("Éxitoso",S136)))</formula>
    </cfRule>
  </conditionalFormatting>
  <conditionalFormatting sqref="T136">
    <cfRule type="containsText" dxfId="9249" priority="9536" operator="containsText" text="No se pudo ejecutar">
      <formula>NOT(ISERROR(SEARCH("No se pudo ejecutar",T136)))</formula>
    </cfRule>
    <cfRule type="containsText" dxfId="9248" priority="9537" operator="containsText" text="Pendiente">
      <formula>NOT(ISERROR(SEARCH("Pendiente",T136)))</formula>
    </cfRule>
    <cfRule type="containsText" dxfId="9247" priority="9538" operator="containsText" text="No Aplica">
      <formula>NOT(ISERROR(SEARCH("No Aplica",T136)))</formula>
    </cfRule>
    <cfRule type="containsText" dxfId="9246" priority="9539" operator="containsText" text="Fallido">
      <formula>NOT(ISERROR(SEARCH("Fallido",T136)))</formula>
    </cfRule>
    <cfRule type="containsText" dxfId="9245" priority="9540" operator="containsText" text="Éxitoso">
      <formula>NOT(ISERROR(SEARCH("Éxitoso",T136)))</formula>
    </cfRule>
  </conditionalFormatting>
  <conditionalFormatting sqref="U136">
    <cfRule type="containsText" dxfId="9244" priority="9531" operator="containsText" text="No se pudo ejecutar">
      <formula>NOT(ISERROR(SEARCH("No se pudo ejecutar",U136)))</formula>
    </cfRule>
    <cfRule type="containsText" dxfId="9243" priority="9532" operator="containsText" text="Pendiente">
      <formula>NOT(ISERROR(SEARCH("Pendiente",U136)))</formula>
    </cfRule>
    <cfRule type="containsText" dxfId="9242" priority="9533" operator="containsText" text="No Aplica">
      <formula>NOT(ISERROR(SEARCH("No Aplica",U136)))</formula>
    </cfRule>
    <cfRule type="containsText" dxfId="9241" priority="9534" operator="containsText" text="Fallido">
      <formula>NOT(ISERROR(SEARCH("Fallido",U136)))</formula>
    </cfRule>
    <cfRule type="containsText" dxfId="9240" priority="9535" operator="containsText" text="Éxitoso">
      <formula>NOT(ISERROR(SEARCH("Éxitoso",U136)))</formula>
    </cfRule>
  </conditionalFormatting>
  <conditionalFormatting sqref="V136">
    <cfRule type="containsText" dxfId="9239" priority="9526" operator="containsText" text="No se pudo ejecutar">
      <formula>NOT(ISERROR(SEARCH("No se pudo ejecutar",V136)))</formula>
    </cfRule>
    <cfRule type="containsText" dxfId="9238" priority="9527" operator="containsText" text="Pendiente">
      <formula>NOT(ISERROR(SEARCH("Pendiente",V136)))</formula>
    </cfRule>
    <cfRule type="containsText" dxfId="9237" priority="9528" operator="containsText" text="No Aplica">
      <formula>NOT(ISERROR(SEARCH("No Aplica",V136)))</formula>
    </cfRule>
    <cfRule type="containsText" dxfId="9236" priority="9529" operator="containsText" text="Fallido">
      <formula>NOT(ISERROR(SEARCH("Fallido",V136)))</formula>
    </cfRule>
    <cfRule type="containsText" dxfId="9235" priority="9530" operator="containsText" text="Éxitoso">
      <formula>NOT(ISERROR(SEARCH("Éxitoso",V136)))</formula>
    </cfRule>
  </conditionalFormatting>
  <conditionalFormatting sqref="W136">
    <cfRule type="containsText" dxfId="9234" priority="9521" operator="containsText" text="No se pudo ejecutar">
      <formula>NOT(ISERROR(SEARCH("No se pudo ejecutar",W136)))</formula>
    </cfRule>
    <cfRule type="containsText" dxfId="9233" priority="9522" operator="containsText" text="Pendiente">
      <formula>NOT(ISERROR(SEARCH("Pendiente",W136)))</formula>
    </cfRule>
    <cfRule type="containsText" dxfId="9232" priority="9523" operator="containsText" text="No Aplica">
      <formula>NOT(ISERROR(SEARCH("No Aplica",W136)))</formula>
    </cfRule>
    <cfRule type="containsText" dxfId="9231" priority="9524" operator="containsText" text="Fallido">
      <formula>NOT(ISERROR(SEARCH("Fallido",W136)))</formula>
    </cfRule>
    <cfRule type="containsText" dxfId="9230" priority="9525" operator="containsText" text="Éxitoso">
      <formula>NOT(ISERROR(SEARCH("Éxitoso",W136)))</formula>
    </cfRule>
  </conditionalFormatting>
  <conditionalFormatting sqref="M136">
    <cfRule type="containsText" dxfId="9229" priority="9516" operator="containsText" text="No se pudo ejecutar">
      <formula>NOT(ISERROR(SEARCH("No se pudo ejecutar",M136)))</formula>
    </cfRule>
    <cfRule type="containsText" dxfId="9228" priority="9517" operator="containsText" text="Pendiente">
      <formula>NOT(ISERROR(SEARCH("Pendiente",M136)))</formula>
    </cfRule>
    <cfRule type="containsText" dxfId="9227" priority="9518" operator="containsText" text="No Aplica">
      <formula>NOT(ISERROR(SEARCH("No Aplica",M136)))</formula>
    </cfRule>
    <cfRule type="containsText" dxfId="9226" priority="9519" operator="containsText" text="Fallido">
      <formula>NOT(ISERROR(SEARCH("Fallido",M136)))</formula>
    </cfRule>
    <cfRule type="containsText" dxfId="9225" priority="9520" operator="containsText" text="Éxitoso">
      <formula>NOT(ISERROR(SEARCH("Éxitoso",M136)))</formula>
    </cfRule>
  </conditionalFormatting>
  <conditionalFormatting sqref="G136">
    <cfRule type="containsText" dxfId="9224" priority="9513" operator="containsText" text="Bajo">
      <formula>NOT(ISERROR(SEARCH("Bajo",G136)))</formula>
    </cfRule>
    <cfRule type="containsText" dxfId="9223" priority="9514" operator="containsText" text="Medio">
      <formula>NOT(ISERROR(SEARCH("Medio",G136)))</formula>
    </cfRule>
    <cfRule type="containsText" dxfId="9222" priority="9515" operator="containsText" text="Alto">
      <formula>NOT(ISERROR(SEARCH("Alto",G136)))</formula>
    </cfRule>
  </conditionalFormatting>
  <conditionalFormatting sqref="N137">
    <cfRule type="containsText" dxfId="9221" priority="9508" operator="containsText" text="No se pudo ejecutar">
      <formula>NOT(ISERROR(SEARCH("No se pudo ejecutar",N137)))</formula>
    </cfRule>
    <cfRule type="containsText" dxfId="9220" priority="9509" operator="containsText" text="Pendiente">
      <formula>NOT(ISERROR(SEARCH("Pendiente",N137)))</formula>
    </cfRule>
    <cfRule type="containsText" dxfId="9219" priority="9510" operator="containsText" text="No Aplica">
      <formula>NOT(ISERROR(SEARCH("No Aplica",N137)))</formula>
    </cfRule>
    <cfRule type="containsText" dxfId="9218" priority="9511" operator="containsText" text="Fallido">
      <formula>NOT(ISERROR(SEARCH("Fallido",N137)))</formula>
    </cfRule>
    <cfRule type="containsText" dxfId="9217" priority="9512" operator="containsText" text="Éxitoso">
      <formula>NOT(ISERROR(SEARCH("Éxitoso",N137)))</formula>
    </cfRule>
  </conditionalFormatting>
  <conditionalFormatting sqref="O137">
    <cfRule type="containsText" dxfId="9216" priority="9503" operator="containsText" text="No se pudo ejecutar">
      <formula>NOT(ISERROR(SEARCH("No se pudo ejecutar",O137)))</formula>
    </cfRule>
    <cfRule type="containsText" dxfId="9215" priority="9504" operator="containsText" text="Pendiente">
      <formula>NOT(ISERROR(SEARCH("Pendiente",O137)))</formula>
    </cfRule>
    <cfRule type="containsText" dxfId="9214" priority="9505" operator="containsText" text="No Aplica">
      <formula>NOT(ISERROR(SEARCH("No Aplica",O137)))</formula>
    </cfRule>
    <cfRule type="containsText" dxfId="9213" priority="9506" operator="containsText" text="Fallido">
      <formula>NOT(ISERROR(SEARCH("Fallido",O137)))</formula>
    </cfRule>
    <cfRule type="containsText" dxfId="9212" priority="9507" operator="containsText" text="Éxitoso">
      <formula>NOT(ISERROR(SEARCH("Éxitoso",O137)))</formula>
    </cfRule>
  </conditionalFormatting>
  <conditionalFormatting sqref="P137">
    <cfRule type="containsText" dxfId="9211" priority="9498" operator="containsText" text="No se pudo ejecutar">
      <formula>NOT(ISERROR(SEARCH("No se pudo ejecutar",P137)))</formula>
    </cfRule>
    <cfRule type="containsText" dxfId="9210" priority="9499" operator="containsText" text="Pendiente">
      <formula>NOT(ISERROR(SEARCH("Pendiente",P137)))</formula>
    </cfRule>
    <cfRule type="containsText" dxfId="9209" priority="9500" operator="containsText" text="No Aplica">
      <formula>NOT(ISERROR(SEARCH("No Aplica",P137)))</formula>
    </cfRule>
    <cfRule type="containsText" dxfId="9208" priority="9501" operator="containsText" text="Fallido">
      <formula>NOT(ISERROR(SEARCH("Fallido",P137)))</formula>
    </cfRule>
    <cfRule type="containsText" dxfId="9207" priority="9502" operator="containsText" text="Éxitoso">
      <formula>NOT(ISERROR(SEARCH("Éxitoso",P137)))</formula>
    </cfRule>
  </conditionalFormatting>
  <conditionalFormatting sqref="Q137">
    <cfRule type="containsText" dxfId="9206" priority="9493" operator="containsText" text="No se pudo ejecutar">
      <formula>NOT(ISERROR(SEARCH("No se pudo ejecutar",Q137)))</formula>
    </cfRule>
    <cfRule type="containsText" dxfId="9205" priority="9494" operator="containsText" text="Pendiente">
      <formula>NOT(ISERROR(SEARCH("Pendiente",Q137)))</formula>
    </cfRule>
    <cfRule type="containsText" dxfId="9204" priority="9495" operator="containsText" text="No Aplica">
      <formula>NOT(ISERROR(SEARCH("No Aplica",Q137)))</formula>
    </cfRule>
    <cfRule type="containsText" dxfId="9203" priority="9496" operator="containsText" text="Fallido">
      <formula>NOT(ISERROR(SEARCH("Fallido",Q137)))</formula>
    </cfRule>
    <cfRule type="containsText" dxfId="9202" priority="9497" operator="containsText" text="Éxitoso">
      <formula>NOT(ISERROR(SEARCH("Éxitoso",Q137)))</formula>
    </cfRule>
  </conditionalFormatting>
  <conditionalFormatting sqref="R137">
    <cfRule type="containsText" dxfId="9201" priority="9488" operator="containsText" text="No se pudo ejecutar">
      <formula>NOT(ISERROR(SEARCH("No se pudo ejecutar",R137)))</formula>
    </cfRule>
    <cfRule type="containsText" dxfId="9200" priority="9489" operator="containsText" text="Pendiente">
      <formula>NOT(ISERROR(SEARCH("Pendiente",R137)))</formula>
    </cfRule>
    <cfRule type="containsText" dxfId="9199" priority="9490" operator="containsText" text="No Aplica">
      <formula>NOT(ISERROR(SEARCH("No Aplica",R137)))</formula>
    </cfRule>
    <cfRule type="containsText" dxfId="9198" priority="9491" operator="containsText" text="Fallido">
      <formula>NOT(ISERROR(SEARCH("Fallido",R137)))</formula>
    </cfRule>
    <cfRule type="containsText" dxfId="9197" priority="9492" operator="containsText" text="Éxitoso">
      <formula>NOT(ISERROR(SEARCH("Éxitoso",R137)))</formula>
    </cfRule>
  </conditionalFormatting>
  <conditionalFormatting sqref="S137">
    <cfRule type="containsText" dxfId="9196" priority="9483" operator="containsText" text="No se pudo ejecutar">
      <formula>NOT(ISERROR(SEARCH("No se pudo ejecutar",S137)))</formula>
    </cfRule>
    <cfRule type="containsText" dxfId="9195" priority="9484" operator="containsText" text="Pendiente">
      <formula>NOT(ISERROR(SEARCH("Pendiente",S137)))</formula>
    </cfRule>
    <cfRule type="containsText" dxfId="9194" priority="9485" operator="containsText" text="No Aplica">
      <formula>NOT(ISERROR(SEARCH("No Aplica",S137)))</formula>
    </cfRule>
    <cfRule type="containsText" dxfId="9193" priority="9486" operator="containsText" text="Fallido">
      <formula>NOT(ISERROR(SEARCH("Fallido",S137)))</formula>
    </cfRule>
    <cfRule type="containsText" dxfId="9192" priority="9487" operator="containsText" text="Éxitoso">
      <formula>NOT(ISERROR(SEARCH("Éxitoso",S137)))</formula>
    </cfRule>
  </conditionalFormatting>
  <conditionalFormatting sqref="T137">
    <cfRule type="containsText" dxfId="9191" priority="9478" operator="containsText" text="No se pudo ejecutar">
      <formula>NOT(ISERROR(SEARCH("No se pudo ejecutar",T137)))</formula>
    </cfRule>
    <cfRule type="containsText" dxfId="9190" priority="9479" operator="containsText" text="Pendiente">
      <formula>NOT(ISERROR(SEARCH("Pendiente",T137)))</formula>
    </cfRule>
    <cfRule type="containsText" dxfId="9189" priority="9480" operator="containsText" text="No Aplica">
      <formula>NOT(ISERROR(SEARCH("No Aplica",T137)))</formula>
    </cfRule>
    <cfRule type="containsText" dxfId="9188" priority="9481" operator="containsText" text="Fallido">
      <formula>NOT(ISERROR(SEARCH("Fallido",T137)))</formula>
    </cfRule>
    <cfRule type="containsText" dxfId="9187" priority="9482" operator="containsText" text="Éxitoso">
      <formula>NOT(ISERROR(SEARCH("Éxitoso",T137)))</formula>
    </cfRule>
  </conditionalFormatting>
  <conditionalFormatting sqref="U137">
    <cfRule type="containsText" dxfId="9186" priority="9473" operator="containsText" text="No se pudo ejecutar">
      <formula>NOT(ISERROR(SEARCH("No se pudo ejecutar",U137)))</formula>
    </cfRule>
    <cfRule type="containsText" dxfId="9185" priority="9474" operator="containsText" text="Pendiente">
      <formula>NOT(ISERROR(SEARCH("Pendiente",U137)))</formula>
    </cfRule>
    <cfRule type="containsText" dxfId="9184" priority="9475" operator="containsText" text="No Aplica">
      <formula>NOT(ISERROR(SEARCH("No Aplica",U137)))</formula>
    </cfRule>
    <cfRule type="containsText" dxfId="9183" priority="9476" operator="containsText" text="Fallido">
      <formula>NOT(ISERROR(SEARCH("Fallido",U137)))</formula>
    </cfRule>
    <cfRule type="containsText" dxfId="9182" priority="9477" operator="containsText" text="Éxitoso">
      <formula>NOT(ISERROR(SEARCH("Éxitoso",U137)))</formula>
    </cfRule>
  </conditionalFormatting>
  <conditionalFormatting sqref="V137">
    <cfRule type="containsText" dxfId="9181" priority="9468" operator="containsText" text="No se pudo ejecutar">
      <formula>NOT(ISERROR(SEARCH("No se pudo ejecutar",V137)))</formula>
    </cfRule>
    <cfRule type="containsText" dxfId="9180" priority="9469" operator="containsText" text="Pendiente">
      <formula>NOT(ISERROR(SEARCH("Pendiente",V137)))</formula>
    </cfRule>
    <cfRule type="containsText" dxfId="9179" priority="9470" operator="containsText" text="No Aplica">
      <formula>NOT(ISERROR(SEARCH("No Aplica",V137)))</formula>
    </cfRule>
    <cfRule type="containsText" dxfId="9178" priority="9471" operator="containsText" text="Fallido">
      <formula>NOT(ISERROR(SEARCH("Fallido",V137)))</formula>
    </cfRule>
    <cfRule type="containsText" dxfId="9177" priority="9472" operator="containsText" text="Éxitoso">
      <formula>NOT(ISERROR(SEARCH("Éxitoso",V137)))</formula>
    </cfRule>
  </conditionalFormatting>
  <conditionalFormatting sqref="W137">
    <cfRule type="containsText" dxfId="9176" priority="9463" operator="containsText" text="No se pudo ejecutar">
      <formula>NOT(ISERROR(SEARCH("No se pudo ejecutar",W137)))</formula>
    </cfRule>
    <cfRule type="containsText" dxfId="9175" priority="9464" operator="containsText" text="Pendiente">
      <formula>NOT(ISERROR(SEARCH("Pendiente",W137)))</formula>
    </cfRule>
    <cfRule type="containsText" dxfId="9174" priority="9465" operator="containsText" text="No Aplica">
      <formula>NOT(ISERROR(SEARCH("No Aplica",W137)))</formula>
    </cfRule>
    <cfRule type="containsText" dxfId="9173" priority="9466" operator="containsText" text="Fallido">
      <formula>NOT(ISERROR(SEARCH("Fallido",W137)))</formula>
    </cfRule>
    <cfRule type="containsText" dxfId="9172" priority="9467" operator="containsText" text="Éxitoso">
      <formula>NOT(ISERROR(SEARCH("Éxitoso",W137)))</formula>
    </cfRule>
  </conditionalFormatting>
  <conditionalFormatting sqref="M137">
    <cfRule type="containsText" dxfId="9171" priority="9458" operator="containsText" text="No se pudo ejecutar">
      <formula>NOT(ISERROR(SEARCH("No se pudo ejecutar",M137)))</formula>
    </cfRule>
    <cfRule type="containsText" dxfId="9170" priority="9459" operator="containsText" text="Pendiente">
      <formula>NOT(ISERROR(SEARCH("Pendiente",M137)))</formula>
    </cfRule>
    <cfRule type="containsText" dxfId="9169" priority="9460" operator="containsText" text="No Aplica">
      <formula>NOT(ISERROR(SEARCH("No Aplica",M137)))</formula>
    </cfRule>
    <cfRule type="containsText" dxfId="9168" priority="9461" operator="containsText" text="Fallido">
      <formula>NOT(ISERROR(SEARCH("Fallido",M137)))</formula>
    </cfRule>
    <cfRule type="containsText" dxfId="9167" priority="9462" operator="containsText" text="Éxitoso">
      <formula>NOT(ISERROR(SEARCH("Éxitoso",M137)))</formula>
    </cfRule>
  </conditionalFormatting>
  <conditionalFormatting sqref="G137">
    <cfRule type="containsText" dxfId="9166" priority="9455" operator="containsText" text="Bajo">
      <formula>NOT(ISERROR(SEARCH("Bajo",G137)))</formula>
    </cfRule>
    <cfRule type="containsText" dxfId="9165" priority="9456" operator="containsText" text="Medio">
      <formula>NOT(ISERROR(SEARCH("Medio",G137)))</formula>
    </cfRule>
    <cfRule type="containsText" dxfId="9164" priority="9457" operator="containsText" text="Alto">
      <formula>NOT(ISERROR(SEARCH("Alto",G137)))</formula>
    </cfRule>
  </conditionalFormatting>
  <conditionalFormatting sqref="N138">
    <cfRule type="containsText" dxfId="9163" priority="9450" operator="containsText" text="No se pudo ejecutar">
      <formula>NOT(ISERROR(SEARCH("No se pudo ejecutar",N138)))</formula>
    </cfRule>
    <cfRule type="containsText" dxfId="9162" priority="9451" operator="containsText" text="Pendiente">
      <formula>NOT(ISERROR(SEARCH("Pendiente",N138)))</formula>
    </cfRule>
    <cfRule type="containsText" dxfId="9161" priority="9452" operator="containsText" text="No Aplica">
      <formula>NOT(ISERROR(SEARCH("No Aplica",N138)))</formula>
    </cfRule>
    <cfRule type="containsText" dxfId="9160" priority="9453" operator="containsText" text="Fallido">
      <formula>NOT(ISERROR(SEARCH("Fallido",N138)))</formula>
    </cfRule>
    <cfRule type="containsText" dxfId="9159" priority="9454" operator="containsText" text="Éxitoso">
      <formula>NOT(ISERROR(SEARCH("Éxitoso",N138)))</formula>
    </cfRule>
  </conditionalFormatting>
  <conditionalFormatting sqref="O138">
    <cfRule type="containsText" dxfId="9158" priority="9445" operator="containsText" text="No se pudo ejecutar">
      <formula>NOT(ISERROR(SEARCH("No se pudo ejecutar",O138)))</formula>
    </cfRule>
    <cfRule type="containsText" dxfId="9157" priority="9446" operator="containsText" text="Pendiente">
      <formula>NOT(ISERROR(SEARCH("Pendiente",O138)))</formula>
    </cfRule>
    <cfRule type="containsText" dxfId="9156" priority="9447" operator="containsText" text="No Aplica">
      <formula>NOT(ISERROR(SEARCH("No Aplica",O138)))</formula>
    </cfRule>
    <cfRule type="containsText" dxfId="9155" priority="9448" operator="containsText" text="Fallido">
      <formula>NOT(ISERROR(SEARCH("Fallido",O138)))</formula>
    </cfRule>
    <cfRule type="containsText" dxfId="9154" priority="9449" operator="containsText" text="Éxitoso">
      <formula>NOT(ISERROR(SEARCH("Éxitoso",O138)))</formula>
    </cfRule>
  </conditionalFormatting>
  <conditionalFormatting sqref="P138">
    <cfRule type="containsText" dxfId="9153" priority="9440" operator="containsText" text="No se pudo ejecutar">
      <formula>NOT(ISERROR(SEARCH("No se pudo ejecutar",P138)))</formula>
    </cfRule>
    <cfRule type="containsText" dxfId="9152" priority="9441" operator="containsText" text="Pendiente">
      <formula>NOT(ISERROR(SEARCH("Pendiente",P138)))</formula>
    </cfRule>
    <cfRule type="containsText" dxfId="9151" priority="9442" operator="containsText" text="No Aplica">
      <formula>NOT(ISERROR(SEARCH("No Aplica",P138)))</formula>
    </cfRule>
    <cfRule type="containsText" dxfId="9150" priority="9443" operator="containsText" text="Fallido">
      <formula>NOT(ISERROR(SEARCH("Fallido",P138)))</formula>
    </cfRule>
    <cfRule type="containsText" dxfId="9149" priority="9444" operator="containsText" text="Éxitoso">
      <formula>NOT(ISERROR(SEARCH("Éxitoso",P138)))</formula>
    </cfRule>
  </conditionalFormatting>
  <conditionalFormatting sqref="Q138">
    <cfRule type="containsText" dxfId="9148" priority="9435" operator="containsText" text="No se pudo ejecutar">
      <formula>NOT(ISERROR(SEARCH("No se pudo ejecutar",Q138)))</formula>
    </cfRule>
    <cfRule type="containsText" dxfId="9147" priority="9436" operator="containsText" text="Pendiente">
      <formula>NOT(ISERROR(SEARCH("Pendiente",Q138)))</formula>
    </cfRule>
    <cfRule type="containsText" dxfId="9146" priority="9437" operator="containsText" text="No Aplica">
      <formula>NOT(ISERROR(SEARCH("No Aplica",Q138)))</formula>
    </cfRule>
    <cfRule type="containsText" dxfId="9145" priority="9438" operator="containsText" text="Fallido">
      <formula>NOT(ISERROR(SEARCH("Fallido",Q138)))</formula>
    </cfRule>
    <cfRule type="containsText" dxfId="9144" priority="9439" operator="containsText" text="Éxitoso">
      <formula>NOT(ISERROR(SEARCH("Éxitoso",Q138)))</formula>
    </cfRule>
  </conditionalFormatting>
  <conditionalFormatting sqref="R138">
    <cfRule type="containsText" dxfId="9143" priority="9430" operator="containsText" text="No se pudo ejecutar">
      <formula>NOT(ISERROR(SEARCH("No se pudo ejecutar",R138)))</formula>
    </cfRule>
    <cfRule type="containsText" dxfId="9142" priority="9431" operator="containsText" text="Pendiente">
      <formula>NOT(ISERROR(SEARCH("Pendiente",R138)))</formula>
    </cfRule>
    <cfRule type="containsText" dxfId="9141" priority="9432" operator="containsText" text="No Aplica">
      <formula>NOT(ISERROR(SEARCH("No Aplica",R138)))</formula>
    </cfRule>
    <cfRule type="containsText" dxfId="9140" priority="9433" operator="containsText" text="Fallido">
      <formula>NOT(ISERROR(SEARCH("Fallido",R138)))</formula>
    </cfRule>
    <cfRule type="containsText" dxfId="9139" priority="9434" operator="containsText" text="Éxitoso">
      <formula>NOT(ISERROR(SEARCH("Éxitoso",R138)))</formula>
    </cfRule>
  </conditionalFormatting>
  <conditionalFormatting sqref="S138">
    <cfRule type="containsText" dxfId="9138" priority="9425" operator="containsText" text="No se pudo ejecutar">
      <formula>NOT(ISERROR(SEARCH("No se pudo ejecutar",S138)))</formula>
    </cfRule>
    <cfRule type="containsText" dxfId="9137" priority="9426" operator="containsText" text="Pendiente">
      <formula>NOT(ISERROR(SEARCH("Pendiente",S138)))</formula>
    </cfRule>
    <cfRule type="containsText" dxfId="9136" priority="9427" operator="containsText" text="No Aplica">
      <formula>NOT(ISERROR(SEARCH("No Aplica",S138)))</formula>
    </cfRule>
    <cfRule type="containsText" dxfId="9135" priority="9428" operator="containsText" text="Fallido">
      <formula>NOT(ISERROR(SEARCH("Fallido",S138)))</formula>
    </cfRule>
    <cfRule type="containsText" dxfId="9134" priority="9429" operator="containsText" text="Éxitoso">
      <formula>NOT(ISERROR(SEARCH("Éxitoso",S138)))</formula>
    </cfRule>
  </conditionalFormatting>
  <conditionalFormatting sqref="T138">
    <cfRule type="containsText" dxfId="9133" priority="9420" operator="containsText" text="No se pudo ejecutar">
      <formula>NOT(ISERROR(SEARCH("No se pudo ejecutar",T138)))</formula>
    </cfRule>
    <cfRule type="containsText" dxfId="9132" priority="9421" operator="containsText" text="Pendiente">
      <formula>NOT(ISERROR(SEARCH("Pendiente",T138)))</formula>
    </cfRule>
    <cfRule type="containsText" dxfId="9131" priority="9422" operator="containsText" text="No Aplica">
      <formula>NOT(ISERROR(SEARCH("No Aplica",T138)))</formula>
    </cfRule>
    <cfRule type="containsText" dxfId="9130" priority="9423" operator="containsText" text="Fallido">
      <formula>NOT(ISERROR(SEARCH("Fallido",T138)))</formula>
    </cfRule>
    <cfRule type="containsText" dxfId="9129" priority="9424" operator="containsText" text="Éxitoso">
      <formula>NOT(ISERROR(SEARCH("Éxitoso",T138)))</formula>
    </cfRule>
  </conditionalFormatting>
  <conditionalFormatting sqref="U138">
    <cfRule type="containsText" dxfId="9128" priority="9415" operator="containsText" text="No se pudo ejecutar">
      <formula>NOT(ISERROR(SEARCH("No se pudo ejecutar",U138)))</formula>
    </cfRule>
    <cfRule type="containsText" dxfId="9127" priority="9416" operator="containsText" text="Pendiente">
      <formula>NOT(ISERROR(SEARCH("Pendiente",U138)))</formula>
    </cfRule>
    <cfRule type="containsText" dxfId="9126" priority="9417" operator="containsText" text="No Aplica">
      <formula>NOT(ISERROR(SEARCH("No Aplica",U138)))</formula>
    </cfRule>
    <cfRule type="containsText" dxfId="9125" priority="9418" operator="containsText" text="Fallido">
      <formula>NOT(ISERROR(SEARCH("Fallido",U138)))</formula>
    </cfRule>
    <cfRule type="containsText" dxfId="9124" priority="9419" operator="containsText" text="Éxitoso">
      <formula>NOT(ISERROR(SEARCH("Éxitoso",U138)))</formula>
    </cfRule>
  </conditionalFormatting>
  <conditionalFormatting sqref="V138">
    <cfRule type="containsText" dxfId="9123" priority="9410" operator="containsText" text="No se pudo ejecutar">
      <formula>NOT(ISERROR(SEARCH("No se pudo ejecutar",V138)))</formula>
    </cfRule>
    <cfRule type="containsText" dxfId="9122" priority="9411" operator="containsText" text="Pendiente">
      <formula>NOT(ISERROR(SEARCH("Pendiente",V138)))</formula>
    </cfRule>
    <cfRule type="containsText" dxfId="9121" priority="9412" operator="containsText" text="No Aplica">
      <formula>NOT(ISERROR(SEARCH("No Aplica",V138)))</formula>
    </cfRule>
    <cfRule type="containsText" dxfId="9120" priority="9413" operator="containsText" text="Fallido">
      <formula>NOT(ISERROR(SEARCH("Fallido",V138)))</formula>
    </cfRule>
    <cfRule type="containsText" dxfId="9119" priority="9414" operator="containsText" text="Éxitoso">
      <formula>NOT(ISERROR(SEARCH("Éxitoso",V138)))</formula>
    </cfRule>
  </conditionalFormatting>
  <conditionalFormatting sqref="W138">
    <cfRule type="containsText" dxfId="9118" priority="9405" operator="containsText" text="No se pudo ejecutar">
      <formula>NOT(ISERROR(SEARCH("No se pudo ejecutar",W138)))</formula>
    </cfRule>
    <cfRule type="containsText" dxfId="9117" priority="9406" operator="containsText" text="Pendiente">
      <formula>NOT(ISERROR(SEARCH("Pendiente",W138)))</formula>
    </cfRule>
    <cfRule type="containsText" dxfId="9116" priority="9407" operator="containsText" text="No Aplica">
      <formula>NOT(ISERROR(SEARCH("No Aplica",W138)))</formula>
    </cfRule>
    <cfRule type="containsText" dxfId="9115" priority="9408" operator="containsText" text="Fallido">
      <formula>NOT(ISERROR(SEARCH("Fallido",W138)))</formula>
    </cfRule>
    <cfRule type="containsText" dxfId="9114" priority="9409" operator="containsText" text="Éxitoso">
      <formula>NOT(ISERROR(SEARCH("Éxitoso",W138)))</formula>
    </cfRule>
  </conditionalFormatting>
  <conditionalFormatting sqref="M138">
    <cfRule type="containsText" dxfId="9113" priority="9400" operator="containsText" text="No se pudo ejecutar">
      <formula>NOT(ISERROR(SEARCH("No se pudo ejecutar",M138)))</formula>
    </cfRule>
    <cfRule type="containsText" dxfId="9112" priority="9401" operator="containsText" text="Pendiente">
      <formula>NOT(ISERROR(SEARCH("Pendiente",M138)))</formula>
    </cfRule>
    <cfRule type="containsText" dxfId="9111" priority="9402" operator="containsText" text="No Aplica">
      <formula>NOT(ISERROR(SEARCH("No Aplica",M138)))</formula>
    </cfRule>
    <cfRule type="containsText" dxfId="9110" priority="9403" operator="containsText" text="Fallido">
      <formula>NOT(ISERROR(SEARCH("Fallido",M138)))</formula>
    </cfRule>
    <cfRule type="containsText" dxfId="9109" priority="9404" operator="containsText" text="Éxitoso">
      <formula>NOT(ISERROR(SEARCH("Éxitoso",M138)))</formula>
    </cfRule>
  </conditionalFormatting>
  <conditionalFormatting sqref="G138">
    <cfRule type="containsText" dxfId="9108" priority="9397" operator="containsText" text="Bajo">
      <formula>NOT(ISERROR(SEARCH("Bajo",G138)))</formula>
    </cfRule>
    <cfRule type="containsText" dxfId="9107" priority="9398" operator="containsText" text="Medio">
      <formula>NOT(ISERROR(SEARCH("Medio",G138)))</formula>
    </cfRule>
    <cfRule type="containsText" dxfId="9106" priority="9399" operator="containsText" text="Alto">
      <formula>NOT(ISERROR(SEARCH("Alto",G138)))</formula>
    </cfRule>
  </conditionalFormatting>
  <conditionalFormatting sqref="N139">
    <cfRule type="containsText" dxfId="9105" priority="9392" operator="containsText" text="No se pudo ejecutar">
      <formula>NOT(ISERROR(SEARCH("No se pudo ejecutar",N139)))</formula>
    </cfRule>
    <cfRule type="containsText" dxfId="9104" priority="9393" operator="containsText" text="Pendiente">
      <formula>NOT(ISERROR(SEARCH("Pendiente",N139)))</formula>
    </cfRule>
    <cfRule type="containsText" dxfId="9103" priority="9394" operator="containsText" text="No Aplica">
      <formula>NOT(ISERROR(SEARCH("No Aplica",N139)))</formula>
    </cfRule>
    <cfRule type="containsText" dxfId="9102" priority="9395" operator="containsText" text="Fallido">
      <formula>NOT(ISERROR(SEARCH("Fallido",N139)))</formula>
    </cfRule>
    <cfRule type="containsText" dxfId="9101" priority="9396" operator="containsText" text="Éxitoso">
      <formula>NOT(ISERROR(SEARCH("Éxitoso",N139)))</formula>
    </cfRule>
  </conditionalFormatting>
  <conditionalFormatting sqref="O139">
    <cfRule type="containsText" dxfId="9100" priority="9387" operator="containsText" text="No se pudo ejecutar">
      <formula>NOT(ISERROR(SEARCH("No se pudo ejecutar",O139)))</formula>
    </cfRule>
    <cfRule type="containsText" dxfId="9099" priority="9388" operator="containsText" text="Pendiente">
      <formula>NOT(ISERROR(SEARCH("Pendiente",O139)))</formula>
    </cfRule>
    <cfRule type="containsText" dxfId="9098" priority="9389" operator="containsText" text="No Aplica">
      <formula>NOT(ISERROR(SEARCH("No Aplica",O139)))</formula>
    </cfRule>
    <cfRule type="containsText" dxfId="9097" priority="9390" operator="containsText" text="Fallido">
      <formula>NOT(ISERROR(SEARCH("Fallido",O139)))</formula>
    </cfRule>
    <cfRule type="containsText" dxfId="9096" priority="9391" operator="containsText" text="Éxitoso">
      <formula>NOT(ISERROR(SEARCH("Éxitoso",O139)))</formula>
    </cfRule>
  </conditionalFormatting>
  <conditionalFormatting sqref="P139">
    <cfRule type="containsText" dxfId="9095" priority="9382" operator="containsText" text="No se pudo ejecutar">
      <formula>NOT(ISERROR(SEARCH("No se pudo ejecutar",P139)))</formula>
    </cfRule>
    <cfRule type="containsText" dxfId="9094" priority="9383" operator="containsText" text="Pendiente">
      <formula>NOT(ISERROR(SEARCH("Pendiente",P139)))</formula>
    </cfRule>
    <cfRule type="containsText" dxfId="9093" priority="9384" operator="containsText" text="No Aplica">
      <formula>NOT(ISERROR(SEARCH("No Aplica",P139)))</formula>
    </cfRule>
    <cfRule type="containsText" dxfId="9092" priority="9385" operator="containsText" text="Fallido">
      <formula>NOT(ISERROR(SEARCH("Fallido",P139)))</formula>
    </cfRule>
    <cfRule type="containsText" dxfId="9091" priority="9386" operator="containsText" text="Éxitoso">
      <formula>NOT(ISERROR(SEARCH("Éxitoso",P139)))</formula>
    </cfRule>
  </conditionalFormatting>
  <conditionalFormatting sqref="Q139">
    <cfRule type="containsText" dxfId="9090" priority="9377" operator="containsText" text="No se pudo ejecutar">
      <formula>NOT(ISERROR(SEARCH("No se pudo ejecutar",Q139)))</formula>
    </cfRule>
    <cfRule type="containsText" dxfId="9089" priority="9378" operator="containsText" text="Pendiente">
      <formula>NOT(ISERROR(SEARCH("Pendiente",Q139)))</formula>
    </cfRule>
    <cfRule type="containsText" dxfId="9088" priority="9379" operator="containsText" text="No Aplica">
      <formula>NOT(ISERROR(SEARCH("No Aplica",Q139)))</formula>
    </cfRule>
    <cfRule type="containsText" dxfId="9087" priority="9380" operator="containsText" text="Fallido">
      <formula>NOT(ISERROR(SEARCH("Fallido",Q139)))</formula>
    </cfRule>
    <cfRule type="containsText" dxfId="9086" priority="9381" operator="containsText" text="Éxitoso">
      <formula>NOT(ISERROR(SEARCH("Éxitoso",Q139)))</formula>
    </cfRule>
  </conditionalFormatting>
  <conditionalFormatting sqref="R139">
    <cfRule type="containsText" dxfId="9085" priority="9372" operator="containsText" text="No se pudo ejecutar">
      <formula>NOT(ISERROR(SEARCH("No se pudo ejecutar",R139)))</formula>
    </cfRule>
    <cfRule type="containsText" dxfId="9084" priority="9373" operator="containsText" text="Pendiente">
      <formula>NOT(ISERROR(SEARCH("Pendiente",R139)))</formula>
    </cfRule>
    <cfRule type="containsText" dxfId="9083" priority="9374" operator="containsText" text="No Aplica">
      <formula>NOT(ISERROR(SEARCH("No Aplica",R139)))</formula>
    </cfRule>
    <cfRule type="containsText" dxfId="9082" priority="9375" operator="containsText" text="Fallido">
      <formula>NOT(ISERROR(SEARCH("Fallido",R139)))</formula>
    </cfRule>
    <cfRule type="containsText" dxfId="9081" priority="9376" operator="containsText" text="Éxitoso">
      <formula>NOT(ISERROR(SEARCH("Éxitoso",R139)))</formula>
    </cfRule>
  </conditionalFormatting>
  <conditionalFormatting sqref="S139">
    <cfRule type="containsText" dxfId="9080" priority="9367" operator="containsText" text="No se pudo ejecutar">
      <formula>NOT(ISERROR(SEARCH("No se pudo ejecutar",S139)))</formula>
    </cfRule>
    <cfRule type="containsText" dxfId="9079" priority="9368" operator="containsText" text="Pendiente">
      <formula>NOT(ISERROR(SEARCH("Pendiente",S139)))</formula>
    </cfRule>
    <cfRule type="containsText" dxfId="9078" priority="9369" operator="containsText" text="No Aplica">
      <formula>NOT(ISERROR(SEARCH("No Aplica",S139)))</formula>
    </cfRule>
    <cfRule type="containsText" dxfId="9077" priority="9370" operator="containsText" text="Fallido">
      <formula>NOT(ISERROR(SEARCH("Fallido",S139)))</formula>
    </cfRule>
    <cfRule type="containsText" dxfId="9076" priority="9371" operator="containsText" text="Éxitoso">
      <formula>NOT(ISERROR(SEARCH("Éxitoso",S139)))</formula>
    </cfRule>
  </conditionalFormatting>
  <conditionalFormatting sqref="T139">
    <cfRule type="containsText" dxfId="9075" priority="9362" operator="containsText" text="No se pudo ejecutar">
      <formula>NOT(ISERROR(SEARCH("No se pudo ejecutar",T139)))</formula>
    </cfRule>
    <cfRule type="containsText" dxfId="9074" priority="9363" operator="containsText" text="Pendiente">
      <formula>NOT(ISERROR(SEARCH("Pendiente",T139)))</formula>
    </cfRule>
    <cfRule type="containsText" dxfId="9073" priority="9364" operator="containsText" text="No Aplica">
      <formula>NOT(ISERROR(SEARCH("No Aplica",T139)))</formula>
    </cfRule>
    <cfRule type="containsText" dxfId="9072" priority="9365" operator="containsText" text="Fallido">
      <formula>NOT(ISERROR(SEARCH("Fallido",T139)))</formula>
    </cfRule>
    <cfRule type="containsText" dxfId="9071" priority="9366" operator="containsText" text="Éxitoso">
      <formula>NOT(ISERROR(SEARCH("Éxitoso",T139)))</formula>
    </cfRule>
  </conditionalFormatting>
  <conditionalFormatting sqref="U139">
    <cfRule type="containsText" dxfId="9070" priority="9357" operator="containsText" text="No se pudo ejecutar">
      <formula>NOT(ISERROR(SEARCH("No se pudo ejecutar",U139)))</formula>
    </cfRule>
    <cfRule type="containsText" dxfId="9069" priority="9358" operator="containsText" text="Pendiente">
      <formula>NOT(ISERROR(SEARCH("Pendiente",U139)))</formula>
    </cfRule>
    <cfRule type="containsText" dxfId="9068" priority="9359" operator="containsText" text="No Aplica">
      <formula>NOT(ISERROR(SEARCH("No Aplica",U139)))</formula>
    </cfRule>
    <cfRule type="containsText" dxfId="9067" priority="9360" operator="containsText" text="Fallido">
      <formula>NOT(ISERROR(SEARCH("Fallido",U139)))</formula>
    </cfRule>
    <cfRule type="containsText" dxfId="9066" priority="9361" operator="containsText" text="Éxitoso">
      <formula>NOT(ISERROR(SEARCH("Éxitoso",U139)))</formula>
    </cfRule>
  </conditionalFormatting>
  <conditionalFormatting sqref="V139">
    <cfRule type="containsText" dxfId="9065" priority="9352" operator="containsText" text="No se pudo ejecutar">
      <formula>NOT(ISERROR(SEARCH("No se pudo ejecutar",V139)))</formula>
    </cfRule>
    <cfRule type="containsText" dxfId="9064" priority="9353" operator="containsText" text="Pendiente">
      <formula>NOT(ISERROR(SEARCH("Pendiente",V139)))</formula>
    </cfRule>
    <cfRule type="containsText" dxfId="9063" priority="9354" operator="containsText" text="No Aplica">
      <formula>NOT(ISERROR(SEARCH("No Aplica",V139)))</formula>
    </cfRule>
    <cfRule type="containsText" dxfId="9062" priority="9355" operator="containsText" text="Fallido">
      <formula>NOT(ISERROR(SEARCH("Fallido",V139)))</formula>
    </cfRule>
    <cfRule type="containsText" dxfId="9061" priority="9356" operator="containsText" text="Éxitoso">
      <formula>NOT(ISERROR(SEARCH("Éxitoso",V139)))</formula>
    </cfRule>
  </conditionalFormatting>
  <conditionalFormatting sqref="W139">
    <cfRule type="containsText" dxfId="9060" priority="9347" operator="containsText" text="No se pudo ejecutar">
      <formula>NOT(ISERROR(SEARCH("No se pudo ejecutar",W139)))</formula>
    </cfRule>
    <cfRule type="containsText" dxfId="9059" priority="9348" operator="containsText" text="Pendiente">
      <formula>NOT(ISERROR(SEARCH("Pendiente",W139)))</formula>
    </cfRule>
    <cfRule type="containsText" dxfId="9058" priority="9349" operator="containsText" text="No Aplica">
      <formula>NOT(ISERROR(SEARCH("No Aplica",W139)))</formula>
    </cfRule>
    <cfRule type="containsText" dxfId="9057" priority="9350" operator="containsText" text="Fallido">
      <formula>NOT(ISERROR(SEARCH("Fallido",W139)))</formula>
    </cfRule>
    <cfRule type="containsText" dxfId="9056" priority="9351" operator="containsText" text="Éxitoso">
      <formula>NOT(ISERROR(SEARCH("Éxitoso",W139)))</formula>
    </cfRule>
  </conditionalFormatting>
  <conditionalFormatting sqref="M139">
    <cfRule type="containsText" dxfId="9055" priority="9342" operator="containsText" text="No se pudo ejecutar">
      <formula>NOT(ISERROR(SEARCH("No se pudo ejecutar",M139)))</formula>
    </cfRule>
    <cfRule type="containsText" dxfId="9054" priority="9343" operator="containsText" text="Pendiente">
      <formula>NOT(ISERROR(SEARCH("Pendiente",M139)))</formula>
    </cfRule>
    <cfRule type="containsText" dxfId="9053" priority="9344" operator="containsText" text="No Aplica">
      <formula>NOT(ISERROR(SEARCH("No Aplica",M139)))</formula>
    </cfRule>
    <cfRule type="containsText" dxfId="9052" priority="9345" operator="containsText" text="Fallido">
      <formula>NOT(ISERROR(SEARCH("Fallido",M139)))</formula>
    </cfRule>
    <cfRule type="containsText" dxfId="9051" priority="9346" operator="containsText" text="Éxitoso">
      <formula>NOT(ISERROR(SEARCH("Éxitoso",M139)))</formula>
    </cfRule>
  </conditionalFormatting>
  <conditionalFormatting sqref="G139">
    <cfRule type="containsText" dxfId="9050" priority="9339" operator="containsText" text="Bajo">
      <formula>NOT(ISERROR(SEARCH("Bajo",G139)))</formula>
    </cfRule>
    <cfRule type="containsText" dxfId="9049" priority="9340" operator="containsText" text="Medio">
      <formula>NOT(ISERROR(SEARCH("Medio",G139)))</formula>
    </cfRule>
    <cfRule type="containsText" dxfId="9048" priority="9341" operator="containsText" text="Alto">
      <formula>NOT(ISERROR(SEARCH("Alto",G139)))</formula>
    </cfRule>
  </conditionalFormatting>
  <conditionalFormatting sqref="N140">
    <cfRule type="containsText" dxfId="9047" priority="9334" operator="containsText" text="No se pudo ejecutar">
      <formula>NOT(ISERROR(SEARCH("No se pudo ejecutar",N140)))</formula>
    </cfRule>
    <cfRule type="containsText" dxfId="9046" priority="9335" operator="containsText" text="Pendiente">
      <formula>NOT(ISERROR(SEARCH("Pendiente",N140)))</formula>
    </cfRule>
    <cfRule type="containsText" dxfId="9045" priority="9336" operator="containsText" text="No Aplica">
      <formula>NOT(ISERROR(SEARCH("No Aplica",N140)))</formula>
    </cfRule>
    <cfRule type="containsText" dxfId="9044" priority="9337" operator="containsText" text="Fallido">
      <formula>NOT(ISERROR(SEARCH("Fallido",N140)))</formula>
    </cfRule>
    <cfRule type="containsText" dxfId="9043" priority="9338" operator="containsText" text="Éxitoso">
      <formula>NOT(ISERROR(SEARCH("Éxitoso",N140)))</formula>
    </cfRule>
  </conditionalFormatting>
  <conditionalFormatting sqref="O140">
    <cfRule type="containsText" dxfId="9042" priority="9329" operator="containsText" text="No se pudo ejecutar">
      <formula>NOT(ISERROR(SEARCH("No se pudo ejecutar",O140)))</formula>
    </cfRule>
    <cfRule type="containsText" dxfId="9041" priority="9330" operator="containsText" text="Pendiente">
      <formula>NOT(ISERROR(SEARCH("Pendiente",O140)))</formula>
    </cfRule>
    <cfRule type="containsText" dxfId="9040" priority="9331" operator="containsText" text="No Aplica">
      <formula>NOT(ISERROR(SEARCH("No Aplica",O140)))</formula>
    </cfRule>
    <cfRule type="containsText" dxfId="9039" priority="9332" operator="containsText" text="Fallido">
      <formula>NOT(ISERROR(SEARCH("Fallido",O140)))</formula>
    </cfRule>
    <cfRule type="containsText" dxfId="9038" priority="9333" operator="containsText" text="Éxitoso">
      <formula>NOT(ISERROR(SEARCH("Éxitoso",O140)))</formula>
    </cfRule>
  </conditionalFormatting>
  <conditionalFormatting sqref="P140">
    <cfRule type="containsText" dxfId="9037" priority="9324" operator="containsText" text="No se pudo ejecutar">
      <formula>NOT(ISERROR(SEARCH("No se pudo ejecutar",P140)))</formula>
    </cfRule>
    <cfRule type="containsText" dxfId="9036" priority="9325" operator="containsText" text="Pendiente">
      <formula>NOT(ISERROR(SEARCH("Pendiente",P140)))</formula>
    </cfRule>
    <cfRule type="containsText" dxfId="9035" priority="9326" operator="containsText" text="No Aplica">
      <formula>NOT(ISERROR(SEARCH("No Aplica",P140)))</formula>
    </cfRule>
    <cfRule type="containsText" dxfId="9034" priority="9327" operator="containsText" text="Fallido">
      <formula>NOT(ISERROR(SEARCH("Fallido",P140)))</formula>
    </cfRule>
    <cfRule type="containsText" dxfId="9033" priority="9328" operator="containsText" text="Éxitoso">
      <formula>NOT(ISERROR(SEARCH("Éxitoso",P140)))</formula>
    </cfRule>
  </conditionalFormatting>
  <conditionalFormatting sqref="Q140">
    <cfRule type="containsText" dxfId="9032" priority="9319" operator="containsText" text="No se pudo ejecutar">
      <formula>NOT(ISERROR(SEARCH("No se pudo ejecutar",Q140)))</formula>
    </cfRule>
    <cfRule type="containsText" dxfId="9031" priority="9320" operator="containsText" text="Pendiente">
      <formula>NOT(ISERROR(SEARCH("Pendiente",Q140)))</formula>
    </cfRule>
    <cfRule type="containsText" dxfId="9030" priority="9321" operator="containsText" text="No Aplica">
      <formula>NOT(ISERROR(SEARCH("No Aplica",Q140)))</formula>
    </cfRule>
    <cfRule type="containsText" dxfId="9029" priority="9322" operator="containsText" text="Fallido">
      <formula>NOT(ISERROR(SEARCH("Fallido",Q140)))</formula>
    </cfRule>
    <cfRule type="containsText" dxfId="9028" priority="9323" operator="containsText" text="Éxitoso">
      <formula>NOT(ISERROR(SEARCH("Éxitoso",Q140)))</formula>
    </cfRule>
  </conditionalFormatting>
  <conditionalFormatting sqref="R140">
    <cfRule type="containsText" dxfId="9027" priority="9314" operator="containsText" text="No se pudo ejecutar">
      <formula>NOT(ISERROR(SEARCH("No se pudo ejecutar",R140)))</formula>
    </cfRule>
    <cfRule type="containsText" dxfId="9026" priority="9315" operator="containsText" text="Pendiente">
      <formula>NOT(ISERROR(SEARCH("Pendiente",R140)))</formula>
    </cfRule>
    <cfRule type="containsText" dxfId="9025" priority="9316" operator="containsText" text="No Aplica">
      <formula>NOT(ISERROR(SEARCH("No Aplica",R140)))</formula>
    </cfRule>
    <cfRule type="containsText" dxfId="9024" priority="9317" operator="containsText" text="Fallido">
      <formula>NOT(ISERROR(SEARCH("Fallido",R140)))</formula>
    </cfRule>
    <cfRule type="containsText" dxfId="9023" priority="9318" operator="containsText" text="Éxitoso">
      <formula>NOT(ISERROR(SEARCH("Éxitoso",R140)))</formula>
    </cfRule>
  </conditionalFormatting>
  <conditionalFormatting sqref="S140">
    <cfRule type="containsText" dxfId="9022" priority="9309" operator="containsText" text="No se pudo ejecutar">
      <formula>NOT(ISERROR(SEARCH("No se pudo ejecutar",S140)))</formula>
    </cfRule>
    <cfRule type="containsText" dxfId="9021" priority="9310" operator="containsText" text="Pendiente">
      <formula>NOT(ISERROR(SEARCH("Pendiente",S140)))</formula>
    </cfRule>
    <cfRule type="containsText" dxfId="9020" priority="9311" operator="containsText" text="No Aplica">
      <formula>NOT(ISERROR(SEARCH("No Aplica",S140)))</formula>
    </cfRule>
    <cfRule type="containsText" dxfId="9019" priority="9312" operator="containsText" text="Fallido">
      <formula>NOT(ISERROR(SEARCH("Fallido",S140)))</formula>
    </cfRule>
    <cfRule type="containsText" dxfId="9018" priority="9313" operator="containsText" text="Éxitoso">
      <formula>NOT(ISERROR(SEARCH("Éxitoso",S140)))</formula>
    </cfRule>
  </conditionalFormatting>
  <conditionalFormatting sqref="T140">
    <cfRule type="containsText" dxfId="9017" priority="9304" operator="containsText" text="No se pudo ejecutar">
      <formula>NOT(ISERROR(SEARCH("No se pudo ejecutar",T140)))</formula>
    </cfRule>
    <cfRule type="containsText" dxfId="9016" priority="9305" operator="containsText" text="Pendiente">
      <formula>NOT(ISERROR(SEARCH("Pendiente",T140)))</formula>
    </cfRule>
    <cfRule type="containsText" dxfId="9015" priority="9306" operator="containsText" text="No Aplica">
      <formula>NOT(ISERROR(SEARCH("No Aplica",T140)))</formula>
    </cfRule>
    <cfRule type="containsText" dxfId="9014" priority="9307" operator="containsText" text="Fallido">
      <formula>NOT(ISERROR(SEARCH("Fallido",T140)))</formula>
    </cfRule>
    <cfRule type="containsText" dxfId="9013" priority="9308" operator="containsText" text="Éxitoso">
      <formula>NOT(ISERROR(SEARCH("Éxitoso",T140)))</formula>
    </cfRule>
  </conditionalFormatting>
  <conditionalFormatting sqref="U140">
    <cfRule type="containsText" dxfId="9012" priority="9299" operator="containsText" text="No se pudo ejecutar">
      <formula>NOT(ISERROR(SEARCH("No se pudo ejecutar",U140)))</formula>
    </cfRule>
    <cfRule type="containsText" dxfId="9011" priority="9300" operator="containsText" text="Pendiente">
      <formula>NOT(ISERROR(SEARCH("Pendiente",U140)))</formula>
    </cfRule>
    <cfRule type="containsText" dxfId="9010" priority="9301" operator="containsText" text="No Aplica">
      <formula>NOT(ISERROR(SEARCH("No Aplica",U140)))</formula>
    </cfRule>
    <cfRule type="containsText" dxfId="9009" priority="9302" operator="containsText" text="Fallido">
      <formula>NOT(ISERROR(SEARCH("Fallido",U140)))</formula>
    </cfRule>
    <cfRule type="containsText" dxfId="9008" priority="9303" operator="containsText" text="Éxitoso">
      <formula>NOT(ISERROR(SEARCH("Éxitoso",U140)))</formula>
    </cfRule>
  </conditionalFormatting>
  <conditionalFormatting sqref="V140">
    <cfRule type="containsText" dxfId="9007" priority="9294" operator="containsText" text="No se pudo ejecutar">
      <formula>NOT(ISERROR(SEARCH("No se pudo ejecutar",V140)))</formula>
    </cfRule>
    <cfRule type="containsText" dxfId="9006" priority="9295" operator="containsText" text="Pendiente">
      <formula>NOT(ISERROR(SEARCH("Pendiente",V140)))</formula>
    </cfRule>
    <cfRule type="containsText" dxfId="9005" priority="9296" operator="containsText" text="No Aplica">
      <formula>NOT(ISERROR(SEARCH("No Aplica",V140)))</formula>
    </cfRule>
    <cfRule type="containsText" dxfId="9004" priority="9297" operator="containsText" text="Fallido">
      <formula>NOT(ISERROR(SEARCH("Fallido",V140)))</formula>
    </cfRule>
    <cfRule type="containsText" dxfId="9003" priority="9298" operator="containsText" text="Éxitoso">
      <formula>NOT(ISERROR(SEARCH("Éxitoso",V140)))</formula>
    </cfRule>
  </conditionalFormatting>
  <conditionalFormatting sqref="W140">
    <cfRule type="containsText" dxfId="9002" priority="9289" operator="containsText" text="No se pudo ejecutar">
      <formula>NOT(ISERROR(SEARCH("No se pudo ejecutar",W140)))</formula>
    </cfRule>
    <cfRule type="containsText" dxfId="9001" priority="9290" operator="containsText" text="Pendiente">
      <formula>NOT(ISERROR(SEARCH("Pendiente",W140)))</formula>
    </cfRule>
    <cfRule type="containsText" dxfId="9000" priority="9291" operator="containsText" text="No Aplica">
      <formula>NOT(ISERROR(SEARCH("No Aplica",W140)))</formula>
    </cfRule>
    <cfRule type="containsText" dxfId="8999" priority="9292" operator="containsText" text="Fallido">
      <formula>NOT(ISERROR(SEARCH("Fallido",W140)))</formula>
    </cfRule>
    <cfRule type="containsText" dxfId="8998" priority="9293" operator="containsText" text="Éxitoso">
      <formula>NOT(ISERROR(SEARCH("Éxitoso",W140)))</formula>
    </cfRule>
  </conditionalFormatting>
  <conditionalFormatting sqref="M140">
    <cfRule type="containsText" dxfId="8997" priority="9284" operator="containsText" text="No se pudo ejecutar">
      <formula>NOT(ISERROR(SEARCH("No se pudo ejecutar",M140)))</formula>
    </cfRule>
    <cfRule type="containsText" dxfId="8996" priority="9285" operator="containsText" text="Pendiente">
      <formula>NOT(ISERROR(SEARCH("Pendiente",M140)))</formula>
    </cfRule>
    <cfRule type="containsText" dxfId="8995" priority="9286" operator="containsText" text="No Aplica">
      <formula>NOT(ISERROR(SEARCH("No Aplica",M140)))</formula>
    </cfRule>
    <cfRule type="containsText" dxfId="8994" priority="9287" operator="containsText" text="Fallido">
      <formula>NOT(ISERROR(SEARCH("Fallido",M140)))</formula>
    </cfRule>
    <cfRule type="containsText" dxfId="8993" priority="9288" operator="containsText" text="Éxitoso">
      <formula>NOT(ISERROR(SEARCH("Éxitoso",M140)))</formula>
    </cfRule>
  </conditionalFormatting>
  <conditionalFormatting sqref="G140">
    <cfRule type="containsText" dxfId="8992" priority="9281" operator="containsText" text="Bajo">
      <formula>NOT(ISERROR(SEARCH("Bajo",G140)))</formula>
    </cfRule>
    <cfRule type="containsText" dxfId="8991" priority="9282" operator="containsText" text="Medio">
      <formula>NOT(ISERROR(SEARCH("Medio",G140)))</formula>
    </cfRule>
    <cfRule type="containsText" dxfId="8990" priority="9283" operator="containsText" text="Alto">
      <formula>NOT(ISERROR(SEARCH("Alto",G140)))</formula>
    </cfRule>
  </conditionalFormatting>
  <conditionalFormatting sqref="N141">
    <cfRule type="containsText" dxfId="8989" priority="9276" operator="containsText" text="No se pudo ejecutar">
      <formula>NOT(ISERROR(SEARCH("No se pudo ejecutar",N141)))</formula>
    </cfRule>
    <cfRule type="containsText" dxfId="8988" priority="9277" operator="containsText" text="Pendiente">
      <formula>NOT(ISERROR(SEARCH("Pendiente",N141)))</formula>
    </cfRule>
    <cfRule type="containsText" dxfId="8987" priority="9278" operator="containsText" text="No Aplica">
      <formula>NOT(ISERROR(SEARCH("No Aplica",N141)))</formula>
    </cfRule>
    <cfRule type="containsText" dxfId="8986" priority="9279" operator="containsText" text="Fallido">
      <formula>NOT(ISERROR(SEARCH("Fallido",N141)))</formula>
    </cfRule>
    <cfRule type="containsText" dxfId="8985" priority="9280" operator="containsText" text="Éxitoso">
      <formula>NOT(ISERROR(SEARCH("Éxitoso",N141)))</formula>
    </cfRule>
  </conditionalFormatting>
  <conditionalFormatting sqref="O141">
    <cfRule type="containsText" dxfId="8984" priority="9271" operator="containsText" text="No se pudo ejecutar">
      <formula>NOT(ISERROR(SEARCH("No se pudo ejecutar",O141)))</formula>
    </cfRule>
    <cfRule type="containsText" dxfId="8983" priority="9272" operator="containsText" text="Pendiente">
      <formula>NOT(ISERROR(SEARCH("Pendiente",O141)))</formula>
    </cfRule>
    <cfRule type="containsText" dxfId="8982" priority="9273" operator="containsText" text="No Aplica">
      <formula>NOT(ISERROR(SEARCH("No Aplica",O141)))</formula>
    </cfRule>
    <cfRule type="containsText" dxfId="8981" priority="9274" operator="containsText" text="Fallido">
      <formula>NOT(ISERROR(SEARCH("Fallido",O141)))</formula>
    </cfRule>
    <cfRule type="containsText" dxfId="8980" priority="9275" operator="containsText" text="Éxitoso">
      <formula>NOT(ISERROR(SEARCH("Éxitoso",O141)))</formula>
    </cfRule>
  </conditionalFormatting>
  <conditionalFormatting sqref="P141">
    <cfRule type="containsText" dxfId="8979" priority="9266" operator="containsText" text="No se pudo ejecutar">
      <formula>NOT(ISERROR(SEARCH("No se pudo ejecutar",P141)))</formula>
    </cfRule>
    <cfRule type="containsText" dxfId="8978" priority="9267" operator="containsText" text="Pendiente">
      <formula>NOT(ISERROR(SEARCH("Pendiente",P141)))</formula>
    </cfRule>
    <cfRule type="containsText" dxfId="8977" priority="9268" operator="containsText" text="No Aplica">
      <formula>NOT(ISERROR(SEARCH("No Aplica",P141)))</formula>
    </cfRule>
    <cfRule type="containsText" dxfId="8976" priority="9269" operator="containsText" text="Fallido">
      <formula>NOT(ISERROR(SEARCH("Fallido",P141)))</formula>
    </cfRule>
    <cfRule type="containsText" dxfId="8975" priority="9270" operator="containsText" text="Éxitoso">
      <formula>NOT(ISERROR(SEARCH("Éxitoso",P141)))</formula>
    </cfRule>
  </conditionalFormatting>
  <conditionalFormatting sqref="Q141">
    <cfRule type="containsText" dxfId="8974" priority="9261" operator="containsText" text="No se pudo ejecutar">
      <formula>NOT(ISERROR(SEARCH("No se pudo ejecutar",Q141)))</formula>
    </cfRule>
    <cfRule type="containsText" dxfId="8973" priority="9262" operator="containsText" text="Pendiente">
      <formula>NOT(ISERROR(SEARCH("Pendiente",Q141)))</formula>
    </cfRule>
    <cfRule type="containsText" dxfId="8972" priority="9263" operator="containsText" text="No Aplica">
      <formula>NOT(ISERROR(SEARCH("No Aplica",Q141)))</formula>
    </cfRule>
    <cfRule type="containsText" dxfId="8971" priority="9264" operator="containsText" text="Fallido">
      <formula>NOT(ISERROR(SEARCH("Fallido",Q141)))</formula>
    </cfRule>
    <cfRule type="containsText" dxfId="8970" priority="9265" operator="containsText" text="Éxitoso">
      <formula>NOT(ISERROR(SEARCH("Éxitoso",Q141)))</formula>
    </cfRule>
  </conditionalFormatting>
  <conditionalFormatting sqref="R141">
    <cfRule type="containsText" dxfId="8969" priority="9256" operator="containsText" text="No se pudo ejecutar">
      <formula>NOT(ISERROR(SEARCH("No se pudo ejecutar",R141)))</formula>
    </cfRule>
    <cfRule type="containsText" dxfId="8968" priority="9257" operator="containsText" text="Pendiente">
      <formula>NOT(ISERROR(SEARCH("Pendiente",R141)))</formula>
    </cfRule>
    <cfRule type="containsText" dxfId="8967" priority="9258" operator="containsText" text="No Aplica">
      <formula>NOT(ISERROR(SEARCH("No Aplica",R141)))</formula>
    </cfRule>
    <cfRule type="containsText" dxfId="8966" priority="9259" operator="containsText" text="Fallido">
      <formula>NOT(ISERROR(SEARCH("Fallido",R141)))</formula>
    </cfRule>
    <cfRule type="containsText" dxfId="8965" priority="9260" operator="containsText" text="Éxitoso">
      <formula>NOT(ISERROR(SEARCH("Éxitoso",R141)))</formula>
    </cfRule>
  </conditionalFormatting>
  <conditionalFormatting sqref="S141">
    <cfRule type="containsText" dxfId="8964" priority="9251" operator="containsText" text="No se pudo ejecutar">
      <formula>NOT(ISERROR(SEARCH("No se pudo ejecutar",S141)))</formula>
    </cfRule>
    <cfRule type="containsText" dxfId="8963" priority="9252" operator="containsText" text="Pendiente">
      <formula>NOT(ISERROR(SEARCH("Pendiente",S141)))</formula>
    </cfRule>
    <cfRule type="containsText" dxfId="8962" priority="9253" operator="containsText" text="No Aplica">
      <formula>NOT(ISERROR(SEARCH("No Aplica",S141)))</formula>
    </cfRule>
    <cfRule type="containsText" dxfId="8961" priority="9254" operator="containsText" text="Fallido">
      <formula>NOT(ISERROR(SEARCH("Fallido",S141)))</formula>
    </cfRule>
    <cfRule type="containsText" dxfId="8960" priority="9255" operator="containsText" text="Éxitoso">
      <formula>NOT(ISERROR(SEARCH("Éxitoso",S141)))</formula>
    </cfRule>
  </conditionalFormatting>
  <conditionalFormatting sqref="T141">
    <cfRule type="containsText" dxfId="8959" priority="9246" operator="containsText" text="No se pudo ejecutar">
      <formula>NOT(ISERROR(SEARCH("No se pudo ejecutar",T141)))</formula>
    </cfRule>
    <cfRule type="containsText" dxfId="8958" priority="9247" operator="containsText" text="Pendiente">
      <formula>NOT(ISERROR(SEARCH("Pendiente",T141)))</formula>
    </cfRule>
    <cfRule type="containsText" dxfId="8957" priority="9248" operator="containsText" text="No Aplica">
      <formula>NOT(ISERROR(SEARCH("No Aplica",T141)))</formula>
    </cfRule>
    <cfRule type="containsText" dxfId="8956" priority="9249" operator="containsText" text="Fallido">
      <formula>NOT(ISERROR(SEARCH("Fallido",T141)))</formula>
    </cfRule>
    <cfRule type="containsText" dxfId="8955" priority="9250" operator="containsText" text="Éxitoso">
      <formula>NOT(ISERROR(SEARCH("Éxitoso",T141)))</formula>
    </cfRule>
  </conditionalFormatting>
  <conditionalFormatting sqref="U141">
    <cfRule type="containsText" dxfId="8954" priority="9241" operator="containsText" text="No se pudo ejecutar">
      <formula>NOT(ISERROR(SEARCH("No se pudo ejecutar",U141)))</formula>
    </cfRule>
    <cfRule type="containsText" dxfId="8953" priority="9242" operator="containsText" text="Pendiente">
      <formula>NOT(ISERROR(SEARCH("Pendiente",U141)))</formula>
    </cfRule>
    <cfRule type="containsText" dxfId="8952" priority="9243" operator="containsText" text="No Aplica">
      <formula>NOT(ISERROR(SEARCH("No Aplica",U141)))</formula>
    </cfRule>
    <cfRule type="containsText" dxfId="8951" priority="9244" operator="containsText" text="Fallido">
      <formula>NOT(ISERROR(SEARCH("Fallido",U141)))</formula>
    </cfRule>
    <cfRule type="containsText" dxfId="8950" priority="9245" operator="containsText" text="Éxitoso">
      <formula>NOT(ISERROR(SEARCH("Éxitoso",U141)))</formula>
    </cfRule>
  </conditionalFormatting>
  <conditionalFormatting sqref="V141">
    <cfRule type="containsText" dxfId="8949" priority="9236" operator="containsText" text="No se pudo ejecutar">
      <formula>NOT(ISERROR(SEARCH("No se pudo ejecutar",V141)))</formula>
    </cfRule>
    <cfRule type="containsText" dxfId="8948" priority="9237" operator="containsText" text="Pendiente">
      <formula>NOT(ISERROR(SEARCH("Pendiente",V141)))</formula>
    </cfRule>
    <cfRule type="containsText" dxfId="8947" priority="9238" operator="containsText" text="No Aplica">
      <formula>NOT(ISERROR(SEARCH("No Aplica",V141)))</formula>
    </cfRule>
    <cfRule type="containsText" dxfId="8946" priority="9239" operator="containsText" text="Fallido">
      <formula>NOT(ISERROR(SEARCH("Fallido",V141)))</formula>
    </cfRule>
    <cfRule type="containsText" dxfId="8945" priority="9240" operator="containsText" text="Éxitoso">
      <formula>NOT(ISERROR(SEARCH("Éxitoso",V141)))</formula>
    </cfRule>
  </conditionalFormatting>
  <conditionalFormatting sqref="W141">
    <cfRule type="containsText" dxfId="8944" priority="9231" operator="containsText" text="No se pudo ejecutar">
      <formula>NOT(ISERROR(SEARCH("No se pudo ejecutar",W141)))</formula>
    </cfRule>
    <cfRule type="containsText" dxfId="8943" priority="9232" operator="containsText" text="Pendiente">
      <formula>NOT(ISERROR(SEARCH("Pendiente",W141)))</formula>
    </cfRule>
    <cfRule type="containsText" dxfId="8942" priority="9233" operator="containsText" text="No Aplica">
      <formula>NOT(ISERROR(SEARCH("No Aplica",W141)))</formula>
    </cfRule>
    <cfRule type="containsText" dxfId="8941" priority="9234" operator="containsText" text="Fallido">
      <formula>NOT(ISERROR(SEARCH("Fallido",W141)))</formula>
    </cfRule>
    <cfRule type="containsText" dxfId="8940" priority="9235" operator="containsText" text="Éxitoso">
      <formula>NOT(ISERROR(SEARCH("Éxitoso",W141)))</formula>
    </cfRule>
  </conditionalFormatting>
  <conditionalFormatting sqref="M141">
    <cfRule type="containsText" dxfId="8939" priority="9226" operator="containsText" text="No se pudo ejecutar">
      <formula>NOT(ISERROR(SEARCH("No se pudo ejecutar",M141)))</formula>
    </cfRule>
    <cfRule type="containsText" dxfId="8938" priority="9227" operator="containsText" text="Pendiente">
      <formula>NOT(ISERROR(SEARCH("Pendiente",M141)))</formula>
    </cfRule>
    <cfRule type="containsText" dxfId="8937" priority="9228" operator="containsText" text="No Aplica">
      <formula>NOT(ISERROR(SEARCH("No Aplica",M141)))</formula>
    </cfRule>
    <cfRule type="containsText" dxfId="8936" priority="9229" operator="containsText" text="Fallido">
      <formula>NOT(ISERROR(SEARCH("Fallido",M141)))</formula>
    </cfRule>
    <cfRule type="containsText" dxfId="8935" priority="9230" operator="containsText" text="Éxitoso">
      <formula>NOT(ISERROR(SEARCH("Éxitoso",M141)))</formula>
    </cfRule>
  </conditionalFormatting>
  <conditionalFormatting sqref="G141">
    <cfRule type="containsText" dxfId="8934" priority="9223" operator="containsText" text="Bajo">
      <formula>NOT(ISERROR(SEARCH("Bajo",G141)))</formula>
    </cfRule>
    <cfRule type="containsText" dxfId="8933" priority="9224" operator="containsText" text="Medio">
      <formula>NOT(ISERROR(SEARCH("Medio",G141)))</formula>
    </cfRule>
    <cfRule type="containsText" dxfId="8932" priority="9225" operator="containsText" text="Alto">
      <formula>NOT(ISERROR(SEARCH("Alto",G141)))</formula>
    </cfRule>
  </conditionalFormatting>
  <conditionalFormatting sqref="N142">
    <cfRule type="containsText" dxfId="8931" priority="9218" operator="containsText" text="No se pudo ejecutar">
      <formula>NOT(ISERROR(SEARCH("No se pudo ejecutar",N142)))</formula>
    </cfRule>
    <cfRule type="containsText" dxfId="8930" priority="9219" operator="containsText" text="Pendiente">
      <formula>NOT(ISERROR(SEARCH("Pendiente",N142)))</formula>
    </cfRule>
    <cfRule type="containsText" dxfId="8929" priority="9220" operator="containsText" text="No Aplica">
      <formula>NOT(ISERROR(SEARCH("No Aplica",N142)))</formula>
    </cfRule>
    <cfRule type="containsText" dxfId="8928" priority="9221" operator="containsText" text="Fallido">
      <formula>NOT(ISERROR(SEARCH("Fallido",N142)))</formula>
    </cfRule>
    <cfRule type="containsText" dxfId="8927" priority="9222" operator="containsText" text="Éxitoso">
      <formula>NOT(ISERROR(SEARCH("Éxitoso",N142)))</formula>
    </cfRule>
  </conditionalFormatting>
  <conditionalFormatting sqref="O142">
    <cfRule type="containsText" dxfId="8926" priority="9213" operator="containsText" text="No se pudo ejecutar">
      <formula>NOT(ISERROR(SEARCH("No se pudo ejecutar",O142)))</formula>
    </cfRule>
    <cfRule type="containsText" dxfId="8925" priority="9214" operator="containsText" text="Pendiente">
      <formula>NOT(ISERROR(SEARCH("Pendiente",O142)))</formula>
    </cfRule>
    <cfRule type="containsText" dxfId="8924" priority="9215" operator="containsText" text="No Aplica">
      <formula>NOT(ISERROR(SEARCH("No Aplica",O142)))</formula>
    </cfRule>
    <cfRule type="containsText" dxfId="8923" priority="9216" operator="containsText" text="Fallido">
      <formula>NOT(ISERROR(SEARCH("Fallido",O142)))</formula>
    </cfRule>
    <cfRule type="containsText" dxfId="8922" priority="9217" operator="containsText" text="Éxitoso">
      <formula>NOT(ISERROR(SEARCH("Éxitoso",O142)))</formula>
    </cfRule>
  </conditionalFormatting>
  <conditionalFormatting sqref="P142">
    <cfRule type="containsText" dxfId="8921" priority="9208" operator="containsText" text="No se pudo ejecutar">
      <formula>NOT(ISERROR(SEARCH("No se pudo ejecutar",P142)))</formula>
    </cfRule>
    <cfRule type="containsText" dxfId="8920" priority="9209" operator="containsText" text="Pendiente">
      <formula>NOT(ISERROR(SEARCH("Pendiente",P142)))</formula>
    </cfRule>
    <cfRule type="containsText" dxfId="8919" priority="9210" operator="containsText" text="No Aplica">
      <formula>NOT(ISERROR(SEARCH("No Aplica",P142)))</formula>
    </cfRule>
    <cfRule type="containsText" dxfId="8918" priority="9211" operator="containsText" text="Fallido">
      <formula>NOT(ISERROR(SEARCH("Fallido",P142)))</formula>
    </cfRule>
    <cfRule type="containsText" dxfId="8917" priority="9212" operator="containsText" text="Éxitoso">
      <formula>NOT(ISERROR(SEARCH("Éxitoso",P142)))</formula>
    </cfRule>
  </conditionalFormatting>
  <conditionalFormatting sqref="Q142">
    <cfRule type="containsText" dxfId="8916" priority="9203" operator="containsText" text="No se pudo ejecutar">
      <formula>NOT(ISERROR(SEARCH("No se pudo ejecutar",Q142)))</formula>
    </cfRule>
    <cfRule type="containsText" dxfId="8915" priority="9204" operator="containsText" text="Pendiente">
      <formula>NOT(ISERROR(SEARCH("Pendiente",Q142)))</formula>
    </cfRule>
    <cfRule type="containsText" dxfId="8914" priority="9205" operator="containsText" text="No Aplica">
      <formula>NOT(ISERROR(SEARCH("No Aplica",Q142)))</formula>
    </cfRule>
    <cfRule type="containsText" dxfId="8913" priority="9206" operator="containsText" text="Fallido">
      <formula>NOT(ISERROR(SEARCH("Fallido",Q142)))</formula>
    </cfRule>
    <cfRule type="containsText" dxfId="8912" priority="9207" operator="containsText" text="Éxitoso">
      <formula>NOT(ISERROR(SEARCH("Éxitoso",Q142)))</formula>
    </cfRule>
  </conditionalFormatting>
  <conditionalFormatting sqref="R142">
    <cfRule type="containsText" dxfId="8911" priority="9198" operator="containsText" text="No se pudo ejecutar">
      <formula>NOT(ISERROR(SEARCH("No se pudo ejecutar",R142)))</formula>
    </cfRule>
    <cfRule type="containsText" dxfId="8910" priority="9199" operator="containsText" text="Pendiente">
      <formula>NOT(ISERROR(SEARCH("Pendiente",R142)))</formula>
    </cfRule>
    <cfRule type="containsText" dxfId="8909" priority="9200" operator="containsText" text="No Aplica">
      <formula>NOT(ISERROR(SEARCH("No Aplica",R142)))</formula>
    </cfRule>
    <cfRule type="containsText" dxfId="8908" priority="9201" operator="containsText" text="Fallido">
      <formula>NOT(ISERROR(SEARCH("Fallido",R142)))</formula>
    </cfRule>
    <cfRule type="containsText" dxfId="8907" priority="9202" operator="containsText" text="Éxitoso">
      <formula>NOT(ISERROR(SEARCH("Éxitoso",R142)))</formula>
    </cfRule>
  </conditionalFormatting>
  <conditionalFormatting sqref="S142">
    <cfRule type="containsText" dxfId="8906" priority="9193" operator="containsText" text="No se pudo ejecutar">
      <formula>NOT(ISERROR(SEARCH("No se pudo ejecutar",S142)))</formula>
    </cfRule>
    <cfRule type="containsText" dxfId="8905" priority="9194" operator="containsText" text="Pendiente">
      <formula>NOT(ISERROR(SEARCH("Pendiente",S142)))</formula>
    </cfRule>
    <cfRule type="containsText" dxfId="8904" priority="9195" operator="containsText" text="No Aplica">
      <formula>NOT(ISERROR(SEARCH("No Aplica",S142)))</formula>
    </cfRule>
    <cfRule type="containsText" dxfId="8903" priority="9196" operator="containsText" text="Fallido">
      <formula>NOT(ISERROR(SEARCH("Fallido",S142)))</formula>
    </cfRule>
    <cfRule type="containsText" dxfId="8902" priority="9197" operator="containsText" text="Éxitoso">
      <formula>NOT(ISERROR(SEARCH("Éxitoso",S142)))</formula>
    </cfRule>
  </conditionalFormatting>
  <conditionalFormatting sqref="T142">
    <cfRule type="containsText" dxfId="8901" priority="9188" operator="containsText" text="No se pudo ejecutar">
      <formula>NOT(ISERROR(SEARCH("No se pudo ejecutar",T142)))</formula>
    </cfRule>
    <cfRule type="containsText" dxfId="8900" priority="9189" operator="containsText" text="Pendiente">
      <formula>NOT(ISERROR(SEARCH("Pendiente",T142)))</formula>
    </cfRule>
    <cfRule type="containsText" dxfId="8899" priority="9190" operator="containsText" text="No Aplica">
      <formula>NOT(ISERROR(SEARCH("No Aplica",T142)))</formula>
    </cfRule>
    <cfRule type="containsText" dxfId="8898" priority="9191" operator="containsText" text="Fallido">
      <formula>NOT(ISERROR(SEARCH("Fallido",T142)))</formula>
    </cfRule>
    <cfRule type="containsText" dxfId="8897" priority="9192" operator="containsText" text="Éxitoso">
      <formula>NOT(ISERROR(SEARCH("Éxitoso",T142)))</formula>
    </cfRule>
  </conditionalFormatting>
  <conditionalFormatting sqref="U142">
    <cfRule type="containsText" dxfId="8896" priority="9183" operator="containsText" text="No se pudo ejecutar">
      <formula>NOT(ISERROR(SEARCH("No se pudo ejecutar",U142)))</formula>
    </cfRule>
    <cfRule type="containsText" dxfId="8895" priority="9184" operator="containsText" text="Pendiente">
      <formula>NOT(ISERROR(SEARCH("Pendiente",U142)))</formula>
    </cfRule>
    <cfRule type="containsText" dxfId="8894" priority="9185" operator="containsText" text="No Aplica">
      <formula>NOT(ISERROR(SEARCH("No Aplica",U142)))</formula>
    </cfRule>
    <cfRule type="containsText" dxfId="8893" priority="9186" operator="containsText" text="Fallido">
      <formula>NOT(ISERROR(SEARCH("Fallido",U142)))</formula>
    </cfRule>
    <cfRule type="containsText" dxfId="8892" priority="9187" operator="containsText" text="Éxitoso">
      <formula>NOT(ISERROR(SEARCH("Éxitoso",U142)))</formula>
    </cfRule>
  </conditionalFormatting>
  <conditionalFormatting sqref="V142">
    <cfRule type="containsText" dxfId="8891" priority="9178" operator="containsText" text="No se pudo ejecutar">
      <formula>NOT(ISERROR(SEARCH("No se pudo ejecutar",V142)))</formula>
    </cfRule>
    <cfRule type="containsText" dxfId="8890" priority="9179" operator="containsText" text="Pendiente">
      <formula>NOT(ISERROR(SEARCH("Pendiente",V142)))</formula>
    </cfRule>
    <cfRule type="containsText" dxfId="8889" priority="9180" operator="containsText" text="No Aplica">
      <formula>NOT(ISERROR(SEARCH("No Aplica",V142)))</formula>
    </cfRule>
    <cfRule type="containsText" dxfId="8888" priority="9181" operator="containsText" text="Fallido">
      <formula>NOT(ISERROR(SEARCH("Fallido",V142)))</formula>
    </cfRule>
    <cfRule type="containsText" dxfId="8887" priority="9182" operator="containsText" text="Éxitoso">
      <formula>NOT(ISERROR(SEARCH("Éxitoso",V142)))</formula>
    </cfRule>
  </conditionalFormatting>
  <conditionalFormatting sqref="W142">
    <cfRule type="containsText" dxfId="8886" priority="9173" operator="containsText" text="No se pudo ejecutar">
      <formula>NOT(ISERROR(SEARCH("No se pudo ejecutar",W142)))</formula>
    </cfRule>
    <cfRule type="containsText" dxfId="8885" priority="9174" operator="containsText" text="Pendiente">
      <formula>NOT(ISERROR(SEARCH("Pendiente",W142)))</formula>
    </cfRule>
    <cfRule type="containsText" dxfId="8884" priority="9175" operator="containsText" text="No Aplica">
      <formula>NOT(ISERROR(SEARCH("No Aplica",W142)))</formula>
    </cfRule>
    <cfRule type="containsText" dxfId="8883" priority="9176" operator="containsText" text="Fallido">
      <formula>NOT(ISERROR(SEARCH("Fallido",W142)))</formula>
    </cfRule>
    <cfRule type="containsText" dxfId="8882" priority="9177" operator="containsText" text="Éxitoso">
      <formula>NOT(ISERROR(SEARCH("Éxitoso",W142)))</formula>
    </cfRule>
  </conditionalFormatting>
  <conditionalFormatting sqref="M142">
    <cfRule type="containsText" dxfId="8881" priority="9168" operator="containsText" text="No se pudo ejecutar">
      <formula>NOT(ISERROR(SEARCH("No se pudo ejecutar",M142)))</formula>
    </cfRule>
    <cfRule type="containsText" dxfId="8880" priority="9169" operator="containsText" text="Pendiente">
      <formula>NOT(ISERROR(SEARCH("Pendiente",M142)))</formula>
    </cfRule>
    <cfRule type="containsText" dxfId="8879" priority="9170" operator="containsText" text="No Aplica">
      <formula>NOT(ISERROR(SEARCH("No Aplica",M142)))</formula>
    </cfRule>
    <cfRule type="containsText" dxfId="8878" priority="9171" operator="containsText" text="Fallido">
      <formula>NOT(ISERROR(SEARCH("Fallido",M142)))</formula>
    </cfRule>
    <cfRule type="containsText" dxfId="8877" priority="9172" operator="containsText" text="Éxitoso">
      <formula>NOT(ISERROR(SEARCH("Éxitoso",M142)))</formula>
    </cfRule>
  </conditionalFormatting>
  <conditionalFormatting sqref="G142">
    <cfRule type="containsText" dxfId="8876" priority="9165" operator="containsText" text="Bajo">
      <formula>NOT(ISERROR(SEARCH("Bajo",G142)))</formula>
    </cfRule>
    <cfRule type="containsText" dxfId="8875" priority="9166" operator="containsText" text="Medio">
      <formula>NOT(ISERROR(SEARCH("Medio",G142)))</formula>
    </cfRule>
    <cfRule type="containsText" dxfId="8874" priority="9167" operator="containsText" text="Alto">
      <formula>NOT(ISERROR(SEARCH("Alto",G142)))</formula>
    </cfRule>
  </conditionalFormatting>
  <conditionalFormatting sqref="N143">
    <cfRule type="containsText" dxfId="8873" priority="9160" operator="containsText" text="No se pudo ejecutar">
      <formula>NOT(ISERROR(SEARCH("No se pudo ejecutar",N143)))</formula>
    </cfRule>
    <cfRule type="containsText" dxfId="8872" priority="9161" operator="containsText" text="Pendiente">
      <formula>NOT(ISERROR(SEARCH("Pendiente",N143)))</formula>
    </cfRule>
    <cfRule type="containsText" dxfId="8871" priority="9162" operator="containsText" text="No Aplica">
      <formula>NOT(ISERROR(SEARCH("No Aplica",N143)))</formula>
    </cfRule>
    <cfRule type="containsText" dxfId="8870" priority="9163" operator="containsText" text="Fallido">
      <formula>NOT(ISERROR(SEARCH("Fallido",N143)))</formula>
    </cfRule>
    <cfRule type="containsText" dxfId="8869" priority="9164" operator="containsText" text="Éxitoso">
      <formula>NOT(ISERROR(SEARCH("Éxitoso",N143)))</formula>
    </cfRule>
  </conditionalFormatting>
  <conditionalFormatting sqref="O143">
    <cfRule type="containsText" dxfId="8868" priority="9155" operator="containsText" text="No se pudo ejecutar">
      <formula>NOT(ISERROR(SEARCH("No se pudo ejecutar",O143)))</formula>
    </cfRule>
    <cfRule type="containsText" dxfId="8867" priority="9156" operator="containsText" text="Pendiente">
      <formula>NOT(ISERROR(SEARCH("Pendiente",O143)))</formula>
    </cfRule>
    <cfRule type="containsText" dxfId="8866" priority="9157" operator="containsText" text="No Aplica">
      <formula>NOT(ISERROR(SEARCH("No Aplica",O143)))</formula>
    </cfRule>
    <cfRule type="containsText" dxfId="8865" priority="9158" operator="containsText" text="Fallido">
      <formula>NOT(ISERROR(SEARCH("Fallido",O143)))</formula>
    </cfRule>
    <cfRule type="containsText" dxfId="8864" priority="9159" operator="containsText" text="Éxitoso">
      <formula>NOT(ISERROR(SEARCH("Éxitoso",O143)))</formula>
    </cfRule>
  </conditionalFormatting>
  <conditionalFormatting sqref="P143">
    <cfRule type="containsText" dxfId="8863" priority="9150" operator="containsText" text="No se pudo ejecutar">
      <formula>NOT(ISERROR(SEARCH("No se pudo ejecutar",P143)))</formula>
    </cfRule>
    <cfRule type="containsText" dxfId="8862" priority="9151" operator="containsText" text="Pendiente">
      <formula>NOT(ISERROR(SEARCH("Pendiente",P143)))</formula>
    </cfRule>
    <cfRule type="containsText" dxfId="8861" priority="9152" operator="containsText" text="No Aplica">
      <formula>NOT(ISERROR(SEARCH("No Aplica",P143)))</formula>
    </cfRule>
    <cfRule type="containsText" dxfId="8860" priority="9153" operator="containsText" text="Fallido">
      <formula>NOT(ISERROR(SEARCH("Fallido",P143)))</formula>
    </cfRule>
    <cfRule type="containsText" dxfId="8859" priority="9154" operator="containsText" text="Éxitoso">
      <formula>NOT(ISERROR(SEARCH("Éxitoso",P143)))</formula>
    </cfRule>
  </conditionalFormatting>
  <conditionalFormatting sqref="Q143">
    <cfRule type="containsText" dxfId="8858" priority="9145" operator="containsText" text="No se pudo ejecutar">
      <formula>NOT(ISERROR(SEARCH("No se pudo ejecutar",Q143)))</formula>
    </cfRule>
    <cfRule type="containsText" dxfId="8857" priority="9146" operator="containsText" text="Pendiente">
      <formula>NOT(ISERROR(SEARCH("Pendiente",Q143)))</formula>
    </cfRule>
    <cfRule type="containsText" dxfId="8856" priority="9147" operator="containsText" text="No Aplica">
      <formula>NOT(ISERROR(SEARCH("No Aplica",Q143)))</formula>
    </cfRule>
    <cfRule type="containsText" dxfId="8855" priority="9148" operator="containsText" text="Fallido">
      <formula>NOT(ISERROR(SEARCH("Fallido",Q143)))</formula>
    </cfRule>
    <cfRule type="containsText" dxfId="8854" priority="9149" operator="containsText" text="Éxitoso">
      <formula>NOT(ISERROR(SEARCH("Éxitoso",Q143)))</formula>
    </cfRule>
  </conditionalFormatting>
  <conditionalFormatting sqref="R143">
    <cfRule type="containsText" dxfId="8853" priority="9140" operator="containsText" text="No se pudo ejecutar">
      <formula>NOT(ISERROR(SEARCH("No se pudo ejecutar",R143)))</formula>
    </cfRule>
    <cfRule type="containsText" dxfId="8852" priority="9141" operator="containsText" text="Pendiente">
      <formula>NOT(ISERROR(SEARCH("Pendiente",R143)))</formula>
    </cfRule>
    <cfRule type="containsText" dxfId="8851" priority="9142" operator="containsText" text="No Aplica">
      <formula>NOT(ISERROR(SEARCH("No Aplica",R143)))</formula>
    </cfRule>
    <cfRule type="containsText" dxfId="8850" priority="9143" operator="containsText" text="Fallido">
      <formula>NOT(ISERROR(SEARCH("Fallido",R143)))</formula>
    </cfRule>
    <cfRule type="containsText" dxfId="8849" priority="9144" operator="containsText" text="Éxitoso">
      <formula>NOT(ISERROR(SEARCH("Éxitoso",R143)))</formula>
    </cfRule>
  </conditionalFormatting>
  <conditionalFormatting sqref="S143">
    <cfRule type="containsText" dxfId="8848" priority="9135" operator="containsText" text="No se pudo ejecutar">
      <formula>NOT(ISERROR(SEARCH("No se pudo ejecutar",S143)))</formula>
    </cfRule>
    <cfRule type="containsText" dxfId="8847" priority="9136" operator="containsText" text="Pendiente">
      <formula>NOT(ISERROR(SEARCH("Pendiente",S143)))</formula>
    </cfRule>
    <cfRule type="containsText" dxfId="8846" priority="9137" operator="containsText" text="No Aplica">
      <formula>NOT(ISERROR(SEARCH("No Aplica",S143)))</formula>
    </cfRule>
    <cfRule type="containsText" dxfId="8845" priority="9138" operator="containsText" text="Fallido">
      <formula>NOT(ISERROR(SEARCH("Fallido",S143)))</formula>
    </cfRule>
    <cfRule type="containsText" dxfId="8844" priority="9139" operator="containsText" text="Éxitoso">
      <formula>NOT(ISERROR(SEARCH("Éxitoso",S143)))</formula>
    </cfRule>
  </conditionalFormatting>
  <conditionalFormatting sqref="T143">
    <cfRule type="containsText" dxfId="8843" priority="9130" operator="containsText" text="No se pudo ejecutar">
      <formula>NOT(ISERROR(SEARCH("No se pudo ejecutar",T143)))</formula>
    </cfRule>
    <cfRule type="containsText" dxfId="8842" priority="9131" operator="containsText" text="Pendiente">
      <formula>NOT(ISERROR(SEARCH("Pendiente",T143)))</formula>
    </cfRule>
    <cfRule type="containsText" dxfId="8841" priority="9132" operator="containsText" text="No Aplica">
      <formula>NOT(ISERROR(SEARCH("No Aplica",T143)))</formula>
    </cfRule>
    <cfRule type="containsText" dxfId="8840" priority="9133" operator="containsText" text="Fallido">
      <formula>NOT(ISERROR(SEARCH("Fallido",T143)))</formula>
    </cfRule>
    <cfRule type="containsText" dxfId="8839" priority="9134" operator="containsText" text="Éxitoso">
      <formula>NOT(ISERROR(SEARCH("Éxitoso",T143)))</formula>
    </cfRule>
  </conditionalFormatting>
  <conditionalFormatting sqref="U143">
    <cfRule type="containsText" dxfId="8838" priority="9125" operator="containsText" text="No se pudo ejecutar">
      <formula>NOT(ISERROR(SEARCH("No se pudo ejecutar",U143)))</formula>
    </cfRule>
    <cfRule type="containsText" dxfId="8837" priority="9126" operator="containsText" text="Pendiente">
      <formula>NOT(ISERROR(SEARCH("Pendiente",U143)))</formula>
    </cfRule>
    <cfRule type="containsText" dxfId="8836" priority="9127" operator="containsText" text="No Aplica">
      <formula>NOT(ISERROR(SEARCH("No Aplica",U143)))</formula>
    </cfRule>
    <cfRule type="containsText" dxfId="8835" priority="9128" operator="containsText" text="Fallido">
      <formula>NOT(ISERROR(SEARCH("Fallido",U143)))</formula>
    </cfRule>
    <cfRule type="containsText" dxfId="8834" priority="9129" operator="containsText" text="Éxitoso">
      <formula>NOT(ISERROR(SEARCH("Éxitoso",U143)))</formula>
    </cfRule>
  </conditionalFormatting>
  <conditionalFormatting sqref="V143">
    <cfRule type="containsText" dxfId="8833" priority="9120" operator="containsText" text="No se pudo ejecutar">
      <formula>NOT(ISERROR(SEARCH("No se pudo ejecutar",V143)))</formula>
    </cfRule>
    <cfRule type="containsText" dxfId="8832" priority="9121" operator="containsText" text="Pendiente">
      <formula>NOT(ISERROR(SEARCH("Pendiente",V143)))</formula>
    </cfRule>
    <cfRule type="containsText" dxfId="8831" priority="9122" operator="containsText" text="No Aplica">
      <formula>NOT(ISERROR(SEARCH("No Aplica",V143)))</formula>
    </cfRule>
    <cfRule type="containsText" dxfId="8830" priority="9123" operator="containsText" text="Fallido">
      <formula>NOT(ISERROR(SEARCH("Fallido",V143)))</formula>
    </cfRule>
    <cfRule type="containsText" dxfId="8829" priority="9124" operator="containsText" text="Éxitoso">
      <formula>NOT(ISERROR(SEARCH("Éxitoso",V143)))</formula>
    </cfRule>
  </conditionalFormatting>
  <conditionalFormatting sqref="W143">
    <cfRule type="containsText" dxfId="8828" priority="9115" operator="containsText" text="No se pudo ejecutar">
      <formula>NOT(ISERROR(SEARCH("No se pudo ejecutar",W143)))</formula>
    </cfRule>
    <cfRule type="containsText" dxfId="8827" priority="9116" operator="containsText" text="Pendiente">
      <formula>NOT(ISERROR(SEARCH("Pendiente",W143)))</formula>
    </cfRule>
    <cfRule type="containsText" dxfId="8826" priority="9117" operator="containsText" text="No Aplica">
      <formula>NOT(ISERROR(SEARCH("No Aplica",W143)))</formula>
    </cfRule>
    <cfRule type="containsText" dxfId="8825" priority="9118" operator="containsText" text="Fallido">
      <formula>NOT(ISERROR(SEARCH("Fallido",W143)))</formula>
    </cfRule>
    <cfRule type="containsText" dxfId="8824" priority="9119" operator="containsText" text="Éxitoso">
      <formula>NOT(ISERROR(SEARCH("Éxitoso",W143)))</formula>
    </cfRule>
  </conditionalFormatting>
  <conditionalFormatting sqref="M143">
    <cfRule type="containsText" dxfId="8823" priority="9110" operator="containsText" text="No se pudo ejecutar">
      <formula>NOT(ISERROR(SEARCH("No se pudo ejecutar",M143)))</formula>
    </cfRule>
    <cfRule type="containsText" dxfId="8822" priority="9111" operator="containsText" text="Pendiente">
      <formula>NOT(ISERROR(SEARCH("Pendiente",M143)))</formula>
    </cfRule>
    <cfRule type="containsText" dxfId="8821" priority="9112" operator="containsText" text="No Aplica">
      <formula>NOT(ISERROR(SEARCH("No Aplica",M143)))</formula>
    </cfRule>
    <cfRule type="containsText" dxfId="8820" priority="9113" operator="containsText" text="Fallido">
      <formula>NOT(ISERROR(SEARCH("Fallido",M143)))</formula>
    </cfRule>
    <cfRule type="containsText" dxfId="8819" priority="9114" operator="containsText" text="Éxitoso">
      <formula>NOT(ISERROR(SEARCH("Éxitoso",M143)))</formula>
    </cfRule>
  </conditionalFormatting>
  <conditionalFormatting sqref="G143">
    <cfRule type="containsText" dxfId="8818" priority="9107" operator="containsText" text="Bajo">
      <formula>NOT(ISERROR(SEARCH("Bajo",G143)))</formula>
    </cfRule>
    <cfRule type="containsText" dxfId="8817" priority="9108" operator="containsText" text="Medio">
      <formula>NOT(ISERROR(SEARCH("Medio",G143)))</formula>
    </cfRule>
    <cfRule type="containsText" dxfId="8816" priority="9109" operator="containsText" text="Alto">
      <formula>NOT(ISERROR(SEARCH("Alto",G143)))</formula>
    </cfRule>
  </conditionalFormatting>
  <conditionalFormatting sqref="N144">
    <cfRule type="containsText" dxfId="8815" priority="9102" operator="containsText" text="No se pudo ejecutar">
      <formula>NOT(ISERROR(SEARCH("No se pudo ejecutar",N144)))</formula>
    </cfRule>
    <cfRule type="containsText" dxfId="8814" priority="9103" operator="containsText" text="Pendiente">
      <formula>NOT(ISERROR(SEARCH("Pendiente",N144)))</formula>
    </cfRule>
    <cfRule type="containsText" dxfId="8813" priority="9104" operator="containsText" text="No Aplica">
      <formula>NOT(ISERROR(SEARCH("No Aplica",N144)))</formula>
    </cfRule>
    <cfRule type="containsText" dxfId="8812" priority="9105" operator="containsText" text="Fallido">
      <formula>NOT(ISERROR(SEARCH("Fallido",N144)))</formula>
    </cfRule>
    <cfRule type="containsText" dxfId="8811" priority="9106" operator="containsText" text="Éxitoso">
      <formula>NOT(ISERROR(SEARCH("Éxitoso",N144)))</formula>
    </cfRule>
  </conditionalFormatting>
  <conditionalFormatting sqref="O144">
    <cfRule type="containsText" dxfId="8810" priority="9097" operator="containsText" text="No se pudo ejecutar">
      <formula>NOT(ISERROR(SEARCH("No se pudo ejecutar",O144)))</formula>
    </cfRule>
    <cfRule type="containsText" dxfId="8809" priority="9098" operator="containsText" text="Pendiente">
      <formula>NOT(ISERROR(SEARCH("Pendiente",O144)))</formula>
    </cfRule>
    <cfRule type="containsText" dxfId="8808" priority="9099" operator="containsText" text="No Aplica">
      <formula>NOT(ISERROR(SEARCH("No Aplica",O144)))</formula>
    </cfRule>
    <cfRule type="containsText" dxfId="8807" priority="9100" operator="containsText" text="Fallido">
      <formula>NOT(ISERROR(SEARCH("Fallido",O144)))</formula>
    </cfRule>
    <cfRule type="containsText" dxfId="8806" priority="9101" operator="containsText" text="Éxitoso">
      <formula>NOT(ISERROR(SEARCH("Éxitoso",O144)))</formula>
    </cfRule>
  </conditionalFormatting>
  <conditionalFormatting sqref="P144">
    <cfRule type="containsText" dxfId="8805" priority="9092" operator="containsText" text="No se pudo ejecutar">
      <formula>NOT(ISERROR(SEARCH("No se pudo ejecutar",P144)))</formula>
    </cfRule>
    <cfRule type="containsText" dxfId="8804" priority="9093" operator="containsText" text="Pendiente">
      <formula>NOT(ISERROR(SEARCH("Pendiente",P144)))</formula>
    </cfRule>
    <cfRule type="containsText" dxfId="8803" priority="9094" operator="containsText" text="No Aplica">
      <formula>NOT(ISERROR(SEARCH("No Aplica",P144)))</formula>
    </cfRule>
    <cfRule type="containsText" dxfId="8802" priority="9095" operator="containsText" text="Fallido">
      <formula>NOT(ISERROR(SEARCH("Fallido",P144)))</formula>
    </cfRule>
    <cfRule type="containsText" dxfId="8801" priority="9096" operator="containsText" text="Éxitoso">
      <formula>NOT(ISERROR(SEARCH("Éxitoso",P144)))</formula>
    </cfRule>
  </conditionalFormatting>
  <conditionalFormatting sqref="Q144">
    <cfRule type="containsText" dxfId="8800" priority="9087" operator="containsText" text="No se pudo ejecutar">
      <formula>NOT(ISERROR(SEARCH("No se pudo ejecutar",Q144)))</formula>
    </cfRule>
    <cfRule type="containsText" dxfId="8799" priority="9088" operator="containsText" text="Pendiente">
      <formula>NOT(ISERROR(SEARCH("Pendiente",Q144)))</formula>
    </cfRule>
    <cfRule type="containsText" dxfId="8798" priority="9089" operator="containsText" text="No Aplica">
      <formula>NOT(ISERROR(SEARCH("No Aplica",Q144)))</formula>
    </cfRule>
    <cfRule type="containsText" dxfId="8797" priority="9090" operator="containsText" text="Fallido">
      <formula>NOT(ISERROR(SEARCH("Fallido",Q144)))</formula>
    </cfRule>
    <cfRule type="containsText" dxfId="8796" priority="9091" operator="containsText" text="Éxitoso">
      <formula>NOT(ISERROR(SEARCH("Éxitoso",Q144)))</formula>
    </cfRule>
  </conditionalFormatting>
  <conditionalFormatting sqref="R144">
    <cfRule type="containsText" dxfId="8795" priority="9082" operator="containsText" text="No se pudo ejecutar">
      <formula>NOT(ISERROR(SEARCH("No se pudo ejecutar",R144)))</formula>
    </cfRule>
    <cfRule type="containsText" dxfId="8794" priority="9083" operator="containsText" text="Pendiente">
      <formula>NOT(ISERROR(SEARCH("Pendiente",R144)))</formula>
    </cfRule>
    <cfRule type="containsText" dxfId="8793" priority="9084" operator="containsText" text="No Aplica">
      <formula>NOT(ISERROR(SEARCH("No Aplica",R144)))</formula>
    </cfRule>
    <cfRule type="containsText" dxfId="8792" priority="9085" operator="containsText" text="Fallido">
      <formula>NOT(ISERROR(SEARCH("Fallido",R144)))</formula>
    </cfRule>
    <cfRule type="containsText" dxfId="8791" priority="9086" operator="containsText" text="Éxitoso">
      <formula>NOT(ISERROR(SEARCH("Éxitoso",R144)))</formula>
    </cfRule>
  </conditionalFormatting>
  <conditionalFormatting sqref="S144">
    <cfRule type="containsText" dxfId="8790" priority="9077" operator="containsText" text="No se pudo ejecutar">
      <formula>NOT(ISERROR(SEARCH("No se pudo ejecutar",S144)))</formula>
    </cfRule>
    <cfRule type="containsText" dxfId="8789" priority="9078" operator="containsText" text="Pendiente">
      <formula>NOT(ISERROR(SEARCH("Pendiente",S144)))</formula>
    </cfRule>
    <cfRule type="containsText" dxfId="8788" priority="9079" operator="containsText" text="No Aplica">
      <formula>NOT(ISERROR(SEARCH("No Aplica",S144)))</formula>
    </cfRule>
    <cfRule type="containsText" dxfId="8787" priority="9080" operator="containsText" text="Fallido">
      <formula>NOT(ISERROR(SEARCH("Fallido",S144)))</formula>
    </cfRule>
    <cfRule type="containsText" dxfId="8786" priority="9081" operator="containsText" text="Éxitoso">
      <formula>NOT(ISERROR(SEARCH("Éxitoso",S144)))</formula>
    </cfRule>
  </conditionalFormatting>
  <conditionalFormatting sqref="T144">
    <cfRule type="containsText" dxfId="8785" priority="9072" operator="containsText" text="No se pudo ejecutar">
      <formula>NOT(ISERROR(SEARCH("No se pudo ejecutar",T144)))</formula>
    </cfRule>
    <cfRule type="containsText" dxfId="8784" priority="9073" operator="containsText" text="Pendiente">
      <formula>NOT(ISERROR(SEARCH("Pendiente",T144)))</formula>
    </cfRule>
    <cfRule type="containsText" dxfId="8783" priority="9074" operator="containsText" text="No Aplica">
      <formula>NOT(ISERROR(SEARCH("No Aplica",T144)))</formula>
    </cfRule>
    <cfRule type="containsText" dxfId="8782" priority="9075" operator="containsText" text="Fallido">
      <formula>NOT(ISERROR(SEARCH("Fallido",T144)))</formula>
    </cfRule>
    <cfRule type="containsText" dxfId="8781" priority="9076" operator="containsText" text="Éxitoso">
      <formula>NOT(ISERROR(SEARCH("Éxitoso",T144)))</formula>
    </cfRule>
  </conditionalFormatting>
  <conditionalFormatting sqref="U144">
    <cfRule type="containsText" dxfId="8780" priority="9067" operator="containsText" text="No se pudo ejecutar">
      <formula>NOT(ISERROR(SEARCH("No se pudo ejecutar",U144)))</formula>
    </cfRule>
    <cfRule type="containsText" dxfId="8779" priority="9068" operator="containsText" text="Pendiente">
      <formula>NOT(ISERROR(SEARCH("Pendiente",U144)))</formula>
    </cfRule>
    <cfRule type="containsText" dxfId="8778" priority="9069" operator="containsText" text="No Aplica">
      <formula>NOT(ISERROR(SEARCH("No Aplica",U144)))</formula>
    </cfRule>
    <cfRule type="containsText" dxfId="8777" priority="9070" operator="containsText" text="Fallido">
      <formula>NOT(ISERROR(SEARCH("Fallido",U144)))</formula>
    </cfRule>
    <cfRule type="containsText" dxfId="8776" priority="9071" operator="containsText" text="Éxitoso">
      <formula>NOT(ISERROR(SEARCH("Éxitoso",U144)))</formula>
    </cfRule>
  </conditionalFormatting>
  <conditionalFormatting sqref="V144">
    <cfRule type="containsText" dxfId="8775" priority="9062" operator="containsText" text="No se pudo ejecutar">
      <formula>NOT(ISERROR(SEARCH("No se pudo ejecutar",V144)))</formula>
    </cfRule>
    <cfRule type="containsText" dxfId="8774" priority="9063" operator="containsText" text="Pendiente">
      <formula>NOT(ISERROR(SEARCH("Pendiente",V144)))</formula>
    </cfRule>
    <cfRule type="containsText" dxfId="8773" priority="9064" operator="containsText" text="No Aplica">
      <formula>NOT(ISERROR(SEARCH("No Aplica",V144)))</formula>
    </cfRule>
    <cfRule type="containsText" dxfId="8772" priority="9065" operator="containsText" text="Fallido">
      <formula>NOT(ISERROR(SEARCH("Fallido",V144)))</formula>
    </cfRule>
    <cfRule type="containsText" dxfId="8771" priority="9066" operator="containsText" text="Éxitoso">
      <formula>NOT(ISERROR(SEARCH("Éxitoso",V144)))</formula>
    </cfRule>
  </conditionalFormatting>
  <conditionalFormatting sqref="W144">
    <cfRule type="containsText" dxfId="8770" priority="9057" operator="containsText" text="No se pudo ejecutar">
      <formula>NOT(ISERROR(SEARCH("No se pudo ejecutar",W144)))</formula>
    </cfRule>
    <cfRule type="containsText" dxfId="8769" priority="9058" operator="containsText" text="Pendiente">
      <formula>NOT(ISERROR(SEARCH("Pendiente",W144)))</formula>
    </cfRule>
    <cfRule type="containsText" dxfId="8768" priority="9059" operator="containsText" text="No Aplica">
      <formula>NOT(ISERROR(SEARCH("No Aplica",W144)))</formula>
    </cfRule>
    <cfRule type="containsText" dxfId="8767" priority="9060" operator="containsText" text="Fallido">
      <formula>NOT(ISERROR(SEARCH("Fallido",W144)))</formula>
    </cfRule>
    <cfRule type="containsText" dxfId="8766" priority="9061" operator="containsText" text="Éxitoso">
      <formula>NOT(ISERROR(SEARCH("Éxitoso",W144)))</formula>
    </cfRule>
  </conditionalFormatting>
  <conditionalFormatting sqref="M144">
    <cfRule type="containsText" dxfId="8765" priority="9052" operator="containsText" text="No se pudo ejecutar">
      <formula>NOT(ISERROR(SEARCH("No se pudo ejecutar",M144)))</formula>
    </cfRule>
    <cfRule type="containsText" dxfId="8764" priority="9053" operator="containsText" text="Pendiente">
      <formula>NOT(ISERROR(SEARCH("Pendiente",M144)))</formula>
    </cfRule>
    <cfRule type="containsText" dxfId="8763" priority="9054" operator="containsText" text="No Aplica">
      <formula>NOT(ISERROR(SEARCH("No Aplica",M144)))</formula>
    </cfRule>
    <cfRule type="containsText" dxfId="8762" priority="9055" operator="containsText" text="Fallido">
      <formula>NOT(ISERROR(SEARCH("Fallido",M144)))</formula>
    </cfRule>
    <cfRule type="containsText" dxfId="8761" priority="9056" operator="containsText" text="Éxitoso">
      <formula>NOT(ISERROR(SEARCH("Éxitoso",M144)))</formula>
    </cfRule>
  </conditionalFormatting>
  <conditionalFormatting sqref="G144">
    <cfRule type="containsText" dxfId="8760" priority="9049" operator="containsText" text="Bajo">
      <formula>NOT(ISERROR(SEARCH("Bajo",G144)))</formula>
    </cfRule>
    <cfRule type="containsText" dxfId="8759" priority="9050" operator="containsText" text="Medio">
      <formula>NOT(ISERROR(SEARCH("Medio",G144)))</formula>
    </cfRule>
    <cfRule type="containsText" dxfId="8758" priority="9051" operator="containsText" text="Alto">
      <formula>NOT(ISERROR(SEARCH("Alto",G144)))</formula>
    </cfRule>
  </conditionalFormatting>
  <conditionalFormatting sqref="N145">
    <cfRule type="containsText" dxfId="8757" priority="9044" operator="containsText" text="No se pudo ejecutar">
      <formula>NOT(ISERROR(SEARCH("No se pudo ejecutar",N145)))</formula>
    </cfRule>
    <cfRule type="containsText" dxfId="8756" priority="9045" operator="containsText" text="Pendiente">
      <formula>NOT(ISERROR(SEARCH("Pendiente",N145)))</formula>
    </cfRule>
    <cfRule type="containsText" dxfId="8755" priority="9046" operator="containsText" text="No Aplica">
      <formula>NOT(ISERROR(SEARCH("No Aplica",N145)))</formula>
    </cfRule>
    <cfRule type="containsText" dxfId="8754" priority="9047" operator="containsText" text="Fallido">
      <formula>NOT(ISERROR(SEARCH("Fallido",N145)))</formula>
    </cfRule>
    <cfRule type="containsText" dxfId="8753" priority="9048" operator="containsText" text="Éxitoso">
      <formula>NOT(ISERROR(SEARCH("Éxitoso",N145)))</formula>
    </cfRule>
  </conditionalFormatting>
  <conditionalFormatting sqref="O145">
    <cfRule type="containsText" dxfId="8752" priority="9039" operator="containsText" text="No se pudo ejecutar">
      <formula>NOT(ISERROR(SEARCH("No se pudo ejecutar",O145)))</formula>
    </cfRule>
    <cfRule type="containsText" dxfId="8751" priority="9040" operator="containsText" text="Pendiente">
      <formula>NOT(ISERROR(SEARCH("Pendiente",O145)))</formula>
    </cfRule>
    <cfRule type="containsText" dxfId="8750" priority="9041" operator="containsText" text="No Aplica">
      <formula>NOT(ISERROR(SEARCH("No Aplica",O145)))</formula>
    </cfRule>
    <cfRule type="containsText" dxfId="8749" priority="9042" operator="containsText" text="Fallido">
      <formula>NOT(ISERROR(SEARCH("Fallido",O145)))</formula>
    </cfRule>
    <cfRule type="containsText" dxfId="8748" priority="9043" operator="containsText" text="Éxitoso">
      <formula>NOT(ISERROR(SEARCH("Éxitoso",O145)))</formula>
    </cfRule>
  </conditionalFormatting>
  <conditionalFormatting sqref="P145">
    <cfRule type="containsText" dxfId="8747" priority="9034" operator="containsText" text="No se pudo ejecutar">
      <formula>NOT(ISERROR(SEARCH("No se pudo ejecutar",P145)))</formula>
    </cfRule>
    <cfRule type="containsText" dxfId="8746" priority="9035" operator="containsText" text="Pendiente">
      <formula>NOT(ISERROR(SEARCH("Pendiente",P145)))</formula>
    </cfRule>
    <cfRule type="containsText" dxfId="8745" priority="9036" operator="containsText" text="No Aplica">
      <formula>NOT(ISERROR(SEARCH("No Aplica",P145)))</formula>
    </cfRule>
    <cfRule type="containsText" dxfId="8744" priority="9037" operator="containsText" text="Fallido">
      <formula>NOT(ISERROR(SEARCH("Fallido",P145)))</formula>
    </cfRule>
    <cfRule type="containsText" dxfId="8743" priority="9038" operator="containsText" text="Éxitoso">
      <formula>NOT(ISERROR(SEARCH("Éxitoso",P145)))</formula>
    </cfRule>
  </conditionalFormatting>
  <conditionalFormatting sqref="Q145">
    <cfRule type="containsText" dxfId="8742" priority="9029" operator="containsText" text="No se pudo ejecutar">
      <formula>NOT(ISERROR(SEARCH("No se pudo ejecutar",Q145)))</formula>
    </cfRule>
    <cfRule type="containsText" dxfId="8741" priority="9030" operator="containsText" text="Pendiente">
      <formula>NOT(ISERROR(SEARCH("Pendiente",Q145)))</formula>
    </cfRule>
    <cfRule type="containsText" dxfId="8740" priority="9031" operator="containsText" text="No Aplica">
      <formula>NOT(ISERROR(SEARCH("No Aplica",Q145)))</formula>
    </cfRule>
    <cfRule type="containsText" dxfId="8739" priority="9032" operator="containsText" text="Fallido">
      <formula>NOT(ISERROR(SEARCH("Fallido",Q145)))</formula>
    </cfRule>
    <cfRule type="containsText" dxfId="8738" priority="9033" operator="containsText" text="Éxitoso">
      <formula>NOT(ISERROR(SEARCH("Éxitoso",Q145)))</formula>
    </cfRule>
  </conditionalFormatting>
  <conditionalFormatting sqref="R145">
    <cfRule type="containsText" dxfId="8737" priority="9024" operator="containsText" text="No se pudo ejecutar">
      <formula>NOT(ISERROR(SEARCH("No se pudo ejecutar",R145)))</formula>
    </cfRule>
    <cfRule type="containsText" dxfId="8736" priority="9025" operator="containsText" text="Pendiente">
      <formula>NOT(ISERROR(SEARCH("Pendiente",R145)))</formula>
    </cfRule>
    <cfRule type="containsText" dxfId="8735" priority="9026" operator="containsText" text="No Aplica">
      <formula>NOT(ISERROR(SEARCH("No Aplica",R145)))</formula>
    </cfRule>
    <cfRule type="containsText" dxfId="8734" priority="9027" operator="containsText" text="Fallido">
      <formula>NOT(ISERROR(SEARCH("Fallido",R145)))</formula>
    </cfRule>
    <cfRule type="containsText" dxfId="8733" priority="9028" operator="containsText" text="Éxitoso">
      <formula>NOT(ISERROR(SEARCH("Éxitoso",R145)))</formula>
    </cfRule>
  </conditionalFormatting>
  <conditionalFormatting sqref="S145">
    <cfRule type="containsText" dxfId="8732" priority="9019" operator="containsText" text="No se pudo ejecutar">
      <formula>NOT(ISERROR(SEARCH("No se pudo ejecutar",S145)))</formula>
    </cfRule>
    <cfRule type="containsText" dxfId="8731" priority="9020" operator="containsText" text="Pendiente">
      <formula>NOT(ISERROR(SEARCH("Pendiente",S145)))</formula>
    </cfRule>
    <cfRule type="containsText" dxfId="8730" priority="9021" operator="containsText" text="No Aplica">
      <formula>NOT(ISERROR(SEARCH("No Aplica",S145)))</formula>
    </cfRule>
    <cfRule type="containsText" dxfId="8729" priority="9022" operator="containsText" text="Fallido">
      <formula>NOT(ISERROR(SEARCH("Fallido",S145)))</formula>
    </cfRule>
    <cfRule type="containsText" dxfId="8728" priority="9023" operator="containsText" text="Éxitoso">
      <formula>NOT(ISERROR(SEARCH("Éxitoso",S145)))</formula>
    </cfRule>
  </conditionalFormatting>
  <conditionalFormatting sqref="T145">
    <cfRule type="containsText" dxfId="8727" priority="9014" operator="containsText" text="No se pudo ejecutar">
      <formula>NOT(ISERROR(SEARCH("No se pudo ejecutar",T145)))</formula>
    </cfRule>
    <cfRule type="containsText" dxfId="8726" priority="9015" operator="containsText" text="Pendiente">
      <formula>NOT(ISERROR(SEARCH("Pendiente",T145)))</formula>
    </cfRule>
    <cfRule type="containsText" dxfId="8725" priority="9016" operator="containsText" text="No Aplica">
      <formula>NOT(ISERROR(SEARCH("No Aplica",T145)))</formula>
    </cfRule>
    <cfRule type="containsText" dxfId="8724" priority="9017" operator="containsText" text="Fallido">
      <formula>NOT(ISERROR(SEARCH("Fallido",T145)))</formula>
    </cfRule>
    <cfRule type="containsText" dxfId="8723" priority="9018" operator="containsText" text="Éxitoso">
      <formula>NOT(ISERROR(SEARCH("Éxitoso",T145)))</formula>
    </cfRule>
  </conditionalFormatting>
  <conditionalFormatting sqref="U145">
    <cfRule type="containsText" dxfId="8722" priority="9009" operator="containsText" text="No se pudo ejecutar">
      <formula>NOT(ISERROR(SEARCH("No se pudo ejecutar",U145)))</formula>
    </cfRule>
    <cfRule type="containsText" dxfId="8721" priority="9010" operator="containsText" text="Pendiente">
      <formula>NOT(ISERROR(SEARCH("Pendiente",U145)))</formula>
    </cfRule>
    <cfRule type="containsText" dxfId="8720" priority="9011" operator="containsText" text="No Aplica">
      <formula>NOT(ISERROR(SEARCH("No Aplica",U145)))</formula>
    </cfRule>
    <cfRule type="containsText" dxfId="8719" priority="9012" operator="containsText" text="Fallido">
      <formula>NOT(ISERROR(SEARCH("Fallido",U145)))</formula>
    </cfRule>
    <cfRule type="containsText" dxfId="8718" priority="9013" operator="containsText" text="Éxitoso">
      <formula>NOT(ISERROR(SEARCH("Éxitoso",U145)))</formula>
    </cfRule>
  </conditionalFormatting>
  <conditionalFormatting sqref="V145">
    <cfRule type="containsText" dxfId="8717" priority="9004" operator="containsText" text="No se pudo ejecutar">
      <formula>NOT(ISERROR(SEARCH("No se pudo ejecutar",V145)))</formula>
    </cfRule>
    <cfRule type="containsText" dxfId="8716" priority="9005" operator="containsText" text="Pendiente">
      <formula>NOT(ISERROR(SEARCH("Pendiente",V145)))</formula>
    </cfRule>
    <cfRule type="containsText" dxfId="8715" priority="9006" operator="containsText" text="No Aplica">
      <formula>NOT(ISERROR(SEARCH("No Aplica",V145)))</formula>
    </cfRule>
    <cfRule type="containsText" dxfId="8714" priority="9007" operator="containsText" text="Fallido">
      <formula>NOT(ISERROR(SEARCH("Fallido",V145)))</formula>
    </cfRule>
    <cfRule type="containsText" dxfId="8713" priority="9008" operator="containsText" text="Éxitoso">
      <formula>NOT(ISERROR(SEARCH("Éxitoso",V145)))</formula>
    </cfRule>
  </conditionalFormatting>
  <conditionalFormatting sqref="W145">
    <cfRule type="containsText" dxfId="8712" priority="8999" operator="containsText" text="No se pudo ejecutar">
      <formula>NOT(ISERROR(SEARCH("No se pudo ejecutar",W145)))</formula>
    </cfRule>
    <cfRule type="containsText" dxfId="8711" priority="9000" operator="containsText" text="Pendiente">
      <formula>NOT(ISERROR(SEARCH("Pendiente",W145)))</formula>
    </cfRule>
    <cfRule type="containsText" dxfId="8710" priority="9001" operator="containsText" text="No Aplica">
      <formula>NOT(ISERROR(SEARCH("No Aplica",W145)))</formula>
    </cfRule>
    <cfRule type="containsText" dxfId="8709" priority="9002" operator="containsText" text="Fallido">
      <formula>NOT(ISERROR(SEARCH("Fallido",W145)))</formula>
    </cfRule>
    <cfRule type="containsText" dxfId="8708" priority="9003" operator="containsText" text="Éxitoso">
      <formula>NOT(ISERROR(SEARCH("Éxitoso",W145)))</formula>
    </cfRule>
  </conditionalFormatting>
  <conditionalFormatting sqref="M145">
    <cfRule type="containsText" dxfId="8707" priority="8994" operator="containsText" text="No se pudo ejecutar">
      <formula>NOT(ISERROR(SEARCH("No se pudo ejecutar",M145)))</formula>
    </cfRule>
    <cfRule type="containsText" dxfId="8706" priority="8995" operator="containsText" text="Pendiente">
      <formula>NOT(ISERROR(SEARCH("Pendiente",M145)))</formula>
    </cfRule>
    <cfRule type="containsText" dxfId="8705" priority="8996" operator="containsText" text="No Aplica">
      <formula>NOT(ISERROR(SEARCH("No Aplica",M145)))</formula>
    </cfRule>
    <cfRule type="containsText" dxfId="8704" priority="8997" operator="containsText" text="Fallido">
      <formula>NOT(ISERROR(SEARCH("Fallido",M145)))</formula>
    </cfRule>
    <cfRule type="containsText" dxfId="8703" priority="8998" operator="containsText" text="Éxitoso">
      <formula>NOT(ISERROR(SEARCH("Éxitoso",M145)))</formula>
    </cfRule>
  </conditionalFormatting>
  <conditionalFormatting sqref="G145">
    <cfRule type="containsText" dxfId="8702" priority="8991" operator="containsText" text="Bajo">
      <formula>NOT(ISERROR(SEARCH("Bajo",G145)))</formula>
    </cfRule>
    <cfRule type="containsText" dxfId="8701" priority="8992" operator="containsText" text="Medio">
      <formula>NOT(ISERROR(SEARCH("Medio",G145)))</formula>
    </cfRule>
    <cfRule type="containsText" dxfId="8700" priority="8993" operator="containsText" text="Alto">
      <formula>NOT(ISERROR(SEARCH("Alto",G145)))</formula>
    </cfRule>
  </conditionalFormatting>
  <conditionalFormatting sqref="N146">
    <cfRule type="containsText" dxfId="8699" priority="8986" operator="containsText" text="No se pudo ejecutar">
      <formula>NOT(ISERROR(SEARCH("No se pudo ejecutar",N146)))</formula>
    </cfRule>
    <cfRule type="containsText" dxfId="8698" priority="8987" operator="containsText" text="Pendiente">
      <formula>NOT(ISERROR(SEARCH("Pendiente",N146)))</formula>
    </cfRule>
    <cfRule type="containsText" dxfId="8697" priority="8988" operator="containsText" text="No Aplica">
      <formula>NOT(ISERROR(SEARCH("No Aplica",N146)))</formula>
    </cfRule>
    <cfRule type="containsText" dxfId="8696" priority="8989" operator="containsText" text="Fallido">
      <formula>NOT(ISERROR(SEARCH("Fallido",N146)))</formula>
    </cfRule>
    <cfRule type="containsText" dxfId="8695" priority="8990" operator="containsText" text="Éxitoso">
      <formula>NOT(ISERROR(SEARCH("Éxitoso",N146)))</formula>
    </cfRule>
  </conditionalFormatting>
  <conditionalFormatting sqref="O146">
    <cfRule type="containsText" dxfId="8694" priority="8981" operator="containsText" text="No se pudo ejecutar">
      <formula>NOT(ISERROR(SEARCH("No se pudo ejecutar",O146)))</formula>
    </cfRule>
    <cfRule type="containsText" dxfId="8693" priority="8982" operator="containsText" text="Pendiente">
      <formula>NOT(ISERROR(SEARCH("Pendiente",O146)))</formula>
    </cfRule>
    <cfRule type="containsText" dxfId="8692" priority="8983" operator="containsText" text="No Aplica">
      <formula>NOT(ISERROR(SEARCH("No Aplica",O146)))</formula>
    </cfRule>
    <cfRule type="containsText" dxfId="8691" priority="8984" operator="containsText" text="Fallido">
      <formula>NOT(ISERROR(SEARCH("Fallido",O146)))</formula>
    </cfRule>
    <cfRule type="containsText" dxfId="8690" priority="8985" operator="containsText" text="Éxitoso">
      <formula>NOT(ISERROR(SEARCH("Éxitoso",O146)))</formula>
    </cfRule>
  </conditionalFormatting>
  <conditionalFormatting sqref="P146">
    <cfRule type="containsText" dxfId="8689" priority="8976" operator="containsText" text="No se pudo ejecutar">
      <formula>NOT(ISERROR(SEARCH("No se pudo ejecutar",P146)))</formula>
    </cfRule>
    <cfRule type="containsText" dxfId="8688" priority="8977" operator="containsText" text="Pendiente">
      <formula>NOT(ISERROR(SEARCH("Pendiente",P146)))</formula>
    </cfRule>
    <cfRule type="containsText" dxfId="8687" priority="8978" operator="containsText" text="No Aplica">
      <formula>NOT(ISERROR(SEARCH("No Aplica",P146)))</formula>
    </cfRule>
    <cfRule type="containsText" dxfId="8686" priority="8979" operator="containsText" text="Fallido">
      <formula>NOT(ISERROR(SEARCH("Fallido",P146)))</formula>
    </cfRule>
    <cfRule type="containsText" dxfId="8685" priority="8980" operator="containsText" text="Éxitoso">
      <formula>NOT(ISERROR(SEARCH("Éxitoso",P146)))</formula>
    </cfRule>
  </conditionalFormatting>
  <conditionalFormatting sqref="Q146">
    <cfRule type="containsText" dxfId="8684" priority="8971" operator="containsText" text="No se pudo ejecutar">
      <formula>NOT(ISERROR(SEARCH("No se pudo ejecutar",Q146)))</formula>
    </cfRule>
    <cfRule type="containsText" dxfId="8683" priority="8972" operator="containsText" text="Pendiente">
      <formula>NOT(ISERROR(SEARCH("Pendiente",Q146)))</formula>
    </cfRule>
    <cfRule type="containsText" dxfId="8682" priority="8973" operator="containsText" text="No Aplica">
      <formula>NOT(ISERROR(SEARCH("No Aplica",Q146)))</formula>
    </cfRule>
    <cfRule type="containsText" dxfId="8681" priority="8974" operator="containsText" text="Fallido">
      <formula>NOT(ISERROR(SEARCH("Fallido",Q146)))</formula>
    </cfRule>
    <cfRule type="containsText" dxfId="8680" priority="8975" operator="containsText" text="Éxitoso">
      <formula>NOT(ISERROR(SEARCH("Éxitoso",Q146)))</formula>
    </cfRule>
  </conditionalFormatting>
  <conditionalFormatting sqref="R146">
    <cfRule type="containsText" dxfId="8679" priority="8966" operator="containsText" text="No se pudo ejecutar">
      <formula>NOT(ISERROR(SEARCH("No se pudo ejecutar",R146)))</formula>
    </cfRule>
    <cfRule type="containsText" dxfId="8678" priority="8967" operator="containsText" text="Pendiente">
      <formula>NOT(ISERROR(SEARCH("Pendiente",R146)))</formula>
    </cfRule>
    <cfRule type="containsText" dxfId="8677" priority="8968" operator="containsText" text="No Aplica">
      <formula>NOT(ISERROR(SEARCH("No Aplica",R146)))</formula>
    </cfRule>
    <cfRule type="containsText" dxfId="8676" priority="8969" operator="containsText" text="Fallido">
      <formula>NOT(ISERROR(SEARCH("Fallido",R146)))</formula>
    </cfRule>
    <cfRule type="containsText" dxfId="8675" priority="8970" operator="containsText" text="Éxitoso">
      <formula>NOT(ISERROR(SEARCH("Éxitoso",R146)))</formula>
    </cfRule>
  </conditionalFormatting>
  <conditionalFormatting sqref="S146">
    <cfRule type="containsText" dxfId="8674" priority="8961" operator="containsText" text="No se pudo ejecutar">
      <formula>NOT(ISERROR(SEARCH("No se pudo ejecutar",S146)))</formula>
    </cfRule>
    <cfRule type="containsText" dxfId="8673" priority="8962" operator="containsText" text="Pendiente">
      <formula>NOT(ISERROR(SEARCH("Pendiente",S146)))</formula>
    </cfRule>
    <cfRule type="containsText" dxfId="8672" priority="8963" operator="containsText" text="No Aplica">
      <formula>NOT(ISERROR(SEARCH("No Aplica",S146)))</formula>
    </cfRule>
    <cfRule type="containsText" dxfId="8671" priority="8964" operator="containsText" text="Fallido">
      <formula>NOT(ISERROR(SEARCH("Fallido",S146)))</formula>
    </cfRule>
    <cfRule type="containsText" dxfId="8670" priority="8965" operator="containsText" text="Éxitoso">
      <formula>NOT(ISERROR(SEARCH("Éxitoso",S146)))</formula>
    </cfRule>
  </conditionalFormatting>
  <conditionalFormatting sqref="T146">
    <cfRule type="containsText" dxfId="8669" priority="8956" operator="containsText" text="No se pudo ejecutar">
      <formula>NOT(ISERROR(SEARCH("No se pudo ejecutar",T146)))</formula>
    </cfRule>
    <cfRule type="containsText" dxfId="8668" priority="8957" operator="containsText" text="Pendiente">
      <formula>NOT(ISERROR(SEARCH("Pendiente",T146)))</formula>
    </cfRule>
    <cfRule type="containsText" dxfId="8667" priority="8958" operator="containsText" text="No Aplica">
      <formula>NOT(ISERROR(SEARCH("No Aplica",T146)))</formula>
    </cfRule>
    <cfRule type="containsText" dxfId="8666" priority="8959" operator="containsText" text="Fallido">
      <formula>NOT(ISERROR(SEARCH("Fallido",T146)))</formula>
    </cfRule>
    <cfRule type="containsText" dxfId="8665" priority="8960" operator="containsText" text="Éxitoso">
      <formula>NOT(ISERROR(SEARCH("Éxitoso",T146)))</formula>
    </cfRule>
  </conditionalFormatting>
  <conditionalFormatting sqref="U146">
    <cfRule type="containsText" dxfId="8664" priority="8951" operator="containsText" text="No se pudo ejecutar">
      <formula>NOT(ISERROR(SEARCH("No se pudo ejecutar",U146)))</formula>
    </cfRule>
    <cfRule type="containsText" dxfId="8663" priority="8952" operator="containsText" text="Pendiente">
      <formula>NOT(ISERROR(SEARCH("Pendiente",U146)))</formula>
    </cfRule>
    <cfRule type="containsText" dxfId="8662" priority="8953" operator="containsText" text="No Aplica">
      <formula>NOT(ISERROR(SEARCH("No Aplica",U146)))</formula>
    </cfRule>
    <cfRule type="containsText" dxfId="8661" priority="8954" operator="containsText" text="Fallido">
      <formula>NOT(ISERROR(SEARCH("Fallido",U146)))</formula>
    </cfRule>
    <cfRule type="containsText" dxfId="8660" priority="8955" operator="containsText" text="Éxitoso">
      <formula>NOT(ISERROR(SEARCH("Éxitoso",U146)))</formula>
    </cfRule>
  </conditionalFormatting>
  <conditionalFormatting sqref="V146">
    <cfRule type="containsText" dxfId="8659" priority="8946" operator="containsText" text="No se pudo ejecutar">
      <formula>NOT(ISERROR(SEARCH("No se pudo ejecutar",V146)))</formula>
    </cfRule>
    <cfRule type="containsText" dxfId="8658" priority="8947" operator="containsText" text="Pendiente">
      <formula>NOT(ISERROR(SEARCH("Pendiente",V146)))</formula>
    </cfRule>
    <cfRule type="containsText" dxfId="8657" priority="8948" operator="containsText" text="No Aplica">
      <formula>NOT(ISERROR(SEARCH("No Aplica",V146)))</formula>
    </cfRule>
    <cfRule type="containsText" dxfId="8656" priority="8949" operator="containsText" text="Fallido">
      <formula>NOT(ISERROR(SEARCH("Fallido",V146)))</formula>
    </cfRule>
    <cfRule type="containsText" dxfId="8655" priority="8950" operator="containsText" text="Éxitoso">
      <formula>NOT(ISERROR(SEARCH("Éxitoso",V146)))</formula>
    </cfRule>
  </conditionalFormatting>
  <conditionalFormatting sqref="W146">
    <cfRule type="containsText" dxfId="8654" priority="8941" operator="containsText" text="No se pudo ejecutar">
      <formula>NOT(ISERROR(SEARCH("No se pudo ejecutar",W146)))</formula>
    </cfRule>
    <cfRule type="containsText" dxfId="8653" priority="8942" operator="containsText" text="Pendiente">
      <formula>NOT(ISERROR(SEARCH("Pendiente",W146)))</formula>
    </cfRule>
    <cfRule type="containsText" dxfId="8652" priority="8943" operator="containsText" text="No Aplica">
      <formula>NOT(ISERROR(SEARCH("No Aplica",W146)))</formula>
    </cfRule>
    <cfRule type="containsText" dxfId="8651" priority="8944" operator="containsText" text="Fallido">
      <formula>NOT(ISERROR(SEARCH("Fallido",W146)))</formula>
    </cfRule>
    <cfRule type="containsText" dxfId="8650" priority="8945" operator="containsText" text="Éxitoso">
      <formula>NOT(ISERROR(SEARCH("Éxitoso",W146)))</formula>
    </cfRule>
  </conditionalFormatting>
  <conditionalFormatting sqref="M146">
    <cfRule type="containsText" dxfId="8649" priority="8936" operator="containsText" text="No se pudo ejecutar">
      <formula>NOT(ISERROR(SEARCH("No se pudo ejecutar",M146)))</formula>
    </cfRule>
    <cfRule type="containsText" dxfId="8648" priority="8937" operator="containsText" text="Pendiente">
      <formula>NOT(ISERROR(SEARCH("Pendiente",M146)))</formula>
    </cfRule>
    <cfRule type="containsText" dxfId="8647" priority="8938" operator="containsText" text="No Aplica">
      <formula>NOT(ISERROR(SEARCH("No Aplica",M146)))</formula>
    </cfRule>
    <cfRule type="containsText" dxfId="8646" priority="8939" operator="containsText" text="Fallido">
      <formula>NOT(ISERROR(SEARCH("Fallido",M146)))</formula>
    </cfRule>
    <cfRule type="containsText" dxfId="8645" priority="8940" operator="containsText" text="Éxitoso">
      <formula>NOT(ISERROR(SEARCH("Éxitoso",M146)))</formula>
    </cfRule>
  </conditionalFormatting>
  <conditionalFormatting sqref="G146">
    <cfRule type="containsText" dxfId="8644" priority="8933" operator="containsText" text="Bajo">
      <formula>NOT(ISERROR(SEARCH("Bajo",G146)))</formula>
    </cfRule>
    <cfRule type="containsText" dxfId="8643" priority="8934" operator="containsText" text="Medio">
      <formula>NOT(ISERROR(SEARCH("Medio",G146)))</formula>
    </cfRule>
    <cfRule type="containsText" dxfId="8642" priority="8935" operator="containsText" text="Alto">
      <formula>NOT(ISERROR(SEARCH("Alto",G146)))</formula>
    </cfRule>
  </conditionalFormatting>
  <conditionalFormatting sqref="N147">
    <cfRule type="containsText" dxfId="8641" priority="8928" operator="containsText" text="No se pudo ejecutar">
      <formula>NOT(ISERROR(SEARCH("No se pudo ejecutar",N147)))</formula>
    </cfRule>
    <cfRule type="containsText" dxfId="8640" priority="8929" operator="containsText" text="Pendiente">
      <formula>NOT(ISERROR(SEARCH("Pendiente",N147)))</formula>
    </cfRule>
    <cfRule type="containsText" dxfId="8639" priority="8930" operator="containsText" text="No Aplica">
      <formula>NOT(ISERROR(SEARCH("No Aplica",N147)))</formula>
    </cfRule>
    <cfRule type="containsText" dxfId="8638" priority="8931" operator="containsText" text="Fallido">
      <formula>NOT(ISERROR(SEARCH("Fallido",N147)))</formula>
    </cfRule>
    <cfRule type="containsText" dxfId="8637" priority="8932" operator="containsText" text="Éxitoso">
      <formula>NOT(ISERROR(SEARCH("Éxitoso",N147)))</formula>
    </cfRule>
  </conditionalFormatting>
  <conditionalFormatting sqref="O147">
    <cfRule type="containsText" dxfId="8636" priority="8923" operator="containsText" text="No se pudo ejecutar">
      <formula>NOT(ISERROR(SEARCH("No se pudo ejecutar",O147)))</formula>
    </cfRule>
    <cfRule type="containsText" dxfId="8635" priority="8924" operator="containsText" text="Pendiente">
      <formula>NOT(ISERROR(SEARCH("Pendiente",O147)))</formula>
    </cfRule>
    <cfRule type="containsText" dxfId="8634" priority="8925" operator="containsText" text="No Aplica">
      <formula>NOT(ISERROR(SEARCH("No Aplica",O147)))</formula>
    </cfRule>
    <cfRule type="containsText" dxfId="8633" priority="8926" operator="containsText" text="Fallido">
      <formula>NOT(ISERROR(SEARCH("Fallido",O147)))</formula>
    </cfRule>
    <cfRule type="containsText" dxfId="8632" priority="8927" operator="containsText" text="Éxitoso">
      <formula>NOT(ISERROR(SEARCH("Éxitoso",O147)))</formula>
    </cfRule>
  </conditionalFormatting>
  <conditionalFormatting sqref="P147">
    <cfRule type="containsText" dxfId="8631" priority="8918" operator="containsText" text="No se pudo ejecutar">
      <formula>NOT(ISERROR(SEARCH("No se pudo ejecutar",P147)))</formula>
    </cfRule>
    <cfRule type="containsText" dxfId="8630" priority="8919" operator="containsText" text="Pendiente">
      <formula>NOT(ISERROR(SEARCH("Pendiente",P147)))</formula>
    </cfRule>
    <cfRule type="containsText" dxfId="8629" priority="8920" operator="containsText" text="No Aplica">
      <formula>NOT(ISERROR(SEARCH("No Aplica",P147)))</formula>
    </cfRule>
    <cfRule type="containsText" dxfId="8628" priority="8921" operator="containsText" text="Fallido">
      <formula>NOT(ISERROR(SEARCH("Fallido",P147)))</formula>
    </cfRule>
    <cfRule type="containsText" dxfId="8627" priority="8922" operator="containsText" text="Éxitoso">
      <formula>NOT(ISERROR(SEARCH("Éxitoso",P147)))</formula>
    </cfRule>
  </conditionalFormatting>
  <conditionalFormatting sqref="Q147">
    <cfRule type="containsText" dxfId="8626" priority="8913" operator="containsText" text="No se pudo ejecutar">
      <formula>NOT(ISERROR(SEARCH("No se pudo ejecutar",Q147)))</formula>
    </cfRule>
    <cfRule type="containsText" dxfId="8625" priority="8914" operator="containsText" text="Pendiente">
      <formula>NOT(ISERROR(SEARCH("Pendiente",Q147)))</formula>
    </cfRule>
    <cfRule type="containsText" dxfId="8624" priority="8915" operator="containsText" text="No Aplica">
      <formula>NOT(ISERROR(SEARCH("No Aplica",Q147)))</formula>
    </cfRule>
    <cfRule type="containsText" dxfId="8623" priority="8916" operator="containsText" text="Fallido">
      <formula>NOT(ISERROR(SEARCH("Fallido",Q147)))</formula>
    </cfRule>
    <cfRule type="containsText" dxfId="8622" priority="8917" operator="containsText" text="Éxitoso">
      <formula>NOT(ISERROR(SEARCH("Éxitoso",Q147)))</formula>
    </cfRule>
  </conditionalFormatting>
  <conditionalFormatting sqref="R147">
    <cfRule type="containsText" dxfId="8621" priority="8908" operator="containsText" text="No se pudo ejecutar">
      <formula>NOT(ISERROR(SEARCH("No se pudo ejecutar",R147)))</formula>
    </cfRule>
    <cfRule type="containsText" dxfId="8620" priority="8909" operator="containsText" text="Pendiente">
      <formula>NOT(ISERROR(SEARCH("Pendiente",R147)))</formula>
    </cfRule>
    <cfRule type="containsText" dxfId="8619" priority="8910" operator="containsText" text="No Aplica">
      <formula>NOT(ISERROR(SEARCH("No Aplica",R147)))</formula>
    </cfRule>
    <cfRule type="containsText" dxfId="8618" priority="8911" operator="containsText" text="Fallido">
      <formula>NOT(ISERROR(SEARCH("Fallido",R147)))</formula>
    </cfRule>
    <cfRule type="containsText" dxfId="8617" priority="8912" operator="containsText" text="Éxitoso">
      <formula>NOT(ISERROR(SEARCH("Éxitoso",R147)))</formula>
    </cfRule>
  </conditionalFormatting>
  <conditionalFormatting sqref="S147">
    <cfRule type="containsText" dxfId="8616" priority="8903" operator="containsText" text="No se pudo ejecutar">
      <formula>NOT(ISERROR(SEARCH("No se pudo ejecutar",S147)))</formula>
    </cfRule>
    <cfRule type="containsText" dxfId="8615" priority="8904" operator="containsText" text="Pendiente">
      <formula>NOT(ISERROR(SEARCH("Pendiente",S147)))</formula>
    </cfRule>
    <cfRule type="containsText" dxfId="8614" priority="8905" operator="containsText" text="No Aplica">
      <formula>NOT(ISERROR(SEARCH("No Aplica",S147)))</formula>
    </cfRule>
    <cfRule type="containsText" dxfId="8613" priority="8906" operator="containsText" text="Fallido">
      <formula>NOT(ISERROR(SEARCH("Fallido",S147)))</formula>
    </cfRule>
    <cfRule type="containsText" dxfId="8612" priority="8907" operator="containsText" text="Éxitoso">
      <formula>NOT(ISERROR(SEARCH("Éxitoso",S147)))</formula>
    </cfRule>
  </conditionalFormatting>
  <conditionalFormatting sqref="T147">
    <cfRule type="containsText" dxfId="8611" priority="8898" operator="containsText" text="No se pudo ejecutar">
      <formula>NOT(ISERROR(SEARCH("No se pudo ejecutar",T147)))</formula>
    </cfRule>
    <cfRule type="containsText" dxfId="8610" priority="8899" operator="containsText" text="Pendiente">
      <formula>NOT(ISERROR(SEARCH("Pendiente",T147)))</formula>
    </cfRule>
    <cfRule type="containsText" dxfId="8609" priority="8900" operator="containsText" text="No Aplica">
      <formula>NOT(ISERROR(SEARCH("No Aplica",T147)))</formula>
    </cfRule>
    <cfRule type="containsText" dxfId="8608" priority="8901" operator="containsText" text="Fallido">
      <formula>NOT(ISERROR(SEARCH("Fallido",T147)))</formula>
    </cfRule>
    <cfRule type="containsText" dxfId="8607" priority="8902" operator="containsText" text="Éxitoso">
      <formula>NOT(ISERROR(SEARCH("Éxitoso",T147)))</formula>
    </cfRule>
  </conditionalFormatting>
  <conditionalFormatting sqref="U147">
    <cfRule type="containsText" dxfId="8606" priority="8893" operator="containsText" text="No se pudo ejecutar">
      <formula>NOT(ISERROR(SEARCH("No se pudo ejecutar",U147)))</formula>
    </cfRule>
    <cfRule type="containsText" dxfId="8605" priority="8894" operator="containsText" text="Pendiente">
      <formula>NOT(ISERROR(SEARCH("Pendiente",U147)))</formula>
    </cfRule>
    <cfRule type="containsText" dxfId="8604" priority="8895" operator="containsText" text="No Aplica">
      <formula>NOT(ISERROR(SEARCH("No Aplica",U147)))</formula>
    </cfRule>
    <cfRule type="containsText" dxfId="8603" priority="8896" operator="containsText" text="Fallido">
      <formula>NOT(ISERROR(SEARCH("Fallido",U147)))</formula>
    </cfRule>
    <cfRule type="containsText" dxfId="8602" priority="8897" operator="containsText" text="Éxitoso">
      <formula>NOT(ISERROR(SEARCH("Éxitoso",U147)))</formula>
    </cfRule>
  </conditionalFormatting>
  <conditionalFormatting sqref="V147">
    <cfRule type="containsText" dxfId="8601" priority="8888" operator="containsText" text="No se pudo ejecutar">
      <formula>NOT(ISERROR(SEARCH("No se pudo ejecutar",V147)))</formula>
    </cfRule>
    <cfRule type="containsText" dxfId="8600" priority="8889" operator="containsText" text="Pendiente">
      <formula>NOT(ISERROR(SEARCH("Pendiente",V147)))</formula>
    </cfRule>
    <cfRule type="containsText" dxfId="8599" priority="8890" operator="containsText" text="No Aplica">
      <formula>NOT(ISERROR(SEARCH("No Aplica",V147)))</formula>
    </cfRule>
    <cfRule type="containsText" dxfId="8598" priority="8891" operator="containsText" text="Fallido">
      <formula>NOT(ISERROR(SEARCH("Fallido",V147)))</formula>
    </cfRule>
    <cfRule type="containsText" dxfId="8597" priority="8892" operator="containsText" text="Éxitoso">
      <formula>NOT(ISERROR(SEARCH("Éxitoso",V147)))</formula>
    </cfRule>
  </conditionalFormatting>
  <conditionalFormatting sqref="W147">
    <cfRule type="containsText" dxfId="8596" priority="8883" operator="containsText" text="No se pudo ejecutar">
      <formula>NOT(ISERROR(SEARCH("No se pudo ejecutar",W147)))</formula>
    </cfRule>
    <cfRule type="containsText" dxfId="8595" priority="8884" operator="containsText" text="Pendiente">
      <formula>NOT(ISERROR(SEARCH("Pendiente",W147)))</formula>
    </cfRule>
    <cfRule type="containsText" dxfId="8594" priority="8885" operator="containsText" text="No Aplica">
      <formula>NOT(ISERROR(SEARCH("No Aplica",W147)))</formula>
    </cfRule>
    <cfRule type="containsText" dxfId="8593" priority="8886" operator="containsText" text="Fallido">
      <formula>NOT(ISERROR(SEARCH("Fallido",W147)))</formula>
    </cfRule>
    <cfRule type="containsText" dxfId="8592" priority="8887" operator="containsText" text="Éxitoso">
      <formula>NOT(ISERROR(SEARCH("Éxitoso",W147)))</formula>
    </cfRule>
  </conditionalFormatting>
  <conditionalFormatting sqref="M147">
    <cfRule type="containsText" dxfId="8591" priority="8878" operator="containsText" text="No se pudo ejecutar">
      <formula>NOT(ISERROR(SEARCH("No se pudo ejecutar",M147)))</formula>
    </cfRule>
    <cfRule type="containsText" dxfId="8590" priority="8879" operator="containsText" text="Pendiente">
      <formula>NOT(ISERROR(SEARCH("Pendiente",M147)))</formula>
    </cfRule>
    <cfRule type="containsText" dxfId="8589" priority="8880" operator="containsText" text="No Aplica">
      <formula>NOT(ISERROR(SEARCH("No Aplica",M147)))</formula>
    </cfRule>
    <cfRule type="containsText" dxfId="8588" priority="8881" operator="containsText" text="Fallido">
      <formula>NOT(ISERROR(SEARCH("Fallido",M147)))</formula>
    </cfRule>
    <cfRule type="containsText" dxfId="8587" priority="8882" operator="containsText" text="Éxitoso">
      <formula>NOT(ISERROR(SEARCH("Éxitoso",M147)))</formula>
    </cfRule>
  </conditionalFormatting>
  <conditionalFormatting sqref="G147">
    <cfRule type="containsText" dxfId="8586" priority="8875" operator="containsText" text="Bajo">
      <formula>NOT(ISERROR(SEARCH("Bajo",G147)))</formula>
    </cfRule>
    <cfRule type="containsText" dxfId="8585" priority="8876" operator="containsText" text="Medio">
      <formula>NOT(ISERROR(SEARCH("Medio",G147)))</formula>
    </cfRule>
    <cfRule type="containsText" dxfId="8584" priority="8877" operator="containsText" text="Alto">
      <formula>NOT(ISERROR(SEARCH("Alto",G147)))</formula>
    </cfRule>
  </conditionalFormatting>
  <conditionalFormatting sqref="N148">
    <cfRule type="containsText" dxfId="8583" priority="8870" operator="containsText" text="No se pudo ejecutar">
      <formula>NOT(ISERROR(SEARCH("No se pudo ejecutar",N148)))</formula>
    </cfRule>
    <cfRule type="containsText" dxfId="8582" priority="8871" operator="containsText" text="Pendiente">
      <formula>NOT(ISERROR(SEARCH("Pendiente",N148)))</formula>
    </cfRule>
    <cfRule type="containsText" dxfId="8581" priority="8872" operator="containsText" text="No Aplica">
      <formula>NOT(ISERROR(SEARCH("No Aplica",N148)))</formula>
    </cfRule>
    <cfRule type="containsText" dxfId="8580" priority="8873" operator="containsText" text="Fallido">
      <formula>NOT(ISERROR(SEARCH("Fallido",N148)))</formula>
    </cfRule>
    <cfRule type="containsText" dxfId="8579" priority="8874" operator="containsText" text="Éxitoso">
      <formula>NOT(ISERROR(SEARCH("Éxitoso",N148)))</formula>
    </cfRule>
  </conditionalFormatting>
  <conditionalFormatting sqref="O148">
    <cfRule type="containsText" dxfId="8578" priority="8865" operator="containsText" text="No se pudo ejecutar">
      <formula>NOT(ISERROR(SEARCH("No se pudo ejecutar",O148)))</formula>
    </cfRule>
    <cfRule type="containsText" dxfId="8577" priority="8866" operator="containsText" text="Pendiente">
      <formula>NOT(ISERROR(SEARCH("Pendiente",O148)))</formula>
    </cfRule>
    <cfRule type="containsText" dxfId="8576" priority="8867" operator="containsText" text="No Aplica">
      <formula>NOT(ISERROR(SEARCH("No Aplica",O148)))</formula>
    </cfRule>
    <cfRule type="containsText" dxfId="8575" priority="8868" operator="containsText" text="Fallido">
      <formula>NOT(ISERROR(SEARCH("Fallido",O148)))</formula>
    </cfRule>
    <cfRule type="containsText" dxfId="8574" priority="8869" operator="containsText" text="Éxitoso">
      <formula>NOT(ISERROR(SEARCH("Éxitoso",O148)))</formula>
    </cfRule>
  </conditionalFormatting>
  <conditionalFormatting sqref="P148">
    <cfRule type="containsText" dxfId="8573" priority="8860" operator="containsText" text="No se pudo ejecutar">
      <formula>NOT(ISERROR(SEARCH("No se pudo ejecutar",P148)))</formula>
    </cfRule>
    <cfRule type="containsText" dxfId="8572" priority="8861" operator="containsText" text="Pendiente">
      <formula>NOT(ISERROR(SEARCH("Pendiente",P148)))</formula>
    </cfRule>
    <cfRule type="containsText" dxfId="8571" priority="8862" operator="containsText" text="No Aplica">
      <formula>NOT(ISERROR(SEARCH("No Aplica",P148)))</formula>
    </cfRule>
    <cfRule type="containsText" dxfId="8570" priority="8863" operator="containsText" text="Fallido">
      <formula>NOT(ISERROR(SEARCH("Fallido",P148)))</formula>
    </cfRule>
    <cfRule type="containsText" dxfId="8569" priority="8864" operator="containsText" text="Éxitoso">
      <formula>NOT(ISERROR(SEARCH("Éxitoso",P148)))</formula>
    </cfRule>
  </conditionalFormatting>
  <conditionalFormatting sqref="Q148">
    <cfRule type="containsText" dxfId="8568" priority="8855" operator="containsText" text="No se pudo ejecutar">
      <formula>NOT(ISERROR(SEARCH("No se pudo ejecutar",Q148)))</formula>
    </cfRule>
    <cfRule type="containsText" dxfId="8567" priority="8856" operator="containsText" text="Pendiente">
      <formula>NOT(ISERROR(SEARCH("Pendiente",Q148)))</formula>
    </cfRule>
    <cfRule type="containsText" dxfId="8566" priority="8857" operator="containsText" text="No Aplica">
      <formula>NOT(ISERROR(SEARCH("No Aplica",Q148)))</formula>
    </cfRule>
    <cfRule type="containsText" dxfId="8565" priority="8858" operator="containsText" text="Fallido">
      <formula>NOT(ISERROR(SEARCH("Fallido",Q148)))</formula>
    </cfRule>
    <cfRule type="containsText" dxfId="8564" priority="8859" operator="containsText" text="Éxitoso">
      <formula>NOT(ISERROR(SEARCH("Éxitoso",Q148)))</formula>
    </cfRule>
  </conditionalFormatting>
  <conditionalFormatting sqref="R148">
    <cfRule type="containsText" dxfId="8563" priority="8850" operator="containsText" text="No se pudo ejecutar">
      <formula>NOT(ISERROR(SEARCH("No se pudo ejecutar",R148)))</formula>
    </cfRule>
    <cfRule type="containsText" dxfId="8562" priority="8851" operator="containsText" text="Pendiente">
      <formula>NOT(ISERROR(SEARCH("Pendiente",R148)))</formula>
    </cfRule>
    <cfRule type="containsText" dxfId="8561" priority="8852" operator="containsText" text="No Aplica">
      <formula>NOT(ISERROR(SEARCH("No Aplica",R148)))</formula>
    </cfRule>
    <cfRule type="containsText" dxfId="8560" priority="8853" operator="containsText" text="Fallido">
      <formula>NOT(ISERROR(SEARCH("Fallido",R148)))</formula>
    </cfRule>
    <cfRule type="containsText" dxfId="8559" priority="8854" operator="containsText" text="Éxitoso">
      <formula>NOT(ISERROR(SEARCH("Éxitoso",R148)))</formula>
    </cfRule>
  </conditionalFormatting>
  <conditionalFormatting sqref="S148">
    <cfRule type="containsText" dxfId="8558" priority="8845" operator="containsText" text="No se pudo ejecutar">
      <formula>NOT(ISERROR(SEARCH("No se pudo ejecutar",S148)))</formula>
    </cfRule>
    <cfRule type="containsText" dxfId="8557" priority="8846" operator="containsText" text="Pendiente">
      <formula>NOT(ISERROR(SEARCH("Pendiente",S148)))</formula>
    </cfRule>
    <cfRule type="containsText" dxfId="8556" priority="8847" operator="containsText" text="No Aplica">
      <formula>NOT(ISERROR(SEARCH("No Aplica",S148)))</formula>
    </cfRule>
    <cfRule type="containsText" dxfId="8555" priority="8848" operator="containsText" text="Fallido">
      <formula>NOT(ISERROR(SEARCH("Fallido",S148)))</formula>
    </cfRule>
    <cfRule type="containsText" dxfId="8554" priority="8849" operator="containsText" text="Éxitoso">
      <formula>NOT(ISERROR(SEARCH("Éxitoso",S148)))</formula>
    </cfRule>
  </conditionalFormatting>
  <conditionalFormatting sqref="T148">
    <cfRule type="containsText" dxfId="8553" priority="8840" operator="containsText" text="No se pudo ejecutar">
      <formula>NOT(ISERROR(SEARCH("No se pudo ejecutar",T148)))</formula>
    </cfRule>
    <cfRule type="containsText" dxfId="8552" priority="8841" operator="containsText" text="Pendiente">
      <formula>NOT(ISERROR(SEARCH("Pendiente",T148)))</formula>
    </cfRule>
    <cfRule type="containsText" dxfId="8551" priority="8842" operator="containsText" text="No Aplica">
      <formula>NOT(ISERROR(SEARCH("No Aplica",T148)))</formula>
    </cfRule>
    <cfRule type="containsText" dxfId="8550" priority="8843" operator="containsText" text="Fallido">
      <formula>NOT(ISERROR(SEARCH("Fallido",T148)))</formula>
    </cfRule>
    <cfRule type="containsText" dxfId="8549" priority="8844" operator="containsText" text="Éxitoso">
      <formula>NOT(ISERROR(SEARCH("Éxitoso",T148)))</formula>
    </cfRule>
  </conditionalFormatting>
  <conditionalFormatting sqref="U148">
    <cfRule type="containsText" dxfId="8548" priority="8835" operator="containsText" text="No se pudo ejecutar">
      <formula>NOT(ISERROR(SEARCH("No se pudo ejecutar",U148)))</formula>
    </cfRule>
    <cfRule type="containsText" dxfId="8547" priority="8836" operator="containsText" text="Pendiente">
      <formula>NOT(ISERROR(SEARCH("Pendiente",U148)))</formula>
    </cfRule>
    <cfRule type="containsText" dxfId="8546" priority="8837" operator="containsText" text="No Aplica">
      <formula>NOT(ISERROR(SEARCH("No Aplica",U148)))</formula>
    </cfRule>
    <cfRule type="containsText" dxfId="8545" priority="8838" operator="containsText" text="Fallido">
      <formula>NOT(ISERROR(SEARCH("Fallido",U148)))</formula>
    </cfRule>
    <cfRule type="containsText" dxfId="8544" priority="8839" operator="containsText" text="Éxitoso">
      <formula>NOT(ISERROR(SEARCH("Éxitoso",U148)))</formula>
    </cfRule>
  </conditionalFormatting>
  <conditionalFormatting sqref="V148">
    <cfRule type="containsText" dxfId="8543" priority="8830" operator="containsText" text="No se pudo ejecutar">
      <formula>NOT(ISERROR(SEARCH("No se pudo ejecutar",V148)))</formula>
    </cfRule>
    <cfRule type="containsText" dxfId="8542" priority="8831" operator="containsText" text="Pendiente">
      <formula>NOT(ISERROR(SEARCH("Pendiente",V148)))</formula>
    </cfRule>
    <cfRule type="containsText" dxfId="8541" priority="8832" operator="containsText" text="No Aplica">
      <formula>NOT(ISERROR(SEARCH("No Aplica",V148)))</formula>
    </cfRule>
    <cfRule type="containsText" dxfId="8540" priority="8833" operator="containsText" text="Fallido">
      <formula>NOT(ISERROR(SEARCH("Fallido",V148)))</formula>
    </cfRule>
    <cfRule type="containsText" dxfId="8539" priority="8834" operator="containsText" text="Éxitoso">
      <formula>NOT(ISERROR(SEARCH("Éxitoso",V148)))</formula>
    </cfRule>
  </conditionalFormatting>
  <conditionalFormatting sqref="W148">
    <cfRule type="containsText" dxfId="8538" priority="8825" operator="containsText" text="No se pudo ejecutar">
      <formula>NOT(ISERROR(SEARCH("No se pudo ejecutar",W148)))</formula>
    </cfRule>
    <cfRule type="containsText" dxfId="8537" priority="8826" operator="containsText" text="Pendiente">
      <formula>NOT(ISERROR(SEARCH("Pendiente",W148)))</formula>
    </cfRule>
    <cfRule type="containsText" dxfId="8536" priority="8827" operator="containsText" text="No Aplica">
      <formula>NOT(ISERROR(SEARCH("No Aplica",W148)))</formula>
    </cfRule>
    <cfRule type="containsText" dxfId="8535" priority="8828" operator="containsText" text="Fallido">
      <formula>NOT(ISERROR(SEARCH("Fallido",W148)))</formula>
    </cfRule>
    <cfRule type="containsText" dxfId="8534" priority="8829" operator="containsText" text="Éxitoso">
      <formula>NOT(ISERROR(SEARCH("Éxitoso",W148)))</formula>
    </cfRule>
  </conditionalFormatting>
  <conditionalFormatting sqref="M148">
    <cfRule type="containsText" dxfId="8533" priority="8820" operator="containsText" text="No se pudo ejecutar">
      <formula>NOT(ISERROR(SEARCH("No se pudo ejecutar",M148)))</formula>
    </cfRule>
    <cfRule type="containsText" dxfId="8532" priority="8821" operator="containsText" text="Pendiente">
      <formula>NOT(ISERROR(SEARCH("Pendiente",M148)))</formula>
    </cfRule>
    <cfRule type="containsText" dxfId="8531" priority="8822" operator="containsText" text="No Aplica">
      <formula>NOT(ISERROR(SEARCH("No Aplica",M148)))</formula>
    </cfRule>
    <cfRule type="containsText" dxfId="8530" priority="8823" operator="containsText" text="Fallido">
      <formula>NOT(ISERROR(SEARCH("Fallido",M148)))</formula>
    </cfRule>
    <cfRule type="containsText" dxfId="8529" priority="8824" operator="containsText" text="Éxitoso">
      <formula>NOT(ISERROR(SEARCH("Éxitoso",M148)))</formula>
    </cfRule>
  </conditionalFormatting>
  <conditionalFormatting sqref="G148">
    <cfRule type="containsText" dxfId="8528" priority="8817" operator="containsText" text="Bajo">
      <formula>NOT(ISERROR(SEARCH("Bajo",G148)))</formula>
    </cfRule>
    <cfRule type="containsText" dxfId="8527" priority="8818" operator="containsText" text="Medio">
      <formula>NOT(ISERROR(SEARCH("Medio",G148)))</formula>
    </cfRule>
    <cfRule type="containsText" dxfId="8526" priority="8819" operator="containsText" text="Alto">
      <formula>NOT(ISERROR(SEARCH("Alto",G148)))</formula>
    </cfRule>
  </conditionalFormatting>
  <conditionalFormatting sqref="N149">
    <cfRule type="containsText" dxfId="8525" priority="8812" operator="containsText" text="No se pudo ejecutar">
      <formula>NOT(ISERROR(SEARCH("No se pudo ejecutar",N149)))</formula>
    </cfRule>
    <cfRule type="containsText" dxfId="8524" priority="8813" operator="containsText" text="Pendiente">
      <formula>NOT(ISERROR(SEARCH("Pendiente",N149)))</formula>
    </cfRule>
    <cfRule type="containsText" dxfId="8523" priority="8814" operator="containsText" text="No Aplica">
      <formula>NOT(ISERROR(SEARCH("No Aplica",N149)))</formula>
    </cfRule>
    <cfRule type="containsText" dxfId="8522" priority="8815" operator="containsText" text="Fallido">
      <formula>NOT(ISERROR(SEARCH("Fallido",N149)))</formula>
    </cfRule>
    <cfRule type="containsText" dxfId="8521" priority="8816" operator="containsText" text="Éxitoso">
      <formula>NOT(ISERROR(SEARCH("Éxitoso",N149)))</formula>
    </cfRule>
  </conditionalFormatting>
  <conditionalFormatting sqref="O149">
    <cfRule type="containsText" dxfId="8520" priority="8807" operator="containsText" text="No se pudo ejecutar">
      <formula>NOT(ISERROR(SEARCH("No se pudo ejecutar",O149)))</formula>
    </cfRule>
    <cfRule type="containsText" dxfId="8519" priority="8808" operator="containsText" text="Pendiente">
      <formula>NOT(ISERROR(SEARCH("Pendiente",O149)))</formula>
    </cfRule>
    <cfRule type="containsText" dxfId="8518" priority="8809" operator="containsText" text="No Aplica">
      <formula>NOT(ISERROR(SEARCH("No Aplica",O149)))</formula>
    </cfRule>
    <cfRule type="containsText" dxfId="8517" priority="8810" operator="containsText" text="Fallido">
      <formula>NOT(ISERROR(SEARCH("Fallido",O149)))</formula>
    </cfRule>
    <cfRule type="containsText" dxfId="8516" priority="8811" operator="containsText" text="Éxitoso">
      <formula>NOT(ISERROR(SEARCH("Éxitoso",O149)))</formula>
    </cfRule>
  </conditionalFormatting>
  <conditionalFormatting sqref="P149">
    <cfRule type="containsText" dxfId="8515" priority="8802" operator="containsText" text="No se pudo ejecutar">
      <formula>NOT(ISERROR(SEARCH("No se pudo ejecutar",P149)))</formula>
    </cfRule>
    <cfRule type="containsText" dxfId="8514" priority="8803" operator="containsText" text="Pendiente">
      <formula>NOT(ISERROR(SEARCH("Pendiente",P149)))</formula>
    </cfRule>
    <cfRule type="containsText" dxfId="8513" priority="8804" operator="containsText" text="No Aplica">
      <formula>NOT(ISERROR(SEARCH("No Aplica",P149)))</formula>
    </cfRule>
    <cfRule type="containsText" dxfId="8512" priority="8805" operator="containsText" text="Fallido">
      <formula>NOT(ISERROR(SEARCH("Fallido",P149)))</formula>
    </cfRule>
    <cfRule type="containsText" dxfId="8511" priority="8806" operator="containsText" text="Éxitoso">
      <formula>NOT(ISERROR(SEARCH("Éxitoso",P149)))</formula>
    </cfRule>
  </conditionalFormatting>
  <conditionalFormatting sqref="Q149">
    <cfRule type="containsText" dxfId="8510" priority="8797" operator="containsText" text="No se pudo ejecutar">
      <formula>NOT(ISERROR(SEARCH("No se pudo ejecutar",Q149)))</formula>
    </cfRule>
    <cfRule type="containsText" dxfId="8509" priority="8798" operator="containsText" text="Pendiente">
      <formula>NOT(ISERROR(SEARCH("Pendiente",Q149)))</formula>
    </cfRule>
    <cfRule type="containsText" dxfId="8508" priority="8799" operator="containsText" text="No Aplica">
      <formula>NOT(ISERROR(SEARCH("No Aplica",Q149)))</formula>
    </cfRule>
    <cfRule type="containsText" dxfId="8507" priority="8800" operator="containsText" text="Fallido">
      <formula>NOT(ISERROR(SEARCH("Fallido",Q149)))</formula>
    </cfRule>
    <cfRule type="containsText" dxfId="8506" priority="8801" operator="containsText" text="Éxitoso">
      <formula>NOT(ISERROR(SEARCH("Éxitoso",Q149)))</formula>
    </cfRule>
  </conditionalFormatting>
  <conditionalFormatting sqref="R149">
    <cfRule type="containsText" dxfId="8505" priority="8792" operator="containsText" text="No se pudo ejecutar">
      <formula>NOT(ISERROR(SEARCH("No se pudo ejecutar",R149)))</formula>
    </cfRule>
    <cfRule type="containsText" dxfId="8504" priority="8793" operator="containsText" text="Pendiente">
      <formula>NOT(ISERROR(SEARCH("Pendiente",R149)))</formula>
    </cfRule>
    <cfRule type="containsText" dxfId="8503" priority="8794" operator="containsText" text="No Aplica">
      <formula>NOT(ISERROR(SEARCH("No Aplica",R149)))</formula>
    </cfRule>
    <cfRule type="containsText" dxfId="8502" priority="8795" operator="containsText" text="Fallido">
      <formula>NOT(ISERROR(SEARCH("Fallido",R149)))</formula>
    </cfRule>
    <cfRule type="containsText" dxfId="8501" priority="8796" operator="containsText" text="Éxitoso">
      <formula>NOT(ISERROR(SEARCH("Éxitoso",R149)))</formula>
    </cfRule>
  </conditionalFormatting>
  <conditionalFormatting sqref="S149">
    <cfRule type="containsText" dxfId="8500" priority="8787" operator="containsText" text="No se pudo ejecutar">
      <formula>NOT(ISERROR(SEARCH("No se pudo ejecutar",S149)))</formula>
    </cfRule>
    <cfRule type="containsText" dxfId="8499" priority="8788" operator="containsText" text="Pendiente">
      <formula>NOT(ISERROR(SEARCH("Pendiente",S149)))</formula>
    </cfRule>
    <cfRule type="containsText" dxfId="8498" priority="8789" operator="containsText" text="No Aplica">
      <formula>NOT(ISERROR(SEARCH("No Aplica",S149)))</formula>
    </cfRule>
    <cfRule type="containsText" dxfId="8497" priority="8790" operator="containsText" text="Fallido">
      <formula>NOT(ISERROR(SEARCH("Fallido",S149)))</formula>
    </cfRule>
    <cfRule type="containsText" dxfId="8496" priority="8791" operator="containsText" text="Éxitoso">
      <formula>NOT(ISERROR(SEARCH("Éxitoso",S149)))</formula>
    </cfRule>
  </conditionalFormatting>
  <conditionalFormatting sqref="T149">
    <cfRule type="containsText" dxfId="8495" priority="8782" operator="containsText" text="No se pudo ejecutar">
      <formula>NOT(ISERROR(SEARCH("No se pudo ejecutar",T149)))</formula>
    </cfRule>
    <cfRule type="containsText" dxfId="8494" priority="8783" operator="containsText" text="Pendiente">
      <formula>NOT(ISERROR(SEARCH("Pendiente",T149)))</formula>
    </cfRule>
    <cfRule type="containsText" dxfId="8493" priority="8784" operator="containsText" text="No Aplica">
      <formula>NOT(ISERROR(SEARCH("No Aplica",T149)))</formula>
    </cfRule>
    <cfRule type="containsText" dxfId="8492" priority="8785" operator="containsText" text="Fallido">
      <formula>NOT(ISERROR(SEARCH("Fallido",T149)))</formula>
    </cfRule>
    <cfRule type="containsText" dxfId="8491" priority="8786" operator="containsText" text="Éxitoso">
      <formula>NOT(ISERROR(SEARCH("Éxitoso",T149)))</formula>
    </cfRule>
  </conditionalFormatting>
  <conditionalFormatting sqref="U149">
    <cfRule type="containsText" dxfId="8490" priority="8777" operator="containsText" text="No se pudo ejecutar">
      <formula>NOT(ISERROR(SEARCH("No se pudo ejecutar",U149)))</formula>
    </cfRule>
    <cfRule type="containsText" dxfId="8489" priority="8778" operator="containsText" text="Pendiente">
      <formula>NOT(ISERROR(SEARCH("Pendiente",U149)))</formula>
    </cfRule>
    <cfRule type="containsText" dxfId="8488" priority="8779" operator="containsText" text="No Aplica">
      <formula>NOT(ISERROR(SEARCH("No Aplica",U149)))</formula>
    </cfRule>
    <cfRule type="containsText" dxfId="8487" priority="8780" operator="containsText" text="Fallido">
      <formula>NOT(ISERROR(SEARCH("Fallido",U149)))</formula>
    </cfRule>
    <cfRule type="containsText" dxfId="8486" priority="8781" operator="containsText" text="Éxitoso">
      <formula>NOT(ISERROR(SEARCH("Éxitoso",U149)))</formula>
    </cfRule>
  </conditionalFormatting>
  <conditionalFormatting sqref="V149">
    <cfRule type="containsText" dxfId="8485" priority="8772" operator="containsText" text="No se pudo ejecutar">
      <formula>NOT(ISERROR(SEARCH("No se pudo ejecutar",V149)))</formula>
    </cfRule>
    <cfRule type="containsText" dxfId="8484" priority="8773" operator="containsText" text="Pendiente">
      <formula>NOT(ISERROR(SEARCH("Pendiente",V149)))</formula>
    </cfRule>
    <cfRule type="containsText" dxfId="8483" priority="8774" operator="containsText" text="No Aplica">
      <formula>NOT(ISERROR(SEARCH("No Aplica",V149)))</formula>
    </cfRule>
    <cfRule type="containsText" dxfId="8482" priority="8775" operator="containsText" text="Fallido">
      <formula>NOT(ISERROR(SEARCH("Fallido",V149)))</formula>
    </cfRule>
    <cfRule type="containsText" dxfId="8481" priority="8776" operator="containsText" text="Éxitoso">
      <formula>NOT(ISERROR(SEARCH("Éxitoso",V149)))</formula>
    </cfRule>
  </conditionalFormatting>
  <conditionalFormatting sqref="W149">
    <cfRule type="containsText" dxfId="8480" priority="8767" operator="containsText" text="No se pudo ejecutar">
      <formula>NOT(ISERROR(SEARCH("No se pudo ejecutar",W149)))</formula>
    </cfRule>
    <cfRule type="containsText" dxfId="8479" priority="8768" operator="containsText" text="Pendiente">
      <formula>NOT(ISERROR(SEARCH("Pendiente",W149)))</formula>
    </cfRule>
    <cfRule type="containsText" dxfId="8478" priority="8769" operator="containsText" text="No Aplica">
      <formula>NOT(ISERROR(SEARCH("No Aplica",W149)))</formula>
    </cfRule>
    <cfRule type="containsText" dxfId="8477" priority="8770" operator="containsText" text="Fallido">
      <formula>NOT(ISERROR(SEARCH("Fallido",W149)))</formula>
    </cfRule>
    <cfRule type="containsText" dxfId="8476" priority="8771" operator="containsText" text="Éxitoso">
      <formula>NOT(ISERROR(SEARCH("Éxitoso",W149)))</formula>
    </cfRule>
  </conditionalFormatting>
  <conditionalFormatting sqref="M149">
    <cfRule type="containsText" dxfId="8475" priority="8762" operator="containsText" text="No se pudo ejecutar">
      <formula>NOT(ISERROR(SEARCH("No se pudo ejecutar",M149)))</formula>
    </cfRule>
    <cfRule type="containsText" dxfId="8474" priority="8763" operator="containsText" text="Pendiente">
      <formula>NOT(ISERROR(SEARCH("Pendiente",M149)))</formula>
    </cfRule>
    <cfRule type="containsText" dxfId="8473" priority="8764" operator="containsText" text="No Aplica">
      <formula>NOT(ISERROR(SEARCH("No Aplica",M149)))</formula>
    </cfRule>
    <cfRule type="containsText" dxfId="8472" priority="8765" operator="containsText" text="Fallido">
      <formula>NOT(ISERROR(SEARCH("Fallido",M149)))</formula>
    </cfRule>
    <cfRule type="containsText" dxfId="8471" priority="8766" operator="containsText" text="Éxitoso">
      <formula>NOT(ISERROR(SEARCH("Éxitoso",M149)))</formula>
    </cfRule>
  </conditionalFormatting>
  <conditionalFormatting sqref="G149">
    <cfRule type="containsText" dxfId="8470" priority="8759" operator="containsText" text="Bajo">
      <formula>NOT(ISERROR(SEARCH("Bajo",G149)))</formula>
    </cfRule>
    <cfRule type="containsText" dxfId="8469" priority="8760" operator="containsText" text="Medio">
      <formula>NOT(ISERROR(SEARCH("Medio",G149)))</formula>
    </cfRule>
    <cfRule type="containsText" dxfId="8468" priority="8761" operator="containsText" text="Alto">
      <formula>NOT(ISERROR(SEARCH("Alto",G149)))</formula>
    </cfRule>
  </conditionalFormatting>
  <conditionalFormatting sqref="N150">
    <cfRule type="containsText" dxfId="8467" priority="8754" operator="containsText" text="No se pudo ejecutar">
      <formula>NOT(ISERROR(SEARCH("No se pudo ejecutar",N150)))</formula>
    </cfRule>
    <cfRule type="containsText" dxfId="8466" priority="8755" operator="containsText" text="Pendiente">
      <formula>NOT(ISERROR(SEARCH("Pendiente",N150)))</formula>
    </cfRule>
    <cfRule type="containsText" dxfId="8465" priority="8756" operator="containsText" text="No Aplica">
      <formula>NOT(ISERROR(SEARCH("No Aplica",N150)))</formula>
    </cfRule>
    <cfRule type="containsText" dxfId="8464" priority="8757" operator="containsText" text="Fallido">
      <formula>NOT(ISERROR(SEARCH("Fallido",N150)))</formula>
    </cfRule>
    <cfRule type="containsText" dxfId="8463" priority="8758" operator="containsText" text="Éxitoso">
      <formula>NOT(ISERROR(SEARCH("Éxitoso",N150)))</formula>
    </cfRule>
  </conditionalFormatting>
  <conditionalFormatting sqref="O150">
    <cfRule type="containsText" dxfId="8462" priority="8749" operator="containsText" text="No se pudo ejecutar">
      <formula>NOT(ISERROR(SEARCH("No se pudo ejecutar",O150)))</formula>
    </cfRule>
    <cfRule type="containsText" dxfId="8461" priority="8750" operator="containsText" text="Pendiente">
      <formula>NOT(ISERROR(SEARCH("Pendiente",O150)))</formula>
    </cfRule>
    <cfRule type="containsText" dxfId="8460" priority="8751" operator="containsText" text="No Aplica">
      <formula>NOT(ISERROR(SEARCH("No Aplica",O150)))</formula>
    </cfRule>
    <cfRule type="containsText" dxfId="8459" priority="8752" operator="containsText" text="Fallido">
      <formula>NOT(ISERROR(SEARCH("Fallido",O150)))</formula>
    </cfRule>
    <cfRule type="containsText" dxfId="8458" priority="8753" operator="containsText" text="Éxitoso">
      <formula>NOT(ISERROR(SEARCH("Éxitoso",O150)))</formula>
    </cfRule>
  </conditionalFormatting>
  <conditionalFormatting sqref="P150">
    <cfRule type="containsText" dxfId="8457" priority="8744" operator="containsText" text="No se pudo ejecutar">
      <formula>NOT(ISERROR(SEARCH("No se pudo ejecutar",P150)))</formula>
    </cfRule>
    <cfRule type="containsText" dxfId="8456" priority="8745" operator="containsText" text="Pendiente">
      <formula>NOT(ISERROR(SEARCH("Pendiente",P150)))</formula>
    </cfRule>
    <cfRule type="containsText" dxfId="8455" priority="8746" operator="containsText" text="No Aplica">
      <formula>NOT(ISERROR(SEARCH("No Aplica",P150)))</formula>
    </cfRule>
    <cfRule type="containsText" dxfId="8454" priority="8747" operator="containsText" text="Fallido">
      <formula>NOT(ISERROR(SEARCH("Fallido",P150)))</formula>
    </cfRule>
    <cfRule type="containsText" dxfId="8453" priority="8748" operator="containsText" text="Éxitoso">
      <formula>NOT(ISERROR(SEARCH("Éxitoso",P150)))</formula>
    </cfRule>
  </conditionalFormatting>
  <conditionalFormatting sqref="Q150">
    <cfRule type="containsText" dxfId="8452" priority="8739" operator="containsText" text="No se pudo ejecutar">
      <formula>NOT(ISERROR(SEARCH("No se pudo ejecutar",Q150)))</formula>
    </cfRule>
    <cfRule type="containsText" dxfId="8451" priority="8740" operator="containsText" text="Pendiente">
      <formula>NOT(ISERROR(SEARCH("Pendiente",Q150)))</formula>
    </cfRule>
    <cfRule type="containsText" dxfId="8450" priority="8741" operator="containsText" text="No Aplica">
      <formula>NOT(ISERROR(SEARCH("No Aplica",Q150)))</formula>
    </cfRule>
    <cfRule type="containsText" dxfId="8449" priority="8742" operator="containsText" text="Fallido">
      <formula>NOT(ISERROR(SEARCH("Fallido",Q150)))</formula>
    </cfRule>
    <cfRule type="containsText" dxfId="8448" priority="8743" operator="containsText" text="Éxitoso">
      <formula>NOT(ISERROR(SEARCH("Éxitoso",Q150)))</formula>
    </cfRule>
  </conditionalFormatting>
  <conditionalFormatting sqref="R150">
    <cfRule type="containsText" dxfId="8447" priority="8734" operator="containsText" text="No se pudo ejecutar">
      <formula>NOT(ISERROR(SEARCH("No se pudo ejecutar",R150)))</formula>
    </cfRule>
    <cfRule type="containsText" dxfId="8446" priority="8735" operator="containsText" text="Pendiente">
      <formula>NOT(ISERROR(SEARCH("Pendiente",R150)))</formula>
    </cfRule>
    <cfRule type="containsText" dxfId="8445" priority="8736" operator="containsText" text="No Aplica">
      <formula>NOT(ISERROR(SEARCH("No Aplica",R150)))</formula>
    </cfRule>
    <cfRule type="containsText" dxfId="8444" priority="8737" operator="containsText" text="Fallido">
      <formula>NOT(ISERROR(SEARCH("Fallido",R150)))</formula>
    </cfRule>
    <cfRule type="containsText" dxfId="8443" priority="8738" operator="containsText" text="Éxitoso">
      <formula>NOT(ISERROR(SEARCH("Éxitoso",R150)))</formula>
    </cfRule>
  </conditionalFormatting>
  <conditionalFormatting sqref="S150">
    <cfRule type="containsText" dxfId="8442" priority="8729" operator="containsText" text="No se pudo ejecutar">
      <formula>NOT(ISERROR(SEARCH("No se pudo ejecutar",S150)))</formula>
    </cfRule>
    <cfRule type="containsText" dxfId="8441" priority="8730" operator="containsText" text="Pendiente">
      <formula>NOT(ISERROR(SEARCH("Pendiente",S150)))</formula>
    </cfRule>
    <cfRule type="containsText" dxfId="8440" priority="8731" operator="containsText" text="No Aplica">
      <formula>NOT(ISERROR(SEARCH("No Aplica",S150)))</formula>
    </cfRule>
    <cfRule type="containsText" dxfId="8439" priority="8732" operator="containsText" text="Fallido">
      <formula>NOT(ISERROR(SEARCH("Fallido",S150)))</formula>
    </cfRule>
    <cfRule type="containsText" dxfId="8438" priority="8733" operator="containsText" text="Éxitoso">
      <formula>NOT(ISERROR(SEARCH("Éxitoso",S150)))</formula>
    </cfRule>
  </conditionalFormatting>
  <conditionalFormatting sqref="T150">
    <cfRule type="containsText" dxfId="8437" priority="8724" operator="containsText" text="No se pudo ejecutar">
      <formula>NOT(ISERROR(SEARCH("No se pudo ejecutar",T150)))</formula>
    </cfRule>
    <cfRule type="containsText" dxfId="8436" priority="8725" operator="containsText" text="Pendiente">
      <formula>NOT(ISERROR(SEARCH("Pendiente",T150)))</formula>
    </cfRule>
    <cfRule type="containsText" dxfId="8435" priority="8726" operator="containsText" text="No Aplica">
      <formula>NOT(ISERROR(SEARCH("No Aplica",T150)))</formula>
    </cfRule>
    <cfRule type="containsText" dxfId="8434" priority="8727" operator="containsText" text="Fallido">
      <formula>NOT(ISERROR(SEARCH("Fallido",T150)))</formula>
    </cfRule>
    <cfRule type="containsText" dxfId="8433" priority="8728" operator="containsText" text="Éxitoso">
      <formula>NOT(ISERROR(SEARCH("Éxitoso",T150)))</formula>
    </cfRule>
  </conditionalFormatting>
  <conditionalFormatting sqref="U150">
    <cfRule type="containsText" dxfId="8432" priority="8719" operator="containsText" text="No se pudo ejecutar">
      <formula>NOT(ISERROR(SEARCH("No se pudo ejecutar",U150)))</formula>
    </cfRule>
    <cfRule type="containsText" dxfId="8431" priority="8720" operator="containsText" text="Pendiente">
      <formula>NOT(ISERROR(SEARCH("Pendiente",U150)))</formula>
    </cfRule>
    <cfRule type="containsText" dxfId="8430" priority="8721" operator="containsText" text="No Aplica">
      <formula>NOT(ISERROR(SEARCH("No Aplica",U150)))</formula>
    </cfRule>
    <cfRule type="containsText" dxfId="8429" priority="8722" operator="containsText" text="Fallido">
      <formula>NOT(ISERROR(SEARCH("Fallido",U150)))</formula>
    </cfRule>
    <cfRule type="containsText" dxfId="8428" priority="8723" operator="containsText" text="Éxitoso">
      <formula>NOT(ISERROR(SEARCH("Éxitoso",U150)))</formula>
    </cfRule>
  </conditionalFormatting>
  <conditionalFormatting sqref="V150">
    <cfRule type="containsText" dxfId="8427" priority="8714" operator="containsText" text="No se pudo ejecutar">
      <formula>NOT(ISERROR(SEARCH("No se pudo ejecutar",V150)))</formula>
    </cfRule>
    <cfRule type="containsText" dxfId="8426" priority="8715" operator="containsText" text="Pendiente">
      <formula>NOT(ISERROR(SEARCH("Pendiente",V150)))</formula>
    </cfRule>
    <cfRule type="containsText" dxfId="8425" priority="8716" operator="containsText" text="No Aplica">
      <formula>NOT(ISERROR(SEARCH("No Aplica",V150)))</formula>
    </cfRule>
    <cfRule type="containsText" dxfId="8424" priority="8717" operator="containsText" text="Fallido">
      <formula>NOT(ISERROR(SEARCH("Fallido",V150)))</formula>
    </cfRule>
    <cfRule type="containsText" dxfId="8423" priority="8718" operator="containsText" text="Éxitoso">
      <formula>NOT(ISERROR(SEARCH("Éxitoso",V150)))</formula>
    </cfRule>
  </conditionalFormatting>
  <conditionalFormatting sqref="W150">
    <cfRule type="containsText" dxfId="8422" priority="8709" operator="containsText" text="No se pudo ejecutar">
      <formula>NOT(ISERROR(SEARCH("No se pudo ejecutar",W150)))</formula>
    </cfRule>
    <cfRule type="containsText" dxfId="8421" priority="8710" operator="containsText" text="Pendiente">
      <formula>NOT(ISERROR(SEARCH("Pendiente",W150)))</formula>
    </cfRule>
    <cfRule type="containsText" dxfId="8420" priority="8711" operator="containsText" text="No Aplica">
      <formula>NOT(ISERROR(SEARCH("No Aplica",W150)))</formula>
    </cfRule>
    <cfRule type="containsText" dxfId="8419" priority="8712" operator="containsText" text="Fallido">
      <formula>NOT(ISERROR(SEARCH("Fallido",W150)))</formula>
    </cfRule>
    <cfRule type="containsText" dxfId="8418" priority="8713" operator="containsText" text="Éxitoso">
      <formula>NOT(ISERROR(SEARCH("Éxitoso",W150)))</formula>
    </cfRule>
  </conditionalFormatting>
  <conditionalFormatting sqref="M150">
    <cfRule type="containsText" dxfId="8417" priority="8704" operator="containsText" text="No se pudo ejecutar">
      <formula>NOT(ISERROR(SEARCH("No se pudo ejecutar",M150)))</formula>
    </cfRule>
    <cfRule type="containsText" dxfId="8416" priority="8705" operator="containsText" text="Pendiente">
      <formula>NOT(ISERROR(SEARCH("Pendiente",M150)))</formula>
    </cfRule>
    <cfRule type="containsText" dxfId="8415" priority="8706" operator="containsText" text="No Aplica">
      <formula>NOT(ISERROR(SEARCH("No Aplica",M150)))</formula>
    </cfRule>
    <cfRule type="containsText" dxfId="8414" priority="8707" operator="containsText" text="Fallido">
      <formula>NOT(ISERROR(SEARCH("Fallido",M150)))</formula>
    </cfRule>
    <cfRule type="containsText" dxfId="8413" priority="8708" operator="containsText" text="Éxitoso">
      <formula>NOT(ISERROR(SEARCH("Éxitoso",M150)))</formula>
    </cfRule>
  </conditionalFormatting>
  <conditionalFormatting sqref="G150">
    <cfRule type="containsText" dxfId="8412" priority="8701" operator="containsText" text="Bajo">
      <formula>NOT(ISERROR(SEARCH("Bajo",G150)))</formula>
    </cfRule>
    <cfRule type="containsText" dxfId="8411" priority="8702" operator="containsText" text="Medio">
      <formula>NOT(ISERROR(SEARCH("Medio",G150)))</formula>
    </cfRule>
    <cfRule type="containsText" dxfId="8410" priority="8703" operator="containsText" text="Alto">
      <formula>NOT(ISERROR(SEARCH("Alto",G150)))</formula>
    </cfRule>
  </conditionalFormatting>
  <conditionalFormatting sqref="N151">
    <cfRule type="containsText" dxfId="8409" priority="8696" operator="containsText" text="No se pudo ejecutar">
      <formula>NOT(ISERROR(SEARCH("No se pudo ejecutar",N151)))</formula>
    </cfRule>
    <cfRule type="containsText" dxfId="8408" priority="8697" operator="containsText" text="Pendiente">
      <formula>NOT(ISERROR(SEARCH("Pendiente",N151)))</formula>
    </cfRule>
    <cfRule type="containsText" dxfId="8407" priority="8698" operator="containsText" text="No Aplica">
      <formula>NOT(ISERROR(SEARCH("No Aplica",N151)))</formula>
    </cfRule>
    <cfRule type="containsText" dxfId="8406" priority="8699" operator="containsText" text="Fallido">
      <formula>NOT(ISERROR(SEARCH("Fallido",N151)))</formula>
    </cfRule>
    <cfRule type="containsText" dxfId="8405" priority="8700" operator="containsText" text="Éxitoso">
      <formula>NOT(ISERROR(SEARCH("Éxitoso",N151)))</formula>
    </cfRule>
  </conditionalFormatting>
  <conditionalFormatting sqref="O151">
    <cfRule type="containsText" dxfId="8404" priority="8691" operator="containsText" text="No se pudo ejecutar">
      <formula>NOT(ISERROR(SEARCH("No se pudo ejecutar",O151)))</formula>
    </cfRule>
    <cfRule type="containsText" dxfId="8403" priority="8692" operator="containsText" text="Pendiente">
      <formula>NOT(ISERROR(SEARCH("Pendiente",O151)))</formula>
    </cfRule>
    <cfRule type="containsText" dxfId="8402" priority="8693" operator="containsText" text="No Aplica">
      <formula>NOT(ISERROR(SEARCH("No Aplica",O151)))</formula>
    </cfRule>
    <cfRule type="containsText" dxfId="8401" priority="8694" operator="containsText" text="Fallido">
      <formula>NOT(ISERROR(SEARCH("Fallido",O151)))</formula>
    </cfRule>
    <cfRule type="containsText" dxfId="8400" priority="8695" operator="containsText" text="Éxitoso">
      <formula>NOT(ISERROR(SEARCH("Éxitoso",O151)))</formula>
    </cfRule>
  </conditionalFormatting>
  <conditionalFormatting sqref="P151">
    <cfRule type="containsText" dxfId="8399" priority="8686" operator="containsText" text="No se pudo ejecutar">
      <formula>NOT(ISERROR(SEARCH("No se pudo ejecutar",P151)))</formula>
    </cfRule>
    <cfRule type="containsText" dxfId="8398" priority="8687" operator="containsText" text="Pendiente">
      <formula>NOT(ISERROR(SEARCH("Pendiente",P151)))</formula>
    </cfRule>
    <cfRule type="containsText" dxfId="8397" priority="8688" operator="containsText" text="No Aplica">
      <formula>NOT(ISERROR(SEARCH("No Aplica",P151)))</formula>
    </cfRule>
    <cfRule type="containsText" dxfId="8396" priority="8689" operator="containsText" text="Fallido">
      <formula>NOT(ISERROR(SEARCH("Fallido",P151)))</formula>
    </cfRule>
    <cfRule type="containsText" dxfId="8395" priority="8690" operator="containsText" text="Éxitoso">
      <formula>NOT(ISERROR(SEARCH("Éxitoso",P151)))</formula>
    </cfRule>
  </conditionalFormatting>
  <conditionalFormatting sqref="Q151">
    <cfRule type="containsText" dxfId="8394" priority="8681" operator="containsText" text="No se pudo ejecutar">
      <formula>NOT(ISERROR(SEARCH("No se pudo ejecutar",Q151)))</formula>
    </cfRule>
    <cfRule type="containsText" dxfId="8393" priority="8682" operator="containsText" text="Pendiente">
      <formula>NOT(ISERROR(SEARCH("Pendiente",Q151)))</formula>
    </cfRule>
    <cfRule type="containsText" dxfId="8392" priority="8683" operator="containsText" text="No Aplica">
      <formula>NOT(ISERROR(SEARCH("No Aplica",Q151)))</formula>
    </cfRule>
    <cfRule type="containsText" dxfId="8391" priority="8684" operator="containsText" text="Fallido">
      <formula>NOT(ISERROR(SEARCH("Fallido",Q151)))</formula>
    </cfRule>
    <cfRule type="containsText" dxfId="8390" priority="8685" operator="containsText" text="Éxitoso">
      <formula>NOT(ISERROR(SEARCH("Éxitoso",Q151)))</formula>
    </cfRule>
  </conditionalFormatting>
  <conditionalFormatting sqref="R151">
    <cfRule type="containsText" dxfId="8389" priority="8676" operator="containsText" text="No se pudo ejecutar">
      <formula>NOT(ISERROR(SEARCH("No se pudo ejecutar",R151)))</formula>
    </cfRule>
    <cfRule type="containsText" dxfId="8388" priority="8677" operator="containsText" text="Pendiente">
      <formula>NOT(ISERROR(SEARCH("Pendiente",R151)))</formula>
    </cfRule>
    <cfRule type="containsText" dxfId="8387" priority="8678" operator="containsText" text="No Aplica">
      <formula>NOT(ISERROR(SEARCH("No Aplica",R151)))</formula>
    </cfRule>
    <cfRule type="containsText" dxfId="8386" priority="8679" operator="containsText" text="Fallido">
      <formula>NOT(ISERROR(SEARCH("Fallido",R151)))</formula>
    </cfRule>
    <cfRule type="containsText" dxfId="8385" priority="8680" operator="containsText" text="Éxitoso">
      <formula>NOT(ISERROR(SEARCH("Éxitoso",R151)))</formula>
    </cfRule>
  </conditionalFormatting>
  <conditionalFormatting sqref="S151">
    <cfRule type="containsText" dxfId="8384" priority="8671" operator="containsText" text="No se pudo ejecutar">
      <formula>NOT(ISERROR(SEARCH("No se pudo ejecutar",S151)))</formula>
    </cfRule>
    <cfRule type="containsText" dxfId="8383" priority="8672" operator="containsText" text="Pendiente">
      <formula>NOT(ISERROR(SEARCH("Pendiente",S151)))</formula>
    </cfRule>
    <cfRule type="containsText" dxfId="8382" priority="8673" operator="containsText" text="No Aplica">
      <formula>NOT(ISERROR(SEARCH("No Aplica",S151)))</formula>
    </cfRule>
    <cfRule type="containsText" dxfId="8381" priority="8674" operator="containsText" text="Fallido">
      <formula>NOT(ISERROR(SEARCH("Fallido",S151)))</formula>
    </cfRule>
    <cfRule type="containsText" dxfId="8380" priority="8675" operator="containsText" text="Éxitoso">
      <formula>NOT(ISERROR(SEARCH("Éxitoso",S151)))</formula>
    </cfRule>
  </conditionalFormatting>
  <conditionalFormatting sqref="T151">
    <cfRule type="containsText" dxfId="8379" priority="8666" operator="containsText" text="No se pudo ejecutar">
      <formula>NOT(ISERROR(SEARCH("No se pudo ejecutar",T151)))</formula>
    </cfRule>
    <cfRule type="containsText" dxfId="8378" priority="8667" operator="containsText" text="Pendiente">
      <formula>NOT(ISERROR(SEARCH("Pendiente",T151)))</formula>
    </cfRule>
    <cfRule type="containsText" dxfId="8377" priority="8668" operator="containsText" text="No Aplica">
      <formula>NOT(ISERROR(SEARCH("No Aplica",T151)))</formula>
    </cfRule>
    <cfRule type="containsText" dxfId="8376" priority="8669" operator="containsText" text="Fallido">
      <formula>NOT(ISERROR(SEARCH("Fallido",T151)))</formula>
    </cfRule>
    <cfRule type="containsText" dxfId="8375" priority="8670" operator="containsText" text="Éxitoso">
      <formula>NOT(ISERROR(SEARCH("Éxitoso",T151)))</formula>
    </cfRule>
  </conditionalFormatting>
  <conditionalFormatting sqref="U151">
    <cfRule type="containsText" dxfId="8374" priority="8661" operator="containsText" text="No se pudo ejecutar">
      <formula>NOT(ISERROR(SEARCH("No se pudo ejecutar",U151)))</formula>
    </cfRule>
    <cfRule type="containsText" dxfId="8373" priority="8662" operator="containsText" text="Pendiente">
      <formula>NOT(ISERROR(SEARCH("Pendiente",U151)))</formula>
    </cfRule>
    <cfRule type="containsText" dxfId="8372" priority="8663" operator="containsText" text="No Aplica">
      <formula>NOT(ISERROR(SEARCH("No Aplica",U151)))</formula>
    </cfRule>
    <cfRule type="containsText" dxfId="8371" priority="8664" operator="containsText" text="Fallido">
      <formula>NOT(ISERROR(SEARCH("Fallido",U151)))</formula>
    </cfRule>
    <cfRule type="containsText" dxfId="8370" priority="8665" operator="containsText" text="Éxitoso">
      <formula>NOT(ISERROR(SEARCH("Éxitoso",U151)))</formula>
    </cfRule>
  </conditionalFormatting>
  <conditionalFormatting sqref="V151">
    <cfRule type="containsText" dxfId="8369" priority="8656" operator="containsText" text="No se pudo ejecutar">
      <formula>NOT(ISERROR(SEARCH("No se pudo ejecutar",V151)))</formula>
    </cfRule>
    <cfRule type="containsText" dxfId="8368" priority="8657" operator="containsText" text="Pendiente">
      <formula>NOT(ISERROR(SEARCH("Pendiente",V151)))</formula>
    </cfRule>
    <cfRule type="containsText" dxfId="8367" priority="8658" operator="containsText" text="No Aplica">
      <formula>NOT(ISERROR(SEARCH("No Aplica",V151)))</formula>
    </cfRule>
    <cfRule type="containsText" dxfId="8366" priority="8659" operator="containsText" text="Fallido">
      <formula>NOT(ISERROR(SEARCH("Fallido",V151)))</formula>
    </cfRule>
    <cfRule type="containsText" dxfId="8365" priority="8660" operator="containsText" text="Éxitoso">
      <formula>NOT(ISERROR(SEARCH("Éxitoso",V151)))</formula>
    </cfRule>
  </conditionalFormatting>
  <conditionalFormatting sqref="W151">
    <cfRule type="containsText" dxfId="8364" priority="8651" operator="containsText" text="No se pudo ejecutar">
      <formula>NOT(ISERROR(SEARCH("No se pudo ejecutar",W151)))</formula>
    </cfRule>
    <cfRule type="containsText" dxfId="8363" priority="8652" operator="containsText" text="Pendiente">
      <formula>NOT(ISERROR(SEARCH("Pendiente",W151)))</formula>
    </cfRule>
    <cfRule type="containsText" dxfId="8362" priority="8653" operator="containsText" text="No Aplica">
      <formula>NOT(ISERROR(SEARCH("No Aplica",W151)))</formula>
    </cfRule>
    <cfRule type="containsText" dxfId="8361" priority="8654" operator="containsText" text="Fallido">
      <formula>NOT(ISERROR(SEARCH("Fallido",W151)))</formula>
    </cfRule>
    <cfRule type="containsText" dxfId="8360" priority="8655" operator="containsText" text="Éxitoso">
      <formula>NOT(ISERROR(SEARCH("Éxitoso",W151)))</formula>
    </cfRule>
  </conditionalFormatting>
  <conditionalFormatting sqref="M151">
    <cfRule type="containsText" dxfId="8359" priority="8646" operator="containsText" text="No se pudo ejecutar">
      <formula>NOT(ISERROR(SEARCH("No se pudo ejecutar",M151)))</formula>
    </cfRule>
    <cfRule type="containsText" dxfId="8358" priority="8647" operator="containsText" text="Pendiente">
      <formula>NOT(ISERROR(SEARCH("Pendiente",M151)))</formula>
    </cfRule>
    <cfRule type="containsText" dxfId="8357" priority="8648" operator="containsText" text="No Aplica">
      <formula>NOT(ISERROR(SEARCH("No Aplica",M151)))</formula>
    </cfRule>
    <cfRule type="containsText" dxfId="8356" priority="8649" operator="containsText" text="Fallido">
      <formula>NOT(ISERROR(SEARCH("Fallido",M151)))</formula>
    </cfRule>
    <cfRule type="containsText" dxfId="8355" priority="8650" operator="containsText" text="Éxitoso">
      <formula>NOT(ISERROR(SEARCH("Éxitoso",M151)))</formula>
    </cfRule>
  </conditionalFormatting>
  <conditionalFormatting sqref="G151">
    <cfRule type="containsText" dxfId="8354" priority="8643" operator="containsText" text="Bajo">
      <formula>NOT(ISERROR(SEARCH("Bajo",G151)))</formula>
    </cfRule>
    <cfRule type="containsText" dxfId="8353" priority="8644" operator="containsText" text="Medio">
      <formula>NOT(ISERROR(SEARCH("Medio",G151)))</formula>
    </cfRule>
    <cfRule type="containsText" dxfId="8352" priority="8645" operator="containsText" text="Alto">
      <formula>NOT(ISERROR(SEARCH("Alto",G151)))</formula>
    </cfRule>
  </conditionalFormatting>
  <conditionalFormatting sqref="N152">
    <cfRule type="containsText" dxfId="8351" priority="8638" operator="containsText" text="No se pudo ejecutar">
      <formula>NOT(ISERROR(SEARCH("No se pudo ejecutar",N152)))</formula>
    </cfRule>
    <cfRule type="containsText" dxfId="8350" priority="8639" operator="containsText" text="Pendiente">
      <formula>NOT(ISERROR(SEARCH("Pendiente",N152)))</formula>
    </cfRule>
    <cfRule type="containsText" dxfId="8349" priority="8640" operator="containsText" text="No Aplica">
      <formula>NOT(ISERROR(SEARCH("No Aplica",N152)))</formula>
    </cfRule>
    <cfRule type="containsText" dxfId="8348" priority="8641" operator="containsText" text="Fallido">
      <formula>NOT(ISERROR(SEARCH("Fallido",N152)))</formula>
    </cfRule>
    <cfRule type="containsText" dxfId="8347" priority="8642" operator="containsText" text="Éxitoso">
      <formula>NOT(ISERROR(SEARCH("Éxitoso",N152)))</formula>
    </cfRule>
  </conditionalFormatting>
  <conditionalFormatting sqref="O152">
    <cfRule type="containsText" dxfId="8346" priority="8633" operator="containsText" text="No se pudo ejecutar">
      <formula>NOT(ISERROR(SEARCH("No se pudo ejecutar",O152)))</formula>
    </cfRule>
    <cfRule type="containsText" dxfId="8345" priority="8634" operator="containsText" text="Pendiente">
      <formula>NOT(ISERROR(SEARCH("Pendiente",O152)))</formula>
    </cfRule>
    <cfRule type="containsText" dxfId="8344" priority="8635" operator="containsText" text="No Aplica">
      <formula>NOT(ISERROR(SEARCH("No Aplica",O152)))</formula>
    </cfRule>
    <cfRule type="containsText" dxfId="8343" priority="8636" operator="containsText" text="Fallido">
      <formula>NOT(ISERROR(SEARCH("Fallido",O152)))</formula>
    </cfRule>
    <cfRule type="containsText" dxfId="8342" priority="8637" operator="containsText" text="Éxitoso">
      <formula>NOT(ISERROR(SEARCH("Éxitoso",O152)))</formula>
    </cfRule>
  </conditionalFormatting>
  <conditionalFormatting sqref="P152">
    <cfRule type="containsText" dxfId="8341" priority="8628" operator="containsText" text="No se pudo ejecutar">
      <formula>NOT(ISERROR(SEARCH("No se pudo ejecutar",P152)))</formula>
    </cfRule>
    <cfRule type="containsText" dxfId="8340" priority="8629" operator="containsText" text="Pendiente">
      <formula>NOT(ISERROR(SEARCH("Pendiente",P152)))</formula>
    </cfRule>
    <cfRule type="containsText" dxfId="8339" priority="8630" operator="containsText" text="No Aplica">
      <formula>NOT(ISERROR(SEARCH("No Aplica",P152)))</formula>
    </cfRule>
    <cfRule type="containsText" dxfId="8338" priority="8631" operator="containsText" text="Fallido">
      <formula>NOT(ISERROR(SEARCH("Fallido",P152)))</formula>
    </cfRule>
    <cfRule type="containsText" dxfId="8337" priority="8632" operator="containsText" text="Éxitoso">
      <formula>NOT(ISERROR(SEARCH("Éxitoso",P152)))</formula>
    </cfRule>
  </conditionalFormatting>
  <conditionalFormatting sqref="Q152">
    <cfRule type="containsText" dxfId="8336" priority="8623" operator="containsText" text="No se pudo ejecutar">
      <formula>NOT(ISERROR(SEARCH("No se pudo ejecutar",Q152)))</formula>
    </cfRule>
    <cfRule type="containsText" dxfId="8335" priority="8624" operator="containsText" text="Pendiente">
      <formula>NOT(ISERROR(SEARCH("Pendiente",Q152)))</formula>
    </cfRule>
    <cfRule type="containsText" dxfId="8334" priority="8625" operator="containsText" text="No Aplica">
      <formula>NOT(ISERROR(SEARCH("No Aplica",Q152)))</formula>
    </cfRule>
    <cfRule type="containsText" dxfId="8333" priority="8626" operator="containsText" text="Fallido">
      <formula>NOT(ISERROR(SEARCH("Fallido",Q152)))</formula>
    </cfRule>
    <cfRule type="containsText" dxfId="8332" priority="8627" operator="containsText" text="Éxitoso">
      <formula>NOT(ISERROR(SEARCH("Éxitoso",Q152)))</formula>
    </cfRule>
  </conditionalFormatting>
  <conditionalFormatting sqref="R152">
    <cfRule type="containsText" dxfId="8331" priority="8618" operator="containsText" text="No se pudo ejecutar">
      <formula>NOT(ISERROR(SEARCH("No se pudo ejecutar",R152)))</formula>
    </cfRule>
    <cfRule type="containsText" dxfId="8330" priority="8619" operator="containsText" text="Pendiente">
      <formula>NOT(ISERROR(SEARCH("Pendiente",R152)))</formula>
    </cfRule>
    <cfRule type="containsText" dxfId="8329" priority="8620" operator="containsText" text="No Aplica">
      <formula>NOT(ISERROR(SEARCH("No Aplica",R152)))</formula>
    </cfRule>
    <cfRule type="containsText" dxfId="8328" priority="8621" operator="containsText" text="Fallido">
      <formula>NOT(ISERROR(SEARCH("Fallido",R152)))</formula>
    </cfRule>
    <cfRule type="containsText" dxfId="8327" priority="8622" operator="containsText" text="Éxitoso">
      <formula>NOT(ISERROR(SEARCH("Éxitoso",R152)))</formula>
    </cfRule>
  </conditionalFormatting>
  <conditionalFormatting sqref="S152">
    <cfRule type="containsText" dxfId="8326" priority="8613" operator="containsText" text="No se pudo ejecutar">
      <formula>NOT(ISERROR(SEARCH("No se pudo ejecutar",S152)))</formula>
    </cfRule>
    <cfRule type="containsText" dxfId="8325" priority="8614" operator="containsText" text="Pendiente">
      <formula>NOT(ISERROR(SEARCH("Pendiente",S152)))</formula>
    </cfRule>
    <cfRule type="containsText" dxfId="8324" priority="8615" operator="containsText" text="No Aplica">
      <formula>NOT(ISERROR(SEARCH("No Aplica",S152)))</formula>
    </cfRule>
    <cfRule type="containsText" dxfId="8323" priority="8616" operator="containsText" text="Fallido">
      <formula>NOT(ISERROR(SEARCH("Fallido",S152)))</formula>
    </cfRule>
    <cfRule type="containsText" dxfId="8322" priority="8617" operator="containsText" text="Éxitoso">
      <formula>NOT(ISERROR(SEARCH("Éxitoso",S152)))</formula>
    </cfRule>
  </conditionalFormatting>
  <conditionalFormatting sqref="T152">
    <cfRule type="containsText" dxfId="8321" priority="8608" operator="containsText" text="No se pudo ejecutar">
      <formula>NOT(ISERROR(SEARCH("No se pudo ejecutar",T152)))</formula>
    </cfRule>
    <cfRule type="containsText" dxfId="8320" priority="8609" operator="containsText" text="Pendiente">
      <formula>NOT(ISERROR(SEARCH("Pendiente",T152)))</formula>
    </cfRule>
    <cfRule type="containsText" dxfId="8319" priority="8610" operator="containsText" text="No Aplica">
      <formula>NOT(ISERROR(SEARCH("No Aplica",T152)))</formula>
    </cfRule>
    <cfRule type="containsText" dxfId="8318" priority="8611" operator="containsText" text="Fallido">
      <formula>NOT(ISERROR(SEARCH("Fallido",T152)))</formula>
    </cfRule>
    <cfRule type="containsText" dxfId="8317" priority="8612" operator="containsText" text="Éxitoso">
      <formula>NOT(ISERROR(SEARCH("Éxitoso",T152)))</formula>
    </cfRule>
  </conditionalFormatting>
  <conditionalFormatting sqref="U152">
    <cfRule type="containsText" dxfId="8316" priority="8603" operator="containsText" text="No se pudo ejecutar">
      <formula>NOT(ISERROR(SEARCH("No se pudo ejecutar",U152)))</formula>
    </cfRule>
    <cfRule type="containsText" dxfId="8315" priority="8604" operator="containsText" text="Pendiente">
      <formula>NOT(ISERROR(SEARCH("Pendiente",U152)))</formula>
    </cfRule>
    <cfRule type="containsText" dxfId="8314" priority="8605" operator="containsText" text="No Aplica">
      <formula>NOT(ISERROR(SEARCH("No Aplica",U152)))</formula>
    </cfRule>
    <cfRule type="containsText" dxfId="8313" priority="8606" operator="containsText" text="Fallido">
      <formula>NOT(ISERROR(SEARCH("Fallido",U152)))</formula>
    </cfRule>
    <cfRule type="containsText" dxfId="8312" priority="8607" operator="containsText" text="Éxitoso">
      <formula>NOT(ISERROR(SEARCH("Éxitoso",U152)))</formula>
    </cfRule>
  </conditionalFormatting>
  <conditionalFormatting sqref="V152">
    <cfRule type="containsText" dxfId="8311" priority="8598" operator="containsText" text="No se pudo ejecutar">
      <formula>NOT(ISERROR(SEARCH("No se pudo ejecutar",V152)))</formula>
    </cfRule>
    <cfRule type="containsText" dxfId="8310" priority="8599" operator="containsText" text="Pendiente">
      <formula>NOT(ISERROR(SEARCH("Pendiente",V152)))</formula>
    </cfRule>
    <cfRule type="containsText" dxfId="8309" priority="8600" operator="containsText" text="No Aplica">
      <formula>NOT(ISERROR(SEARCH("No Aplica",V152)))</formula>
    </cfRule>
    <cfRule type="containsText" dxfId="8308" priority="8601" operator="containsText" text="Fallido">
      <formula>NOT(ISERROR(SEARCH("Fallido",V152)))</formula>
    </cfRule>
    <cfRule type="containsText" dxfId="8307" priority="8602" operator="containsText" text="Éxitoso">
      <formula>NOT(ISERROR(SEARCH("Éxitoso",V152)))</formula>
    </cfRule>
  </conditionalFormatting>
  <conditionalFormatting sqref="W152">
    <cfRule type="containsText" dxfId="8306" priority="8593" operator="containsText" text="No se pudo ejecutar">
      <formula>NOT(ISERROR(SEARCH("No se pudo ejecutar",W152)))</formula>
    </cfRule>
    <cfRule type="containsText" dxfId="8305" priority="8594" operator="containsText" text="Pendiente">
      <formula>NOT(ISERROR(SEARCH("Pendiente",W152)))</formula>
    </cfRule>
    <cfRule type="containsText" dxfId="8304" priority="8595" operator="containsText" text="No Aplica">
      <formula>NOT(ISERROR(SEARCH("No Aplica",W152)))</formula>
    </cfRule>
    <cfRule type="containsText" dxfId="8303" priority="8596" operator="containsText" text="Fallido">
      <formula>NOT(ISERROR(SEARCH("Fallido",W152)))</formula>
    </cfRule>
    <cfRule type="containsText" dxfId="8302" priority="8597" operator="containsText" text="Éxitoso">
      <formula>NOT(ISERROR(SEARCH("Éxitoso",W152)))</formula>
    </cfRule>
  </conditionalFormatting>
  <conditionalFormatting sqref="M152">
    <cfRule type="containsText" dxfId="8301" priority="8588" operator="containsText" text="No se pudo ejecutar">
      <formula>NOT(ISERROR(SEARCH("No se pudo ejecutar",M152)))</formula>
    </cfRule>
    <cfRule type="containsText" dxfId="8300" priority="8589" operator="containsText" text="Pendiente">
      <formula>NOT(ISERROR(SEARCH("Pendiente",M152)))</formula>
    </cfRule>
    <cfRule type="containsText" dxfId="8299" priority="8590" operator="containsText" text="No Aplica">
      <formula>NOT(ISERROR(SEARCH("No Aplica",M152)))</formula>
    </cfRule>
    <cfRule type="containsText" dxfId="8298" priority="8591" operator="containsText" text="Fallido">
      <formula>NOT(ISERROR(SEARCH("Fallido",M152)))</formula>
    </cfRule>
    <cfRule type="containsText" dxfId="8297" priority="8592" operator="containsText" text="Éxitoso">
      <formula>NOT(ISERROR(SEARCH("Éxitoso",M152)))</formula>
    </cfRule>
  </conditionalFormatting>
  <conditionalFormatting sqref="G152">
    <cfRule type="containsText" dxfId="8296" priority="8585" operator="containsText" text="Bajo">
      <formula>NOT(ISERROR(SEARCH("Bajo",G152)))</formula>
    </cfRule>
    <cfRule type="containsText" dxfId="8295" priority="8586" operator="containsText" text="Medio">
      <formula>NOT(ISERROR(SEARCH("Medio",G152)))</formula>
    </cfRule>
    <cfRule type="containsText" dxfId="8294" priority="8587" operator="containsText" text="Alto">
      <formula>NOT(ISERROR(SEARCH("Alto",G152)))</formula>
    </cfRule>
  </conditionalFormatting>
  <conditionalFormatting sqref="N153">
    <cfRule type="containsText" dxfId="8293" priority="8580" operator="containsText" text="No se pudo ejecutar">
      <formula>NOT(ISERROR(SEARCH("No se pudo ejecutar",N153)))</formula>
    </cfRule>
    <cfRule type="containsText" dxfId="8292" priority="8581" operator="containsText" text="Pendiente">
      <formula>NOT(ISERROR(SEARCH("Pendiente",N153)))</formula>
    </cfRule>
    <cfRule type="containsText" dxfId="8291" priority="8582" operator="containsText" text="No Aplica">
      <formula>NOT(ISERROR(SEARCH("No Aplica",N153)))</formula>
    </cfRule>
    <cfRule type="containsText" dxfId="8290" priority="8583" operator="containsText" text="Fallido">
      <formula>NOT(ISERROR(SEARCH("Fallido",N153)))</formula>
    </cfRule>
    <cfRule type="containsText" dxfId="8289" priority="8584" operator="containsText" text="Éxitoso">
      <formula>NOT(ISERROR(SEARCH("Éxitoso",N153)))</formula>
    </cfRule>
  </conditionalFormatting>
  <conditionalFormatting sqref="O153">
    <cfRule type="containsText" dxfId="8288" priority="8575" operator="containsText" text="No se pudo ejecutar">
      <formula>NOT(ISERROR(SEARCH("No se pudo ejecutar",O153)))</formula>
    </cfRule>
    <cfRule type="containsText" dxfId="8287" priority="8576" operator="containsText" text="Pendiente">
      <formula>NOT(ISERROR(SEARCH("Pendiente",O153)))</formula>
    </cfRule>
    <cfRule type="containsText" dxfId="8286" priority="8577" operator="containsText" text="No Aplica">
      <formula>NOT(ISERROR(SEARCH("No Aplica",O153)))</formula>
    </cfRule>
    <cfRule type="containsText" dxfId="8285" priority="8578" operator="containsText" text="Fallido">
      <formula>NOT(ISERROR(SEARCH("Fallido",O153)))</formula>
    </cfRule>
    <cfRule type="containsText" dxfId="8284" priority="8579" operator="containsText" text="Éxitoso">
      <formula>NOT(ISERROR(SEARCH("Éxitoso",O153)))</formula>
    </cfRule>
  </conditionalFormatting>
  <conditionalFormatting sqref="P153">
    <cfRule type="containsText" dxfId="8283" priority="8570" operator="containsText" text="No se pudo ejecutar">
      <formula>NOT(ISERROR(SEARCH("No se pudo ejecutar",P153)))</formula>
    </cfRule>
    <cfRule type="containsText" dxfId="8282" priority="8571" operator="containsText" text="Pendiente">
      <formula>NOT(ISERROR(SEARCH("Pendiente",P153)))</formula>
    </cfRule>
    <cfRule type="containsText" dxfId="8281" priority="8572" operator="containsText" text="No Aplica">
      <formula>NOT(ISERROR(SEARCH("No Aplica",P153)))</formula>
    </cfRule>
    <cfRule type="containsText" dxfId="8280" priority="8573" operator="containsText" text="Fallido">
      <formula>NOT(ISERROR(SEARCH("Fallido",P153)))</formula>
    </cfRule>
    <cfRule type="containsText" dxfId="8279" priority="8574" operator="containsText" text="Éxitoso">
      <formula>NOT(ISERROR(SEARCH("Éxitoso",P153)))</formula>
    </cfRule>
  </conditionalFormatting>
  <conditionalFormatting sqref="Q153">
    <cfRule type="containsText" dxfId="8278" priority="8565" operator="containsText" text="No se pudo ejecutar">
      <formula>NOT(ISERROR(SEARCH("No se pudo ejecutar",Q153)))</formula>
    </cfRule>
    <cfRule type="containsText" dxfId="8277" priority="8566" operator="containsText" text="Pendiente">
      <formula>NOT(ISERROR(SEARCH("Pendiente",Q153)))</formula>
    </cfRule>
    <cfRule type="containsText" dxfId="8276" priority="8567" operator="containsText" text="No Aplica">
      <formula>NOT(ISERROR(SEARCH("No Aplica",Q153)))</formula>
    </cfRule>
    <cfRule type="containsText" dxfId="8275" priority="8568" operator="containsText" text="Fallido">
      <formula>NOT(ISERROR(SEARCH("Fallido",Q153)))</formula>
    </cfRule>
    <cfRule type="containsText" dxfId="8274" priority="8569" operator="containsText" text="Éxitoso">
      <formula>NOT(ISERROR(SEARCH("Éxitoso",Q153)))</formula>
    </cfRule>
  </conditionalFormatting>
  <conditionalFormatting sqref="R153">
    <cfRule type="containsText" dxfId="8273" priority="8560" operator="containsText" text="No se pudo ejecutar">
      <formula>NOT(ISERROR(SEARCH("No se pudo ejecutar",R153)))</formula>
    </cfRule>
    <cfRule type="containsText" dxfId="8272" priority="8561" operator="containsText" text="Pendiente">
      <formula>NOT(ISERROR(SEARCH("Pendiente",R153)))</formula>
    </cfRule>
    <cfRule type="containsText" dxfId="8271" priority="8562" operator="containsText" text="No Aplica">
      <formula>NOT(ISERROR(SEARCH("No Aplica",R153)))</formula>
    </cfRule>
    <cfRule type="containsText" dxfId="8270" priority="8563" operator="containsText" text="Fallido">
      <formula>NOT(ISERROR(SEARCH("Fallido",R153)))</formula>
    </cfRule>
    <cfRule type="containsText" dxfId="8269" priority="8564" operator="containsText" text="Éxitoso">
      <formula>NOT(ISERROR(SEARCH("Éxitoso",R153)))</formula>
    </cfRule>
  </conditionalFormatting>
  <conditionalFormatting sqref="S153">
    <cfRule type="containsText" dxfId="8268" priority="8555" operator="containsText" text="No se pudo ejecutar">
      <formula>NOT(ISERROR(SEARCH("No se pudo ejecutar",S153)))</formula>
    </cfRule>
    <cfRule type="containsText" dxfId="8267" priority="8556" operator="containsText" text="Pendiente">
      <formula>NOT(ISERROR(SEARCH("Pendiente",S153)))</formula>
    </cfRule>
    <cfRule type="containsText" dxfId="8266" priority="8557" operator="containsText" text="No Aplica">
      <formula>NOT(ISERROR(SEARCH("No Aplica",S153)))</formula>
    </cfRule>
    <cfRule type="containsText" dxfId="8265" priority="8558" operator="containsText" text="Fallido">
      <formula>NOT(ISERROR(SEARCH("Fallido",S153)))</formula>
    </cfRule>
    <cfRule type="containsText" dxfId="8264" priority="8559" operator="containsText" text="Éxitoso">
      <formula>NOT(ISERROR(SEARCH("Éxitoso",S153)))</formula>
    </cfRule>
  </conditionalFormatting>
  <conditionalFormatting sqref="T153">
    <cfRule type="containsText" dxfId="8263" priority="8550" operator="containsText" text="No se pudo ejecutar">
      <formula>NOT(ISERROR(SEARCH("No se pudo ejecutar",T153)))</formula>
    </cfRule>
    <cfRule type="containsText" dxfId="8262" priority="8551" operator="containsText" text="Pendiente">
      <formula>NOT(ISERROR(SEARCH("Pendiente",T153)))</formula>
    </cfRule>
    <cfRule type="containsText" dxfId="8261" priority="8552" operator="containsText" text="No Aplica">
      <formula>NOT(ISERROR(SEARCH("No Aplica",T153)))</formula>
    </cfRule>
    <cfRule type="containsText" dxfId="8260" priority="8553" operator="containsText" text="Fallido">
      <formula>NOT(ISERROR(SEARCH("Fallido",T153)))</formula>
    </cfRule>
    <cfRule type="containsText" dxfId="8259" priority="8554" operator="containsText" text="Éxitoso">
      <formula>NOT(ISERROR(SEARCH("Éxitoso",T153)))</formula>
    </cfRule>
  </conditionalFormatting>
  <conditionalFormatting sqref="U153">
    <cfRule type="containsText" dxfId="8258" priority="8545" operator="containsText" text="No se pudo ejecutar">
      <formula>NOT(ISERROR(SEARCH("No se pudo ejecutar",U153)))</formula>
    </cfRule>
    <cfRule type="containsText" dxfId="8257" priority="8546" operator="containsText" text="Pendiente">
      <formula>NOT(ISERROR(SEARCH("Pendiente",U153)))</formula>
    </cfRule>
    <cfRule type="containsText" dxfId="8256" priority="8547" operator="containsText" text="No Aplica">
      <formula>NOT(ISERROR(SEARCH("No Aplica",U153)))</formula>
    </cfRule>
    <cfRule type="containsText" dxfId="8255" priority="8548" operator="containsText" text="Fallido">
      <formula>NOT(ISERROR(SEARCH("Fallido",U153)))</formula>
    </cfRule>
    <cfRule type="containsText" dxfId="8254" priority="8549" operator="containsText" text="Éxitoso">
      <formula>NOT(ISERROR(SEARCH("Éxitoso",U153)))</formula>
    </cfRule>
  </conditionalFormatting>
  <conditionalFormatting sqref="V153">
    <cfRule type="containsText" dxfId="8253" priority="8540" operator="containsText" text="No se pudo ejecutar">
      <formula>NOT(ISERROR(SEARCH("No se pudo ejecutar",V153)))</formula>
    </cfRule>
    <cfRule type="containsText" dxfId="8252" priority="8541" operator="containsText" text="Pendiente">
      <formula>NOT(ISERROR(SEARCH("Pendiente",V153)))</formula>
    </cfRule>
    <cfRule type="containsText" dxfId="8251" priority="8542" operator="containsText" text="No Aplica">
      <formula>NOT(ISERROR(SEARCH("No Aplica",V153)))</formula>
    </cfRule>
    <cfRule type="containsText" dxfId="8250" priority="8543" operator="containsText" text="Fallido">
      <formula>NOT(ISERROR(SEARCH("Fallido",V153)))</formula>
    </cfRule>
    <cfRule type="containsText" dxfId="8249" priority="8544" operator="containsText" text="Éxitoso">
      <formula>NOT(ISERROR(SEARCH("Éxitoso",V153)))</formula>
    </cfRule>
  </conditionalFormatting>
  <conditionalFormatting sqref="W153">
    <cfRule type="containsText" dxfId="8248" priority="8535" operator="containsText" text="No se pudo ejecutar">
      <formula>NOT(ISERROR(SEARCH("No se pudo ejecutar",W153)))</formula>
    </cfRule>
    <cfRule type="containsText" dxfId="8247" priority="8536" operator="containsText" text="Pendiente">
      <formula>NOT(ISERROR(SEARCH("Pendiente",W153)))</formula>
    </cfRule>
    <cfRule type="containsText" dxfId="8246" priority="8537" operator="containsText" text="No Aplica">
      <formula>NOT(ISERROR(SEARCH("No Aplica",W153)))</formula>
    </cfRule>
    <cfRule type="containsText" dxfId="8245" priority="8538" operator="containsText" text="Fallido">
      <formula>NOT(ISERROR(SEARCH("Fallido",W153)))</formula>
    </cfRule>
    <cfRule type="containsText" dxfId="8244" priority="8539" operator="containsText" text="Éxitoso">
      <formula>NOT(ISERROR(SEARCH("Éxitoso",W153)))</formula>
    </cfRule>
  </conditionalFormatting>
  <conditionalFormatting sqref="M153">
    <cfRule type="containsText" dxfId="8243" priority="8530" operator="containsText" text="No se pudo ejecutar">
      <formula>NOT(ISERROR(SEARCH("No se pudo ejecutar",M153)))</formula>
    </cfRule>
    <cfRule type="containsText" dxfId="8242" priority="8531" operator="containsText" text="Pendiente">
      <formula>NOT(ISERROR(SEARCH("Pendiente",M153)))</formula>
    </cfRule>
    <cfRule type="containsText" dxfId="8241" priority="8532" operator="containsText" text="No Aplica">
      <formula>NOT(ISERROR(SEARCH("No Aplica",M153)))</formula>
    </cfRule>
    <cfRule type="containsText" dxfId="8240" priority="8533" operator="containsText" text="Fallido">
      <formula>NOT(ISERROR(SEARCH("Fallido",M153)))</formula>
    </cfRule>
    <cfRule type="containsText" dxfId="8239" priority="8534" operator="containsText" text="Éxitoso">
      <formula>NOT(ISERROR(SEARCH("Éxitoso",M153)))</formula>
    </cfRule>
  </conditionalFormatting>
  <conditionalFormatting sqref="G153">
    <cfRule type="containsText" dxfId="8238" priority="8527" operator="containsText" text="Bajo">
      <formula>NOT(ISERROR(SEARCH("Bajo",G153)))</formula>
    </cfRule>
    <cfRule type="containsText" dxfId="8237" priority="8528" operator="containsText" text="Medio">
      <formula>NOT(ISERROR(SEARCH("Medio",G153)))</formula>
    </cfRule>
    <cfRule type="containsText" dxfId="8236" priority="8529" operator="containsText" text="Alto">
      <formula>NOT(ISERROR(SEARCH("Alto",G153)))</formula>
    </cfRule>
  </conditionalFormatting>
  <conditionalFormatting sqref="N154">
    <cfRule type="containsText" dxfId="8235" priority="8522" operator="containsText" text="No se pudo ejecutar">
      <formula>NOT(ISERROR(SEARCH("No se pudo ejecutar",N154)))</formula>
    </cfRule>
    <cfRule type="containsText" dxfId="8234" priority="8523" operator="containsText" text="Pendiente">
      <formula>NOT(ISERROR(SEARCH("Pendiente",N154)))</formula>
    </cfRule>
    <cfRule type="containsText" dxfId="8233" priority="8524" operator="containsText" text="No Aplica">
      <formula>NOT(ISERROR(SEARCH("No Aplica",N154)))</formula>
    </cfRule>
    <cfRule type="containsText" dxfId="8232" priority="8525" operator="containsText" text="Fallido">
      <formula>NOT(ISERROR(SEARCH("Fallido",N154)))</formula>
    </cfRule>
    <cfRule type="containsText" dxfId="8231" priority="8526" operator="containsText" text="Éxitoso">
      <formula>NOT(ISERROR(SEARCH("Éxitoso",N154)))</formula>
    </cfRule>
  </conditionalFormatting>
  <conditionalFormatting sqref="O154">
    <cfRule type="containsText" dxfId="8230" priority="8517" operator="containsText" text="No se pudo ejecutar">
      <formula>NOT(ISERROR(SEARCH("No se pudo ejecutar",O154)))</formula>
    </cfRule>
    <cfRule type="containsText" dxfId="8229" priority="8518" operator="containsText" text="Pendiente">
      <formula>NOT(ISERROR(SEARCH("Pendiente",O154)))</formula>
    </cfRule>
    <cfRule type="containsText" dxfId="8228" priority="8519" operator="containsText" text="No Aplica">
      <formula>NOT(ISERROR(SEARCH("No Aplica",O154)))</formula>
    </cfRule>
    <cfRule type="containsText" dxfId="8227" priority="8520" operator="containsText" text="Fallido">
      <formula>NOT(ISERROR(SEARCH("Fallido",O154)))</formula>
    </cfRule>
    <cfRule type="containsText" dxfId="8226" priority="8521" operator="containsText" text="Éxitoso">
      <formula>NOT(ISERROR(SEARCH("Éxitoso",O154)))</formula>
    </cfRule>
  </conditionalFormatting>
  <conditionalFormatting sqref="P154">
    <cfRule type="containsText" dxfId="8225" priority="8512" operator="containsText" text="No se pudo ejecutar">
      <formula>NOT(ISERROR(SEARCH("No se pudo ejecutar",P154)))</formula>
    </cfRule>
    <cfRule type="containsText" dxfId="8224" priority="8513" operator="containsText" text="Pendiente">
      <formula>NOT(ISERROR(SEARCH("Pendiente",P154)))</formula>
    </cfRule>
    <cfRule type="containsText" dxfId="8223" priority="8514" operator="containsText" text="No Aplica">
      <formula>NOT(ISERROR(SEARCH("No Aplica",P154)))</formula>
    </cfRule>
    <cfRule type="containsText" dxfId="8222" priority="8515" operator="containsText" text="Fallido">
      <formula>NOT(ISERROR(SEARCH("Fallido",P154)))</formula>
    </cfRule>
    <cfRule type="containsText" dxfId="8221" priority="8516" operator="containsText" text="Éxitoso">
      <formula>NOT(ISERROR(SEARCH("Éxitoso",P154)))</formula>
    </cfRule>
  </conditionalFormatting>
  <conditionalFormatting sqref="Q154">
    <cfRule type="containsText" dxfId="8220" priority="8507" operator="containsText" text="No se pudo ejecutar">
      <formula>NOT(ISERROR(SEARCH("No se pudo ejecutar",Q154)))</formula>
    </cfRule>
    <cfRule type="containsText" dxfId="8219" priority="8508" operator="containsText" text="Pendiente">
      <formula>NOT(ISERROR(SEARCH("Pendiente",Q154)))</formula>
    </cfRule>
    <cfRule type="containsText" dxfId="8218" priority="8509" operator="containsText" text="No Aplica">
      <formula>NOT(ISERROR(SEARCH("No Aplica",Q154)))</formula>
    </cfRule>
    <cfRule type="containsText" dxfId="8217" priority="8510" operator="containsText" text="Fallido">
      <formula>NOT(ISERROR(SEARCH("Fallido",Q154)))</formula>
    </cfRule>
    <cfRule type="containsText" dxfId="8216" priority="8511" operator="containsText" text="Éxitoso">
      <formula>NOT(ISERROR(SEARCH("Éxitoso",Q154)))</formula>
    </cfRule>
  </conditionalFormatting>
  <conditionalFormatting sqref="R154">
    <cfRule type="containsText" dxfId="8215" priority="8502" operator="containsText" text="No se pudo ejecutar">
      <formula>NOT(ISERROR(SEARCH("No se pudo ejecutar",R154)))</formula>
    </cfRule>
    <cfRule type="containsText" dxfId="8214" priority="8503" operator="containsText" text="Pendiente">
      <formula>NOT(ISERROR(SEARCH("Pendiente",R154)))</formula>
    </cfRule>
    <cfRule type="containsText" dxfId="8213" priority="8504" operator="containsText" text="No Aplica">
      <formula>NOT(ISERROR(SEARCH("No Aplica",R154)))</formula>
    </cfRule>
    <cfRule type="containsText" dxfId="8212" priority="8505" operator="containsText" text="Fallido">
      <formula>NOT(ISERROR(SEARCH("Fallido",R154)))</formula>
    </cfRule>
    <cfRule type="containsText" dxfId="8211" priority="8506" operator="containsText" text="Éxitoso">
      <formula>NOT(ISERROR(SEARCH("Éxitoso",R154)))</formula>
    </cfRule>
  </conditionalFormatting>
  <conditionalFormatting sqref="S154">
    <cfRule type="containsText" dxfId="8210" priority="8497" operator="containsText" text="No se pudo ejecutar">
      <formula>NOT(ISERROR(SEARCH("No se pudo ejecutar",S154)))</formula>
    </cfRule>
    <cfRule type="containsText" dxfId="8209" priority="8498" operator="containsText" text="Pendiente">
      <formula>NOT(ISERROR(SEARCH("Pendiente",S154)))</formula>
    </cfRule>
    <cfRule type="containsText" dxfId="8208" priority="8499" operator="containsText" text="No Aplica">
      <formula>NOT(ISERROR(SEARCH("No Aplica",S154)))</formula>
    </cfRule>
    <cfRule type="containsText" dxfId="8207" priority="8500" operator="containsText" text="Fallido">
      <formula>NOT(ISERROR(SEARCH("Fallido",S154)))</formula>
    </cfRule>
    <cfRule type="containsText" dxfId="8206" priority="8501" operator="containsText" text="Éxitoso">
      <formula>NOT(ISERROR(SEARCH("Éxitoso",S154)))</formula>
    </cfRule>
  </conditionalFormatting>
  <conditionalFormatting sqref="T154">
    <cfRule type="containsText" dxfId="8205" priority="8492" operator="containsText" text="No se pudo ejecutar">
      <formula>NOT(ISERROR(SEARCH("No se pudo ejecutar",T154)))</formula>
    </cfRule>
    <cfRule type="containsText" dxfId="8204" priority="8493" operator="containsText" text="Pendiente">
      <formula>NOT(ISERROR(SEARCH("Pendiente",T154)))</formula>
    </cfRule>
    <cfRule type="containsText" dxfId="8203" priority="8494" operator="containsText" text="No Aplica">
      <formula>NOT(ISERROR(SEARCH("No Aplica",T154)))</formula>
    </cfRule>
    <cfRule type="containsText" dxfId="8202" priority="8495" operator="containsText" text="Fallido">
      <formula>NOT(ISERROR(SEARCH("Fallido",T154)))</formula>
    </cfRule>
    <cfRule type="containsText" dxfId="8201" priority="8496" operator="containsText" text="Éxitoso">
      <formula>NOT(ISERROR(SEARCH("Éxitoso",T154)))</formula>
    </cfRule>
  </conditionalFormatting>
  <conditionalFormatting sqref="U154">
    <cfRule type="containsText" dxfId="8200" priority="8487" operator="containsText" text="No se pudo ejecutar">
      <formula>NOT(ISERROR(SEARCH("No se pudo ejecutar",U154)))</formula>
    </cfRule>
    <cfRule type="containsText" dxfId="8199" priority="8488" operator="containsText" text="Pendiente">
      <formula>NOT(ISERROR(SEARCH("Pendiente",U154)))</formula>
    </cfRule>
    <cfRule type="containsText" dxfId="8198" priority="8489" operator="containsText" text="No Aplica">
      <formula>NOT(ISERROR(SEARCH("No Aplica",U154)))</formula>
    </cfRule>
    <cfRule type="containsText" dxfId="8197" priority="8490" operator="containsText" text="Fallido">
      <formula>NOT(ISERROR(SEARCH("Fallido",U154)))</formula>
    </cfRule>
    <cfRule type="containsText" dxfId="8196" priority="8491" operator="containsText" text="Éxitoso">
      <formula>NOT(ISERROR(SEARCH("Éxitoso",U154)))</formula>
    </cfRule>
  </conditionalFormatting>
  <conditionalFormatting sqref="V154">
    <cfRule type="containsText" dxfId="8195" priority="8482" operator="containsText" text="No se pudo ejecutar">
      <formula>NOT(ISERROR(SEARCH("No se pudo ejecutar",V154)))</formula>
    </cfRule>
    <cfRule type="containsText" dxfId="8194" priority="8483" operator="containsText" text="Pendiente">
      <formula>NOT(ISERROR(SEARCH("Pendiente",V154)))</formula>
    </cfRule>
    <cfRule type="containsText" dxfId="8193" priority="8484" operator="containsText" text="No Aplica">
      <formula>NOT(ISERROR(SEARCH("No Aplica",V154)))</formula>
    </cfRule>
    <cfRule type="containsText" dxfId="8192" priority="8485" operator="containsText" text="Fallido">
      <formula>NOT(ISERROR(SEARCH("Fallido",V154)))</formula>
    </cfRule>
    <cfRule type="containsText" dxfId="8191" priority="8486" operator="containsText" text="Éxitoso">
      <formula>NOT(ISERROR(SEARCH("Éxitoso",V154)))</formula>
    </cfRule>
  </conditionalFormatting>
  <conditionalFormatting sqref="W154">
    <cfRule type="containsText" dxfId="8190" priority="8477" operator="containsText" text="No se pudo ejecutar">
      <formula>NOT(ISERROR(SEARCH("No se pudo ejecutar",W154)))</formula>
    </cfRule>
    <cfRule type="containsText" dxfId="8189" priority="8478" operator="containsText" text="Pendiente">
      <formula>NOT(ISERROR(SEARCH("Pendiente",W154)))</formula>
    </cfRule>
    <cfRule type="containsText" dxfId="8188" priority="8479" operator="containsText" text="No Aplica">
      <formula>NOT(ISERROR(SEARCH("No Aplica",W154)))</formula>
    </cfRule>
    <cfRule type="containsText" dxfId="8187" priority="8480" operator="containsText" text="Fallido">
      <formula>NOT(ISERROR(SEARCH("Fallido",W154)))</formula>
    </cfRule>
    <cfRule type="containsText" dxfId="8186" priority="8481" operator="containsText" text="Éxitoso">
      <formula>NOT(ISERROR(SEARCH("Éxitoso",W154)))</formula>
    </cfRule>
  </conditionalFormatting>
  <conditionalFormatting sqref="M154">
    <cfRule type="containsText" dxfId="8185" priority="8472" operator="containsText" text="No se pudo ejecutar">
      <formula>NOT(ISERROR(SEARCH("No se pudo ejecutar",M154)))</formula>
    </cfRule>
    <cfRule type="containsText" dxfId="8184" priority="8473" operator="containsText" text="Pendiente">
      <formula>NOT(ISERROR(SEARCH("Pendiente",M154)))</formula>
    </cfRule>
    <cfRule type="containsText" dxfId="8183" priority="8474" operator="containsText" text="No Aplica">
      <formula>NOT(ISERROR(SEARCH("No Aplica",M154)))</formula>
    </cfRule>
    <cfRule type="containsText" dxfId="8182" priority="8475" operator="containsText" text="Fallido">
      <formula>NOT(ISERROR(SEARCH("Fallido",M154)))</formula>
    </cfRule>
    <cfRule type="containsText" dxfId="8181" priority="8476" operator="containsText" text="Éxitoso">
      <formula>NOT(ISERROR(SEARCH("Éxitoso",M154)))</formula>
    </cfRule>
  </conditionalFormatting>
  <conditionalFormatting sqref="G154">
    <cfRule type="containsText" dxfId="8180" priority="8469" operator="containsText" text="Bajo">
      <formula>NOT(ISERROR(SEARCH("Bajo",G154)))</formula>
    </cfRule>
    <cfRule type="containsText" dxfId="8179" priority="8470" operator="containsText" text="Medio">
      <formula>NOT(ISERROR(SEARCH("Medio",G154)))</formula>
    </cfRule>
    <cfRule type="containsText" dxfId="8178" priority="8471" operator="containsText" text="Alto">
      <formula>NOT(ISERROR(SEARCH("Alto",G154)))</formula>
    </cfRule>
  </conditionalFormatting>
  <conditionalFormatting sqref="N155">
    <cfRule type="containsText" dxfId="8177" priority="8464" operator="containsText" text="No se pudo ejecutar">
      <formula>NOT(ISERROR(SEARCH("No se pudo ejecutar",N155)))</formula>
    </cfRule>
    <cfRule type="containsText" dxfId="8176" priority="8465" operator="containsText" text="Pendiente">
      <formula>NOT(ISERROR(SEARCH("Pendiente",N155)))</formula>
    </cfRule>
    <cfRule type="containsText" dxfId="8175" priority="8466" operator="containsText" text="No Aplica">
      <formula>NOT(ISERROR(SEARCH("No Aplica",N155)))</formula>
    </cfRule>
    <cfRule type="containsText" dxfId="8174" priority="8467" operator="containsText" text="Fallido">
      <formula>NOT(ISERROR(SEARCH("Fallido",N155)))</formula>
    </cfRule>
    <cfRule type="containsText" dxfId="8173" priority="8468" operator="containsText" text="Éxitoso">
      <formula>NOT(ISERROR(SEARCH("Éxitoso",N155)))</formula>
    </cfRule>
  </conditionalFormatting>
  <conditionalFormatting sqref="O155">
    <cfRule type="containsText" dxfId="8172" priority="8459" operator="containsText" text="No se pudo ejecutar">
      <formula>NOT(ISERROR(SEARCH("No se pudo ejecutar",O155)))</formula>
    </cfRule>
    <cfRule type="containsText" dxfId="8171" priority="8460" operator="containsText" text="Pendiente">
      <formula>NOT(ISERROR(SEARCH("Pendiente",O155)))</formula>
    </cfRule>
    <cfRule type="containsText" dxfId="8170" priority="8461" operator="containsText" text="No Aplica">
      <formula>NOT(ISERROR(SEARCH("No Aplica",O155)))</formula>
    </cfRule>
    <cfRule type="containsText" dxfId="8169" priority="8462" operator="containsText" text="Fallido">
      <formula>NOT(ISERROR(SEARCH("Fallido",O155)))</formula>
    </cfRule>
    <cfRule type="containsText" dxfId="8168" priority="8463" operator="containsText" text="Éxitoso">
      <formula>NOT(ISERROR(SEARCH("Éxitoso",O155)))</formula>
    </cfRule>
  </conditionalFormatting>
  <conditionalFormatting sqref="P155">
    <cfRule type="containsText" dxfId="8167" priority="8454" operator="containsText" text="No se pudo ejecutar">
      <formula>NOT(ISERROR(SEARCH("No se pudo ejecutar",P155)))</formula>
    </cfRule>
    <cfRule type="containsText" dxfId="8166" priority="8455" operator="containsText" text="Pendiente">
      <formula>NOT(ISERROR(SEARCH("Pendiente",P155)))</formula>
    </cfRule>
    <cfRule type="containsText" dxfId="8165" priority="8456" operator="containsText" text="No Aplica">
      <formula>NOT(ISERROR(SEARCH("No Aplica",P155)))</formula>
    </cfRule>
    <cfRule type="containsText" dxfId="8164" priority="8457" operator="containsText" text="Fallido">
      <formula>NOT(ISERROR(SEARCH("Fallido",P155)))</formula>
    </cfRule>
    <cfRule type="containsText" dxfId="8163" priority="8458" operator="containsText" text="Éxitoso">
      <formula>NOT(ISERROR(SEARCH("Éxitoso",P155)))</formula>
    </cfRule>
  </conditionalFormatting>
  <conditionalFormatting sqref="Q155">
    <cfRule type="containsText" dxfId="8162" priority="8449" operator="containsText" text="No se pudo ejecutar">
      <formula>NOT(ISERROR(SEARCH("No se pudo ejecutar",Q155)))</formula>
    </cfRule>
    <cfRule type="containsText" dxfId="8161" priority="8450" operator="containsText" text="Pendiente">
      <formula>NOT(ISERROR(SEARCH("Pendiente",Q155)))</formula>
    </cfRule>
    <cfRule type="containsText" dxfId="8160" priority="8451" operator="containsText" text="No Aplica">
      <formula>NOT(ISERROR(SEARCH("No Aplica",Q155)))</formula>
    </cfRule>
    <cfRule type="containsText" dxfId="8159" priority="8452" operator="containsText" text="Fallido">
      <formula>NOT(ISERROR(SEARCH("Fallido",Q155)))</formula>
    </cfRule>
    <cfRule type="containsText" dxfId="8158" priority="8453" operator="containsText" text="Éxitoso">
      <formula>NOT(ISERROR(SEARCH("Éxitoso",Q155)))</formula>
    </cfRule>
  </conditionalFormatting>
  <conditionalFormatting sqref="R155">
    <cfRule type="containsText" dxfId="8157" priority="8444" operator="containsText" text="No se pudo ejecutar">
      <formula>NOT(ISERROR(SEARCH("No se pudo ejecutar",R155)))</formula>
    </cfRule>
    <cfRule type="containsText" dxfId="8156" priority="8445" operator="containsText" text="Pendiente">
      <formula>NOT(ISERROR(SEARCH("Pendiente",R155)))</formula>
    </cfRule>
    <cfRule type="containsText" dxfId="8155" priority="8446" operator="containsText" text="No Aplica">
      <formula>NOT(ISERROR(SEARCH("No Aplica",R155)))</formula>
    </cfRule>
    <cfRule type="containsText" dxfId="8154" priority="8447" operator="containsText" text="Fallido">
      <formula>NOT(ISERROR(SEARCH("Fallido",R155)))</formula>
    </cfRule>
    <cfRule type="containsText" dxfId="8153" priority="8448" operator="containsText" text="Éxitoso">
      <formula>NOT(ISERROR(SEARCH("Éxitoso",R155)))</formula>
    </cfRule>
  </conditionalFormatting>
  <conditionalFormatting sqref="S155">
    <cfRule type="containsText" dxfId="8152" priority="8439" operator="containsText" text="No se pudo ejecutar">
      <formula>NOT(ISERROR(SEARCH("No se pudo ejecutar",S155)))</formula>
    </cfRule>
    <cfRule type="containsText" dxfId="8151" priority="8440" operator="containsText" text="Pendiente">
      <formula>NOT(ISERROR(SEARCH("Pendiente",S155)))</formula>
    </cfRule>
    <cfRule type="containsText" dxfId="8150" priority="8441" operator="containsText" text="No Aplica">
      <formula>NOT(ISERROR(SEARCH("No Aplica",S155)))</formula>
    </cfRule>
    <cfRule type="containsText" dxfId="8149" priority="8442" operator="containsText" text="Fallido">
      <formula>NOT(ISERROR(SEARCH("Fallido",S155)))</formula>
    </cfRule>
    <cfRule type="containsText" dxfId="8148" priority="8443" operator="containsText" text="Éxitoso">
      <formula>NOT(ISERROR(SEARCH("Éxitoso",S155)))</formula>
    </cfRule>
  </conditionalFormatting>
  <conditionalFormatting sqref="T155">
    <cfRule type="containsText" dxfId="8147" priority="8434" operator="containsText" text="No se pudo ejecutar">
      <formula>NOT(ISERROR(SEARCH("No se pudo ejecutar",T155)))</formula>
    </cfRule>
    <cfRule type="containsText" dxfId="8146" priority="8435" operator="containsText" text="Pendiente">
      <formula>NOT(ISERROR(SEARCH("Pendiente",T155)))</formula>
    </cfRule>
    <cfRule type="containsText" dxfId="8145" priority="8436" operator="containsText" text="No Aplica">
      <formula>NOT(ISERROR(SEARCH("No Aplica",T155)))</formula>
    </cfRule>
    <cfRule type="containsText" dxfId="8144" priority="8437" operator="containsText" text="Fallido">
      <formula>NOT(ISERROR(SEARCH("Fallido",T155)))</formula>
    </cfRule>
    <cfRule type="containsText" dxfId="8143" priority="8438" operator="containsText" text="Éxitoso">
      <formula>NOT(ISERROR(SEARCH("Éxitoso",T155)))</formula>
    </cfRule>
  </conditionalFormatting>
  <conditionalFormatting sqref="U155">
    <cfRule type="containsText" dxfId="8142" priority="8429" operator="containsText" text="No se pudo ejecutar">
      <formula>NOT(ISERROR(SEARCH("No se pudo ejecutar",U155)))</formula>
    </cfRule>
    <cfRule type="containsText" dxfId="8141" priority="8430" operator="containsText" text="Pendiente">
      <formula>NOT(ISERROR(SEARCH("Pendiente",U155)))</formula>
    </cfRule>
    <cfRule type="containsText" dxfId="8140" priority="8431" operator="containsText" text="No Aplica">
      <formula>NOT(ISERROR(SEARCH("No Aplica",U155)))</formula>
    </cfRule>
    <cfRule type="containsText" dxfId="8139" priority="8432" operator="containsText" text="Fallido">
      <formula>NOT(ISERROR(SEARCH("Fallido",U155)))</formula>
    </cfRule>
    <cfRule type="containsText" dxfId="8138" priority="8433" operator="containsText" text="Éxitoso">
      <formula>NOT(ISERROR(SEARCH("Éxitoso",U155)))</formula>
    </cfRule>
  </conditionalFormatting>
  <conditionalFormatting sqref="V155">
    <cfRule type="containsText" dxfId="8137" priority="8424" operator="containsText" text="No se pudo ejecutar">
      <formula>NOT(ISERROR(SEARCH("No se pudo ejecutar",V155)))</formula>
    </cfRule>
    <cfRule type="containsText" dxfId="8136" priority="8425" operator="containsText" text="Pendiente">
      <formula>NOT(ISERROR(SEARCH("Pendiente",V155)))</formula>
    </cfRule>
    <cfRule type="containsText" dxfId="8135" priority="8426" operator="containsText" text="No Aplica">
      <formula>NOT(ISERROR(SEARCH("No Aplica",V155)))</formula>
    </cfRule>
    <cfRule type="containsText" dxfId="8134" priority="8427" operator="containsText" text="Fallido">
      <formula>NOT(ISERROR(SEARCH("Fallido",V155)))</formula>
    </cfRule>
    <cfRule type="containsText" dxfId="8133" priority="8428" operator="containsText" text="Éxitoso">
      <formula>NOT(ISERROR(SEARCH("Éxitoso",V155)))</formula>
    </cfRule>
  </conditionalFormatting>
  <conditionalFormatting sqref="W155">
    <cfRule type="containsText" dxfId="8132" priority="8419" operator="containsText" text="No se pudo ejecutar">
      <formula>NOT(ISERROR(SEARCH("No se pudo ejecutar",W155)))</formula>
    </cfRule>
    <cfRule type="containsText" dxfId="8131" priority="8420" operator="containsText" text="Pendiente">
      <formula>NOT(ISERROR(SEARCH("Pendiente",W155)))</formula>
    </cfRule>
    <cfRule type="containsText" dxfId="8130" priority="8421" operator="containsText" text="No Aplica">
      <formula>NOT(ISERROR(SEARCH("No Aplica",W155)))</formula>
    </cfRule>
    <cfRule type="containsText" dxfId="8129" priority="8422" operator="containsText" text="Fallido">
      <formula>NOT(ISERROR(SEARCH("Fallido",W155)))</formula>
    </cfRule>
    <cfRule type="containsText" dxfId="8128" priority="8423" operator="containsText" text="Éxitoso">
      <formula>NOT(ISERROR(SEARCH("Éxitoso",W155)))</formula>
    </cfRule>
  </conditionalFormatting>
  <conditionalFormatting sqref="M155">
    <cfRule type="containsText" dxfId="8127" priority="8414" operator="containsText" text="No se pudo ejecutar">
      <formula>NOT(ISERROR(SEARCH("No se pudo ejecutar",M155)))</formula>
    </cfRule>
    <cfRule type="containsText" dxfId="8126" priority="8415" operator="containsText" text="Pendiente">
      <formula>NOT(ISERROR(SEARCH("Pendiente",M155)))</formula>
    </cfRule>
    <cfRule type="containsText" dxfId="8125" priority="8416" operator="containsText" text="No Aplica">
      <formula>NOT(ISERROR(SEARCH("No Aplica",M155)))</formula>
    </cfRule>
    <cfRule type="containsText" dxfId="8124" priority="8417" operator="containsText" text="Fallido">
      <formula>NOT(ISERROR(SEARCH("Fallido",M155)))</formula>
    </cfRule>
    <cfRule type="containsText" dxfId="8123" priority="8418" operator="containsText" text="Éxitoso">
      <formula>NOT(ISERROR(SEARCH("Éxitoso",M155)))</formula>
    </cfRule>
  </conditionalFormatting>
  <conditionalFormatting sqref="G155">
    <cfRule type="containsText" dxfId="8122" priority="8411" operator="containsText" text="Bajo">
      <formula>NOT(ISERROR(SEARCH("Bajo",G155)))</formula>
    </cfRule>
    <cfRule type="containsText" dxfId="8121" priority="8412" operator="containsText" text="Medio">
      <formula>NOT(ISERROR(SEARCH("Medio",G155)))</formula>
    </cfRule>
    <cfRule type="containsText" dxfId="8120" priority="8413" operator="containsText" text="Alto">
      <formula>NOT(ISERROR(SEARCH("Alto",G155)))</formula>
    </cfRule>
  </conditionalFormatting>
  <conditionalFormatting sqref="N156">
    <cfRule type="containsText" dxfId="8119" priority="8406" operator="containsText" text="No se pudo ejecutar">
      <formula>NOT(ISERROR(SEARCH("No se pudo ejecutar",N156)))</formula>
    </cfRule>
    <cfRule type="containsText" dxfId="8118" priority="8407" operator="containsText" text="Pendiente">
      <formula>NOT(ISERROR(SEARCH("Pendiente",N156)))</formula>
    </cfRule>
    <cfRule type="containsText" dxfId="8117" priority="8408" operator="containsText" text="No Aplica">
      <formula>NOT(ISERROR(SEARCH("No Aplica",N156)))</formula>
    </cfRule>
    <cfRule type="containsText" dxfId="8116" priority="8409" operator="containsText" text="Fallido">
      <formula>NOT(ISERROR(SEARCH("Fallido",N156)))</formula>
    </cfRule>
    <cfRule type="containsText" dxfId="8115" priority="8410" operator="containsText" text="Éxitoso">
      <formula>NOT(ISERROR(SEARCH("Éxitoso",N156)))</formula>
    </cfRule>
  </conditionalFormatting>
  <conditionalFormatting sqref="O156">
    <cfRule type="containsText" dxfId="8114" priority="8401" operator="containsText" text="No se pudo ejecutar">
      <formula>NOT(ISERROR(SEARCH("No se pudo ejecutar",O156)))</formula>
    </cfRule>
    <cfRule type="containsText" dxfId="8113" priority="8402" operator="containsText" text="Pendiente">
      <formula>NOT(ISERROR(SEARCH("Pendiente",O156)))</formula>
    </cfRule>
    <cfRule type="containsText" dxfId="8112" priority="8403" operator="containsText" text="No Aplica">
      <formula>NOT(ISERROR(SEARCH("No Aplica",O156)))</formula>
    </cfRule>
    <cfRule type="containsText" dxfId="8111" priority="8404" operator="containsText" text="Fallido">
      <formula>NOT(ISERROR(SEARCH("Fallido",O156)))</formula>
    </cfRule>
    <cfRule type="containsText" dxfId="8110" priority="8405" operator="containsText" text="Éxitoso">
      <formula>NOT(ISERROR(SEARCH("Éxitoso",O156)))</formula>
    </cfRule>
  </conditionalFormatting>
  <conditionalFormatting sqref="P156">
    <cfRule type="containsText" dxfId="8109" priority="8396" operator="containsText" text="No se pudo ejecutar">
      <formula>NOT(ISERROR(SEARCH("No se pudo ejecutar",P156)))</formula>
    </cfRule>
    <cfRule type="containsText" dxfId="8108" priority="8397" operator="containsText" text="Pendiente">
      <formula>NOT(ISERROR(SEARCH("Pendiente",P156)))</formula>
    </cfRule>
    <cfRule type="containsText" dxfId="8107" priority="8398" operator="containsText" text="No Aplica">
      <formula>NOT(ISERROR(SEARCH("No Aplica",P156)))</formula>
    </cfRule>
    <cfRule type="containsText" dxfId="8106" priority="8399" operator="containsText" text="Fallido">
      <formula>NOT(ISERROR(SEARCH("Fallido",P156)))</formula>
    </cfRule>
    <cfRule type="containsText" dxfId="8105" priority="8400" operator="containsText" text="Éxitoso">
      <formula>NOT(ISERROR(SEARCH("Éxitoso",P156)))</formula>
    </cfRule>
  </conditionalFormatting>
  <conditionalFormatting sqref="Q156">
    <cfRule type="containsText" dxfId="8104" priority="8391" operator="containsText" text="No se pudo ejecutar">
      <formula>NOT(ISERROR(SEARCH("No se pudo ejecutar",Q156)))</formula>
    </cfRule>
    <cfRule type="containsText" dxfId="8103" priority="8392" operator="containsText" text="Pendiente">
      <formula>NOT(ISERROR(SEARCH("Pendiente",Q156)))</formula>
    </cfRule>
    <cfRule type="containsText" dxfId="8102" priority="8393" operator="containsText" text="No Aplica">
      <formula>NOT(ISERROR(SEARCH("No Aplica",Q156)))</formula>
    </cfRule>
    <cfRule type="containsText" dxfId="8101" priority="8394" operator="containsText" text="Fallido">
      <formula>NOT(ISERROR(SEARCH("Fallido",Q156)))</formula>
    </cfRule>
    <cfRule type="containsText" dxfId="8100" priority="8395" operator="containsText" text="Éxitoso">
      <formula>NOT(ISERROR(SEARCH("Éxitoso",Q156)))</formula>
    </cfRule>
  </conditionalFormatting>
  <conditionalFormatting sqref="R156">
    <cfRule type="containsText" dxfId="8099" priority="8386" operator="containsText" text="No se pudo ejecutar">
      <formula>NOT(ISERROR(SEARCH("No se pudo ejecutar",R156)))</formula>
    </cfRule>
    <cfRule type="containsText" dxfId="8098" priority="8387" operator="containsText" text="Pendiente">
      <formula>NOT(ISERROR(SEARCH("Pendiente",R156)))</formula>
    </cfRule>
    <cfRule type="containsText" dxfId="8097" priority="8388" operator="containsText" text="No Aplica">
      <formula>NOT(ISERROR(SEARCH("No Aplica",R156)))</formula>
    </cfRule>
    <cfRule type="containsText" dxfId="8096" priority="8389" operator="containsText" text="Fallido">
      <formula>NOT(ISERROR(SEARCH("Fallido",R156)))</formula>
    </cfRule>
    <cfRule type="containsText" dxfId="8095" priority="8390" operator="containsText" text="Éxitoso">
      <formula>NOT(ISERROR(SEARCH("Éxitoso",R156)))</formula>
    </cfRule>
  </conditionalFormatting>
  <conditionalFormatting sqref="S156">
    <cfRule type="containsText" dxfId="8094" priority="8381" operator="containsText" text="No se pudo ejecutar">
      <formula>NOT(ISERROR(SEARCH("No se pudo ejecutar",S156)))</formula>
    </cfRule>
    <cfRule type="containsText" dxfId="8093" priority="8382" operator="containsText" text="Pendiente">
      <formula>NOT(ISERROR(SEARCH("Pendiente",S156)))</formula>
    </cfRule>
    <cfRule type="containsText" dxfId="8092" priority="8383" operator="containsText" text="No Aplica">
      <formula>NOT(ISERROR(SEARCH("No Aplica",S156)))</formula>
    </cfRule>
    <cfRule type="containsText" dxfId="8091" priority="8384" operator="containsText" text="Fallido">
      <formula>NOT(ISERROR(SEARCH("Fallido",S156)))</formula>
    </cfRule>
    <cfRule type="containsText" dxfId="8090" priority="8385" operator="containsText" text="Éxitoso">
      <formula>NOT(ISERROR(SEARCH("Éxitoso",S156)))</formula>
    </cfRule>
  </conditionalFormatting>
  <conditionalFormatting sqref="T156">
    <cfRule type="containsText" dxfId="8089" priority="8376" operator="containsText" text="No se pudo ejecutar">
      <formula>NOT(ISERROR(SEARCH("No se pudo ejecutar",T156)))</formula>
    </cfRule>
    <cfRule type="containsText" dxfId="8088" priority="8377" operator="containsText" text="Pendiente">
      <formula>NOT(ISERROR(SEARCH("Pendiente",T156)))</formula>
    </cfRule>
    <cfRule type="containsText" dxfId="8087" priority="8378" operator="containsText" text="No Aplica">
      <formula>NOT(ISERROR(SEARCH("No Aplica",T156)))</formula>
    </cfRule>
    <cfRule type="containsText" dxfId="8086" priority="8379" operator="containsText" text="Fallido">
      <formula>NOT(ISERROR(SEARCH("Fallido",T156)))</formula>
    </cfRule>
    <cfRule type="containsText" dxfId="8085" priority="8380" operator="containsText" text="Éxitoso">
      <formula>NOT(ISERROR(SEARCH("Éxitoso",T156)))</formula>
    </cfRule>
  </conditionalFormatting>
  <conditionalFormatting sqref="U156">
    <cfRule type="containsText" dxfId="8084" priority="8371" operator="containsText" text="No se pudo ejecutar">
      <formula>NOT(ISERROR(SEARCH("No se pudo ejecutar",U156)))</formula>
    </cfRule>
    <cfRule type="containsText" dxfId="8083" priority="8372" operator="containsText" text="Pendiente">
      <formula>NOT(ISERROR(SEARCH("Pendiente",U156)))</formula>
    </cfRule>
    <cfRule type="containsText" dxfId="8082" priority="8373" operator="containsText" text="No Aplica">
      <formula>NOT(ISERROR(SEARCH("No Aplica",U156)))</formula>
    </cfRule>
    <cfRule type="containsText" dxfId="8081" priority="8374" operator="containsText" text="Fallido">
      <formula>NOT(ISERROR(SEARCH("Fallido",U156)))</formula>
    </cfRule>
    <cfRule type="containsText" dxfId="8080" priority="8375" operator="containsText" text="Éxitoso">
      <formula>NOT(ISERROR(SEARCH("Éxitoso",U156)))</formula>
    </cfRule>
  </conditionalFormatting>
  <conditionalFormatting sqref="V156">
    <cfRule type="containsText" dxfId="8079" priority="8366" operator="containsText" text="No se pudo ejecutar">
      <formula>NOT(ISERROR(SEARCH("No se pudo ejecutar",V156)))</formula>
    </cfRule>
    <cfRule type="containsText" dxfId="8078" priority="8367" operator="containsText" text="Pendiente">
      <formula>NOT(ISERROR(SEARCH("Pendiente",V156)))</formula>
    </cfRule>
    <cfRule type="containsText" dxfId="8077" priority="8368" operator="containsText" text="No Aplica">
      <formula>NOT(ISERROR(SEARCH("No Aplica",V156)))</formula>
    </cfRule>
    <cfRule type="containsText" dxfId="8076" priority="8369" operator="containsText" text="Fallido">
      <formula>NOT(ISERROR(SEARCH("Fallido",V156)))</formula>
    </cfRule>
    <cfRule type="containsText" dxfId="8075" priority="8370" operator="containsText" text="Éxitoso">
      <formula>NOT(ISERROR(SEARCH("Éxitoso",V156)))</formula>
    </cfRule>
  </conditionalFormatting>
  <conditionalFormatting sqref="W156">
    <cfRule type="containsText" dxfId="8074" priority="8361" operator="containsText" text="No se pudo ejecutar">
      <formula>NOT(ISERROR(SEARCH("No se pudo ejecutar",W156)))</formula>
    </cfRule>
    <cfRule type="containsText" dxfId="8073" priority="8362" operator="containsText" text="Pendiente">
      <formula>NOT(ISERROR(SEARCH("Pendiente",W156)))</formula>
    </cfRule>
    <cfRule type="containsText" dxfId="8072" priority="8363" operator="containsText" text="No Aplica">
      <formula>NOT(ISERROR(SEARCH("No Aplica",W156)))</formula>
    </cfRule>
    <cfRule type="containsText" dxfId="8071" priority="8364" operator="containsText" text="Fallido">
      <formula>NOT(ISERROR(SEARCH("Fallido",W156)))</formula>
    </cfRule>
    <cfRule type="containsText" dxfId="8070" priority="8365" operator="containsText" text="Éxitoso">
      <formula>NOT(ISERROR(SEARCH("Éxitoso",W156)))</formula>
    </cfRule>
  </conditionalFormatting>
  <conditionalFormatting sqref="M156">
    <cfRule type="containsText" dxfId="8069" priority="8356" operator="containsText" text="No se pudo ejecutar">
      <formula>NOT(ISERROR(SEARCH("No se pudo ejecutar",M156)))</formula>
    </cfRule>
    <cfRule type="containsText" dxfId="8068" priority="8357" operator="containsText" text="Pendiente">
      <formula>NOT(ISERROR(SEARCH("Pendiente",M156)))</formula>
    </cfRule>
    <cfRule type="containsText" dxfId="8067" priority="8358" operator="containsText" text="No Aplica">
      <formula>NOT(ISERROR(SEARCH("No Aplica",M156)))</formula>
    </cfRule>
    <cfRule type="containsText" dxfId="8066" priority="8359" operator="containsText" text="Fallido">
      <formula>NOT(ISERROR(SEARCH("Fallido",M156)))</formula>
    </cfRule>
    <cfRule type="containsText" dxfId="8065" priority="8360" operator="containsText" text="Éxitoso">
      <formula>NOT(ISERROR(SEARCH("Éxitoso",M156)))</formula>
    </cfRule>
  </conditionalFormatting>
  <conditionalFormatting sqref="G156">
    <cfRule type="containsText" dxfId="8064" priority="8353" operator="containsText" text="Bajo">
      <formula>NOT(ISERROR(SEARCH("Bajo",G156)))</formula>
    </cfRule>
    <cfRule type="containsText" dxfId="8063" priority="8354" operator="containsText" text="Medio">
      <formula>NOT(ISERROR(SEARCH("Medio",G156)))</formula>
    </cfRule>
    <cfRule type="containsText" dxfId="8062" priority="8355" operator="containsText" text="Alto">
      <formula>NOT(ISERROR(SEARCH("Alto",G156)))</formula>
    </cfRule>
  </conditionalFormatting>
  <conditionalFormatting sqref="N157">
    <cfRule type="containsText" dxfId="8061" priority="8348" operator="containsText" text="No se pudo ejecutar">
      <formula>NOT(ISERROR(SEARCH("No se pudo ejecutar",N157)))</formula>
    </cfRule>
    <cfRule type="containsText" dxfId="8060" priority="8349" operator="containsText" text="Pendiente">
      <formula>NOT(ISERROR(SEARCH("Pendiente",N157)))</formula>
    </cfRule>
    <cfRule type="containsText" dxfId="8059" priority="8350" operator="containsText" text="No Aplica">
      <formula>NOT(ISERROR(SEARCH("No Aplica",N157)))</formula>
    </cfRule>
    <cfRule type="containsText" dxfId="8058" priority="8351" operator="containsText" text="Fallido">
      <formula>NOT(ISERROR(SEARCH("Fallido",N157)))</formula>
    </cfRule>
    <cfRule type="containsText" dxfId="8057" priority="8352" operator="containsText" text="Éxitoso">
      <formula>NOT(ISERROR(SEARCH("Éxitoso",N157)))</formula>
    </cfRule>
  </conditionalFormatting>
  <conditionalFormatting sqref="O157">
    <cfRule type="containsText" dxfId="8056" priority="8343" operator="containsText" text="No se pudo ejecutar">
      <formula>NOT(ISERROR(SEARCH("No se pudo ejecutar",O157)))</formula>
    </cfRule>
    <cfRule type="containsText" dxfId="8055" priority="8344" operator="containsText" text="Pendiente">
      <formula>NOT(ISERROR(SEARCH("Pendiente",O157)))</formula>
    </cfRule>
    <cfRule type="containsText" dxfId="8054" priority="8345" operator="containsText" text="No Aplica">
      <formula>NOT(ISERROR(SEARCH("No Aplica",O157)))</formula>
    </cfRule>
    <cfRule type="containsText" dxfId="8053" priority="8346" operator="containsText" text="Fallido">
      <formula>NOT(ISERROR(SEARCH("Fallido",O157)))</formula>
    </cfRule>
    <cfRule type="containsText" dxfId="8052" priority="8347" operator="containsText" text="Éxitoso">
      <formula>NOT(ISERROR(SEARCH("Éxitoso",O157)))</formula>
    </cfRule>
  </conditionalFormatting>
  <conditionalFormatting sqref="P157">
    <cfRule type="containsText" dxfId="8051" priority="8338" operator="containsText" text="No se pudo ejecutar">
      <formula>NOT(ISERROR(SEARCH("No se pudo ejecutar",P157)))</formula>
    </cfRule>
    <cfRule type="containsText" dxfId="8050" priority="8339" operator="containsText" text="Pendiente">
      <formula>NOT(ISERROR(SEARCH("Pendiente",P157)))</formula>
    </cfRule>
    <cfRule type="containsText" dxfId="8049" priority="8340" operator="containsText" text="No Aplica">
      <formula>NOT(ISERROR(SEARCH("No Aplica",P157)))</formula>
    </cfRule>
    <cfRule type="containsText" dxfId="8048" priority="8341" operator="containsText" text="Fallido">
      <formula>NOT(ISERROR(SEARCH("Fallido",P157)))</formula>
    </cfRule>
    <cfRule type="containsText" dxfId="8047" priority="8342" operator="containsText" text="Éxitoso">
      <formula>NOT(ISERROR(SEARCH("Éxitoso",P157)))</formula>
    </cfRule>
  </conditionalFormatting>
  <conditionalFormatting sqref="Q157">
    <cfRule type="containsText" dxfId="8046" priority="8333" operator="containsText" text="No se pudo ejecutar">
      <formula>NOT(ISERROR(SEARCH("No se pudo ejecutar",Q157)))</formula>
    </cfRule>
    <cfRule type="containsText" dxfId="8045" priority="8334" operator="containsText" text="Pendiente">
      <formula>NOT(ISERROR(SEARCH("Pendiente",Q157)))</formula>
    </cfRule>
    <cfRule type="containsText" dxfId="8044" priority="8335" operator="containsText" text="No Aplica">
      <formula>NOT(ISERROR(SEARCH("No Aplica",Q157)))</formula>
    </cfRule>
    <cfRule type="containsText" dxfId="8043" priority="8336" operator="containsText" text="Fallido">
      <formula>NOT(ISERROR(SEARCH("Fallido",Q157)))</formula>
    </cfRule>
    <cfRule type="containsText" dxfId="8042" priority="8337" operator="containsText" text="Éxitoso">
      <formula>NOT(ISERROR(SEARCH("Éxitoso",Q157)))</formula>
    </cfRule>
  </conditionalFormatting>
  <conditionalFormatting sqref="R157">
    <cfRule type="containsText" dxfId="8041" priority="8328" operator="containsText" text="No se pudo ejecutar">
      <formula>NOT(ISERROR(SEARCH("No se pudo ejecutar",R157)))</formula>
    </cfRule>
    <cfRule type="containsText" dxfId="8040" priority="8329" operator="containsText" text="Pendiente">
      <formula>NOT(ISERROR(SEARCH("Pendiente",R157)))</formula>
    </cfRule>
    <cfRule type="containsText" dxfId="8039" priority="8330" operator="containsText" text="No Aplica">
      <formula>NOT(ISERROR(SEARCH("No Aplica",R157)))</formula>
    </cfRule>
    <cfRule type="containsText" dxfId="8038" priority="8331" operator="containsText" text="Fallido">
      <formula>NOT(ISERROR(SEARCH("Fallido",R157)))</formula>
    </cfRule>
    <cfRule type="containsText" dxfId="8037" priority="8332" operator="containsText" text="Éxitoso">
      <formula>NOT(ISERROR(SEARCH("Éxitoso",R157)))</formula>
    </cfRule>
  </conditionalFormatting>
  <conditionalFormatting sqref="S157">
    <cfRule type="containsText" dxfId="8036" priority="8323" operator="containsText" text="No se pudo ejecutar">
      <formula>NOT(ISERROR(SEARCH("No se pudo ejecutar",S157)))</formula>
    </cfRule>
    <cfRule type="containsText" dxfId="8035" priority="8324" operator="containsText" text="Pendiente">
      <formula>NOT(ISERROR(SEARCH("Pendiente",S157)))</formula>
    </cfRule>
    <cfRule type="containsText" dxfId="8034" priority="8325" operator="containsText" text="No Aplica">
      <formula>NOT(ISERROR(SEARCH("No Aplica",S157)))</formula>
    </cfRule>
    <cfRule type="containsText" dxfId="8033" priority="8326" operator="containsText" text="Fallido">
      <formula>NOT(ISERROR(SEARCH("Fallido",S157)))</formula>
    </cfRule>
    <cfRule type="containsText" dxfId="8032" priority="8327" operator="containsText" text="Éxitoso">
      <formula>NOT(ISERROR(SEARCH("Éxitoso",S157)))</formula>
    </cfRule>
  </conditionalFormatting>
  <conditionalFormatting sqref="T157">
    <cfRule type="containsText" dxfId="8031" priority="8318" operator="containsText" text="No se pudo ejecutar">
      <formula>NOT(ISERROR(SEARCH("No se pudo ejecutar",T157)))</formula>
    </cfRule>
    <cfRule type="containsText" dxfId="8030" priority="8319" operator="containsText" text="Pendiente">
      <formula>NOT(ISERROR(SEARCH("Pendiente",T157)))</formula>
    </cfRule>
    <cfRule type="containsText" dxfId="8029" priority="8320" operator="containsText" text="No Aplica">
      <formula>NOT(ISERROR(SEARCH("No Aplica",T157)))</formula>
    </cfRule>
    <cfRule type="containsText" dxfId="8028" priority="8321" operator="containsText" text="Fallido">
      <formula>NOT(ISERROR(SEARCH("Fallido",T157)))</formula>
    </cfRule>
    <cfRule type="containsText" dxfId="8027" priority="8322" operator="containsText" text="Éxitoso">
      <formula>NOT(ISERROR(SEARCH("Éxitoso",T157)))</formula>
    </cfRule>
  </conditionalFormatting>
  <conditionalFormatting sqref="U157">
    <cfRule type="containsText" dxfId="8026" priority="8313" operator="containsText" text="No se pudo ejecutar">
      <formula>NOT(ISERROR(SEARCH("No se pudo ejecutar",U157)))</formula>
    </cfRule>
    <cfRule type="containsText" dxfId="8025" priority="8314" operator="containsText" text="Pendiente">
      <formula>NOT(ISERROR(SEARCH("Pendiente",U157)))</formula>
    </cfRule>
    <cfRule type="containsText" dxfId="8024" priority="8315" operator="containsText" text="No Aplica">
      <formula>NOT(ISERROR(SEARCH("No Aplica",U157)))</formula>
    </cfRule>
    <cfRule type="containsText" dxfId="8023" priority="8316" operator="containsText" text="Fallido">
      <formula>NOT(ISERROR(SEARCH("Fallido",U157)))</formula>
    </cfRule>
    <cfRule type="containsText" dxfId="8022" priority="8317" operator="containsText" text="Éxitoso">
      <formula>NOT(ISERROR(SEARCH("Éxitoso",U157)))</formula>
    </cfRule>
  </conditionalFormatting>
  <conditionalFormatting sqref="V157">
    <cfRule type="containsText" dxfId="8021" priority="8308" operator="containsText" text="No se pudo ejecutar">
      <formula>NOT(ISERROR(SEARCH("No se pudo ejecutar",V157)))</formula>
    </cfRule>
    <cfRule type="containsText" dxfId="8020" priority="8309" operator="containsText" text="Pendiente">
      <formula>NOT(ISERROR(SEARCH("Pendiente",V157)))</formula>
    </cfRule>
    <cfRule type="containsText" dxfId="8019" priority="8310" operator="containsText" text="No Aplica">
      <formula>NOT(ISERROR(SEARCH("No Aplica",V157)))</formula>
    </cfRule>
    <cfRule type="containsText" dxfId="8018" priority="8311" operator="containsText" text="Fallido">
      <formula>NOT(ISERROR(SEARCH("Fallido",V157)))</formula>
    </cfRule>
    <cfRule type="containsText" dxfId="8017" priority="8312" operator="containsText" text="Éxitoso">
      <formula>NOT(ISERROR(SEARCH("Éxitoso",V157)))</formula>
    </cfRule>
  </conditionalFormatting>
  <conditionalFormatting sqref="W157">
    <cfRule type="containsText" dxfId="8016" priority="8303" operator="containsText" text="No se pudo ejecutar">
      <formula>NOT(ISERROR(SEARCH("No se pudo ejecutar",W157)))</formula>
    </cfRule>
    <cfRule type="containsText" dxfId="8015" priority="8304" operator="containsText" text="Pendiente">
      <formula>NOT(ISERROR(SEARCH("Pendiente",W157)))</formula>
    </cfRule>
    <cfRule type="containsText" dxfId="8014" priority="8305" operator="containsText" text="No Aplica">
      <formula>NOT(ISERROR(SEARCH("No Aplica",W157)))</formula>
    </cfRule>
    <cfRule type="containsText" dxfId="8013" priority="8306" operator="containsText" text="Fallido">
      <formula>NOT(ISERROR(SEARCH("Fallido",W157)))</formula>
    </cfRule>
    <cfRule type="containsText" dxfId="8012" priority="8307" operator="containsText" text="Éxitoso">
      <formula>NOT(ISERROR(SEARCH("Éxitoso",W157)))</formula>
    </cfRule>
  </conditionalFormatting>
  <conditionalFormatting sqref="M157">
    <cfRule type="containsText" dxfId="8011" priority="8298" operator="containsText" text="No se pudo ejecutar">
      <formula>NOT(ISERROR(SEARCH("No se pudo ejecutar",M157)))</formula>
    </cfRule>
    <cfRule type="containsText" dxfId="8010" priority="8299" operator="containsText" text="Pendiente">
      <formula>NOT(ISERROR(SEARCH("Pendiente",M157)))</formula>
    </cfRule>
    <cfRule type="containsText" dxfId="8009" priority="8300" operator="containsText" text="No Aplica">
      <formula>NOT(ISERROR(SEARCH("No Aplica",M157)))</formula>
    </cfRule>
    <cfRule type="containsText" dxfId="8008" priority="8301" operator="containsText" text="Fallido">
      <formula>NOT(ISERROR(SEARCH("Fallido",M157)))</formula>
    </cfRule>
    <cfRule type="containsText" dxfId="8007" priority="8302" operator="containsText" text="Éxitoso">
      <formula>NOT(ISERROR(SEARCH("Éxitoso",M157)))</formula>
    </cfRule>
  </conditionalFormatting>
  <conditionalFormatting sqref="G157">
    <cfRule type="containsText" dxfId="8006" priority="8295" operator="containsText" text="Bajo">
      <formula>NOT(ISERROR(SEARCH("Bajo",G157)))</formula>
    </cfRule>
    <cfRule type="containsText" dxfId="8005" priority="8296" operator="containsText" text="Medio">
      <formula>NOT(ISERROR(SEARCH("Medio",G157)))</formula>
    </cfRule>
    <cfRule type="containsText" dxfId="8004" priority="8297" operator="containsText" text="Alto">
      <formula>NOT(ISERROR(SEARCH("Alto",G157)))</formula>
    </cfRule>
  </conditionalFormatting>
  <conditionalFormatting sqref="N158">
    <cfRule type="containsText" dxfId="8003" priority="8290" operator="containsText" text="No se pudo ejecutar">
      <formula>NOT(ISERROR(SEARCH("No se pudo ejecutar",N158)))</formula>
    </cfRule>
    <cfRule type="containsText" dxfId="8002" priority="8291" operator="containsText" text="Pendiente">
      <formula>NOT(ISERROR(SEARCH("Pendiente",N158)))</formula>
    </cfRule>
    <cfRule type="containsText" dxfId="8001" priority="8292" operator="containsText" text="No Aplica">
      <formula>NOT(ISERROR(SEARCH("No Aplica",N158)))</formula>
    </cfRule>
    <cfRule type="containsText" dxfId="8000" priority="8293" operator="containsText" text="Fallido">
      <formula>NOT(ISERROR(SEARCH("Fallido",N158)))</formula>
    </cfRule>
    <cfRule type="containsText" dxfId="7999" priority="8294" operator="containsText" text="Éxitoso">
      <formula>NOT(ISERROR(SEARCH("Éxitoso",N158)))</formula>
    </cfRule>
  </conditionalFormatting>
  <conditionalFormatting sqref="O158">
    <cfRule type="containsText" dxfId="7998" priority="8285" operator="containsText" text="No se pudo ejecutar">
      <formula>NOT(ISERROR(SEARCH("No se pudo ejecutar",O158)))</formula>
    </cfRule>
    <cfRule type="containsText" dxfId="7997" priority="8286" operator="containsText" text="Pendiente">
      <formula>NOT(ISERROR(SEARCH("Pendiente",O158)))</formula>
    </cfRule>
    <cfRule type="containsText" dxfId="7996" priority="8287" operator="containsText" text="No Aplica">
      <formula>NOT(ISERROR(SEARCH("No Aplica",O158)))</formula>
    </cfRule>
    <cfRule type="containsText" dxfId="7995" priority="8288" operator="containsText" text="Fallido">
      <formula>NOT(ISERROR(SEARCH("Fallido",O158)))</formula>
    </cfRule>
    <cfRule type="containsText" dxfId="7994" priority="8289" operator="containsText" text="Éxitoso">
      <formula>NOT(ISERROR(SEARCH("Éxitoso",O158)))</formula>
    </cfRule>
  </conditionalFormatting>
  <conditionalFormatting sqref="P158">
    <cfRule type="containsText" dxfId="7993" priority="8280" operator="containsText" text="No se pudo ejecutar">
      <formula>NOT(ISERROR(SEARCH("No se pudo ejecutar",P158)))</formula>
    </cfRule>
    <cfRule type="containsText" dxfId="7992" priority="8281" operator="containsText" text="Pendiente">
      <formula>NOT(ISERROR(SEARCH("Pendiente",P158)))</formula>
    </cfRule>
    <cfRule type="containsText" dxfId="7991" priority="8282" operator="containsText" text="No Aplica">
      <formula>NOT(ISERROR(SEARCH("No Aplica",P158)))</formula>
    </cfRule>
    <cfRule type="containsText" dxfId="7990" priority="8283" operator="containsText" text="Fallido">
      <formula>NOT(ISERROR(SEARCH("Fallido",P158)))</formula>
    </cfRule>
    <cfRule type="containsText" dxfId="7989" priority="8284" operator="containsText" text="Éxitoso">
      <formula>NOT(ISERROR(SEARCH("Éxitoso",P158)))</formula>
    </cfRule>
  </conditionalFormatting>
  <conditionalFormatting sqref="Q158">
    <cfRule type="containsText" dxfId="7988" priority="8275" operator="containsText" text="No se pudo ejecutar">
      <formula>NOT(ISERROR(SEARCH("No se pudo ejecutar",Q158)))</formula>
    </cfRule>
    <cfRule type="containsText" dxfId="7987" priority="8276" operator="containsText" text="Pendiente">
      <formula>NOT(ISERROR(SEARCH("Pendiente",Q158)))</formula>
    </cfRule>
    <cfRule type="containsText" dxfId="7986" priority="8277" operator="containsText" text="No Aplica">
      <formula>NOT(ISERROR(SEARCH("No Aplica",Q158)))</formula>
    </cfRule>
    <cfRule type="containsText" dxfId="7985" priority="8278" operator="containsText" text="Fallido">
      <formula>NOT(ISERROR(SEARCH("Fallido",Q158)))</formula>
    </cfRule>
    <cfRule type="containsText" dxfId="7984" priority="8279" operator="containsText" text="Éxitoso">
      <formula>NOT(ISERROR(SEARCH("Éxitoso",Q158)))</formula>
    </cfRule>
  </conditionalFormatting>
  <conditionalFormatting sqref="R158">
    <cfRule type="containsText" dxfId="7983" priority="8270" operator="containsText" text="No se pudo ejecutar">
      <formula>NOT(ISERROR(SEARCH("No se pudo ejecutar",R158)))</formula>
    </cfRule>
    <cfRule type="containsText" dxfId="7982" priority="8271" operator="containsText" text="Pendiente">
      <formula>NOT(ISERROR(SEARCH("Pendiente",R158)))</formula>
    </cfRule>
    <cfRule type="containsText" dxfId="7981" priority="8272" operator="containsText" text="No Aplica">
      <formula>NOT(ISERROR(SEARCH("No Aplica",R158)))</formula>
    </cfRule>
    <cfRule type="containsText" dxfId="7980" priority="8273" operator="containsText" text="Fallido">
      <formula>NOT(ISERROR(SEARCH("Fallido",R158)))</formula>
    </cfRule>
    <cfRule type="containsText" dxfId="7979" priority="8274" operator="containsText" text="Éxitoso">
      <formula>NOT(ISERROR(SEARCH("Éxitoso",R158)))</formula>
    </cfRule>
  </conditionalFormatting>
  <conditionalFormatting sqref="S158">
    <cfRule type="containsText" dxfId="7978" priority="8265" operator="containsText" text="No se pudo ejecutar">
      <formula>NOT(ISERROR(SEARCH("No se pudo ejecutar",S158)))</formula>
    </cfRule>
    <cfRule type="containsText" dxfId="7977" priority="8266" operator="containsText" text="Pendiente">
      <formula>NOT(ISERROR(SEARCH("Pendiente",S158)))</formula>
    </cfRule>
    <cfRule type="containsText" dxfId="7976" priority="8267" operator="containsText" text="No Aplica">
      <formula>NOT(ISERROR(SEARCH("No Aplica",S158)))</formula>
    </cfRule>
    <cfRule type="containsText" dxfId="7975" priority="8268" operator="containsText" text="Fallido">
      <formula>NOT(ISERROR(SEARCH("Fallido",S158)))</formula>
    </cfRule>
    <cfRule type="containsText" dxfId="7974" priority="8269" operator="containsText" text="Éxitoso">
      <formula>NOT(ISERROR(SEARCH("Éxitoso",S158)))</formula>
    </cfRule>
  </conditionalFormatting>
  <conditionalFormatting sqref="T158">
    <cfRule type="containsText" dxfId="7973" priority="8260" operator="containsText" text="No se pudo ejecutar">
      <formula>NOT(ISERROR(SEARCH("No se pudo ejecutar",T158)))</formula>
    </cfRule>
    <cfRule type="containsText" dxfId="7972" priority="8261" operator="containsText" text="Pendiente">
      <formula>NOT(ISERROR(SEARCH("Pendiente",T158)))</formula>
    </cfRule>
    <cfRule type="containsText" dxfId="7971" priority="8262" operator="containsText" text="No Aplica">
      <formula>NOT(ISERROR(SEARCH("No Aplica",T158)))</formula>
    </cfRule>
    <cfRule type="containsText" dxfId="7970" priority="8263" operator="containsText" text="Fallido">
      <formula>NOT(ISERROR(SEARCH("Fallido",T158)))</formula>
    </cfRule>
    <cfRule type="containsText" dxfId="7969" priority="8264" operator="containsText" text="Éxitoso">
      <formula>NOT(ISERROR(SEARCH("Éxitoso",T158)))</formula>
    </cfRule>
  </conditionalFormatting>
  <conditionalFormatting sqref="U158">
    <cfRule type="containsText" dxfId="7968" priority="8255" operator="containsText" text="No se pudo ejecutar">
      <formula>NOT(ISERROR(SEARCH("No se pudo ejecutar",U158)))</formula>
    </cfRule>
    <cfRule type="containsText" dxfId="7967" priority="8256" operator="containsText" text="Pendiente">
      <formula>NOT(ISERROR(SEARCH("Pendiente",U158)))</formula>
    </cfRule>
    <cfRule type="containsText" dxfId="7966" priority="8257" operator="containsText" text="No Aplica">
      <formula>NOT(ISERROR(SEARCH("No Aplica",U158)))</formula>
    </cfRule>
    <cfRule type="containsText" dxfId="7965" priority="8258" operator="containsText" text="Fallido">
      <formula>NOT(ISERROR(SEARCH("Fallido",U158)))</formula>
    </cfRule>
    <cfRule type="containsText" dxfId="7964" priority="8259" operator="containsText" text="Éxitoso">
      <formula>NOT(ISERROR(SEARCH("Éxitoso",U158)))</formula>
    </cfRule>
  </conditionalFormatting>
  <conditionalFormatting sqref="V158">
    <cfRule type="containsText" dxfId="7963" priority="8250" operator="containsText" text="No se pudo ejecutar">
      <formula>NOT(ISERROR(SEARCH("No se pudo ejecutar",V158)))</formula>
    </cfRule>
    <cfRule type="containsText" dxfId="7962" priority="8251" operator="containsText" text="Pendiente">
      <formula>NOT(ISERROR(SEARCH("Pendiente",V158)))</formula>
    </cfRule>
    <cfRule type="containsText" dxfId="7961" priority="8252" operator="containsText" text="No Aplica">
      <formula>NOT(ISERROR(SEARCH("No Aplica",V158)))</formula>
    </cfRule>
    <cfRule type="containsText" dxfId="7960" priority="8253" operator="containsText" text="Fallido">
      <formula>NOT(ISERROR(SEARCH("Fallido",V158)))</formula>
    </cfRule>
    <cfRule type="containsText" dxfId="7959" priority="8254" operator="containsText" text="Éxitoso">
      <formula>NOT(ISERROR(SEARCH("Éxitoso",V158)))</formula>
    </cfRule>
  </conditionalFormatting>
  <conditionalFormatting sqref="W158">
    <cfRule type="containsText" dxfId="7958" priority="8245" operator="containsText" text="No se pudo ejecutar">
      <formula>NOT(ISERROR(SEARCH("No se pudo ejecutar",W158)))</formula>
    </cfRule>
    <cfRule type="containsText" dxfId="7957" priority="8246" operator="containsText" text="Pendiente">
      <formula>NOT(ISERROR(SEARCH("Pendiente",W158)))</formula>
    </cfRule>
    <cfRule type="containsText" dxfId="7956" priority="8247" operator="containsText" text="No Aplica">
      <formula>NOT(ISERROR(SEARCH("No Aplica",W158)))</formula>
    </cfRule>
    <cfRule type="containsText" dxfId="7955" priority="8248" operator="containsText" text="Fallido">
      <formula>NOT(ISERROR(SEARCH("Fallido",W158)))</formula>
    </cfRule>
    <cfRule type="containsText" dxfId="7954" priority="8249" operator="containsText" text="Éxitoso">
      <formula>NOT(ISERROR(SEARCH("Éxitoso",W158)))</formula>
    </cfRule>
  </conditionalFormatting>
  <conditionalFormatting sqref="M158">
    <cfRule type="containsText" dxfId="7953" priority="8240" operator="containsText" text="No se pudo ejecutar">
      <formula>NOT(ISERROR(SEARCH("No se pudo ejecutar",M158)))</formula>
    </cfRule>
    <cfRule type="containsText" dxfId="7952" priority="8241" operator="containsText" text="Pendiente">
      <formula>NOT(ISERROR(SEARCH("Pendiente",M158)))</formula>
    </cfRule>
    <cfRule type="containsText" dxfId="7951" priority="8242" operator="containsText" text="No Aplica">
      <formula>NOT(ISERROR(SEARCH("No Aplica",M158)))</formula>
    </cfRule>
    <cfRule type="containsText" dxfId="7950" priority="8243" operator="containsText" text="Fallido">
      <formula>NOT(ISERROR(SEARCH("Fallido",M158)))</formula>
    </cfRule>
    <cfRule type="containsText" dxfId="7949" priority="8244" operator="containsText" text="Éxitoso">
      <formula>NOT(ISERROR(SEARCH("Éxitoso",M158)))</formula>
    </cfRule>
  </conditionalFormatting>
  <conditionalFormatting sqref="G158">
    <cfRule type="containsText" dxfId="7948" priority="8237" operator="containsText" text="Bajo">
      <formula>NOT(ISERROR(SEARCH("Bajo",G158)))</formula>
    </cfRule>
    <cfRule type="containsText" dxfId="7947" priority="8238" operator="containsText" text="Medio">
      <formula>NOT(ISERROR(SEARCH("Medio",G158)))</formula>
    </cfRule>
    <cfRule type="containsText" dxfId="7946" priority="8239" operator="containsText" text="Alto">
      <formula>NOT(ISERROR(SEARCH("Alto",G158)))</formula>
    </cfRule>
  </conditionalFormatting>
  <conditionalFormatting sqref="N159">
    <cfRule type="containsText" dxfId="7945" priority="8232" operator="containsText" text="No se pudo ejecutar">
      <formula>NOT(ISERROR(SEARCH("No se pudo ejecutar",N159)))</formula>
    </cfRule>
    <cfRule type="containsText" dxfId="7944" priority="8233" operator="containsText" text="Pendiente">
      <formula>NOT(ISERROR(SEARCH("Pendiente",N159)))</formula>
    </cfRule>
    <cfRule type="containsText" dxfId="7943" priority="8234" operator="containsText" text="No Aplica">
      <formula>NOT(ISERROR(SEARCH("No Aplica",N159)))</formula>
    </cfRule>
    <cfRule type="containsText" dxfId="7942" priority="8235" operator="containsText" text="Fallido">
      <formula>NOT(ISERROR(SEARCH("Fallido",N159)))</formula>
    </cfRule>
    <cfRule type="containsText" dxfId="7941" priority="8236" operator="containsText" text="Éxitoso">
      <formula>NOT(ISERROR(SEARCH("Éxitoso",N159)))</formula>
    </cfRule>
  </conditionalFormatting>
  <conditionalFormatting sqref="O159">
    <cfRule type="containsText" dxfId="7940" priority="8227" operator="containsText" text="No se pudo ejecutar">
      <formula>NOT(ISERROR(SEARCH("No se pudo ejecutar",O159)))</formula>
    </cfRule>
    <cfRule type="containsText" dxfId="7939" priority="8228" operator="containsText" text="Pendiente">
      <formula>NOT(ISERROR(SEARCH("Pendiente",O159)))</formula>
    </cfRule>
    <cfRule type="containsText" dxfId="7938" priority="8229" operator="containsText" text="No Aplica">
      <formula>NOT(ISERROR(SEARCH("No Aplica",O159)))</formula>
    </cfRule>
    <cfRule type="containsText" dxfId="7937" priority="8230" operator="containsText" text="Fallido">
      <formula>NOT(ISERROR(SEARCH("Fallido",O159)))</formula>
    </cfRule>
    <cfRule type="containsText" dxfId="7936" priority="8231" operator="containsText" text="Éxitoso">
      <formula>NOT(ISERROR(SEARCH("Éxitoso",O159)))</formula>
    </cfRule>
  </conditionalFormatting>
  <conditionalFormatting sqref="P159">
    <cfRule type="containsText" dxfId="7935" priority="8222" operator="containsText" text="No se pudo ejecutar">
      <formula>NOT(ISERROR(SEARCH("No se pudo ejecutar",P159)))</formula>
    </cfRule>
    <cfRule type="containsText" dxfId="7934" priority="8223" operator="containsText" text="Pendiente">
      <formula>NOT(ISERROR(SEARCH("Pendiente",P159)))</formula>
    </cfRule>
    <cfRule type="containsText" dxfId="7933" priority="8224" operator="containsText" text="No Aplica">
      <formula>NOT(ISERROR(SEARCH("No Aplica",P159)))</formula>
    </cfRule>
    <cfRule type="containsText" dxfId="7932" priority="8225" operator="containsText" text="Fallido">
      <formula>NOT(ISERROR(SEARCH("Fallido",P159)))</formula>
    </cfRule>
    <cfRule type="containsText" dxfId="7931" priority="8226" operator="containsText" text="Éxitoso">
      <formula>NOT(ISERROR(SEARCH("Éxitoso",P159)))</formula>
    </cfRule>
  </conditionalFormatting>
  <conditionalFormatting sqref="Q159">
    <cfRule type="containsText" dxfId="7930" priority="8217" operator="containsText" text="No se pudo ejecutar">
      <formula>NOT(ISERROR(SEARCH("No se pudo ejecutar",Q159)))</formula>
    </cfRule>
    <cfRule type="containsText" dxfId="7929" priority="8218" operator="containsText" text="Pendiente">
      <formula>NOT(ISERROR(SEARCH("Pendiente",Q159)))</formula>
    </cfRule>
    <cfRule type="containsText" dxfId="7928" priority="8219" operator="containsText" text="No Aplica">
      <formula>NOT(ISERROR(SEARCH("No Aplica",Q159)))</formula>
    </cfRule>
    <cfRule type="containsText" dxfId="7927" priority="8220" operator="containsText" text="Fallido">
      <formula>NOT(ISERROR(SEARCH("Fallido",Q159)))</formula>
    </cfRule>
    <cfRule type="containsText" dxfId="7926" priority="8221" operator="containsText" text="Éxitoso">
      <formula>NOT(ISERROR(SEARCH("Éxitoso",Q159)))</formula>
    </cfRule>
  </conditionalFormatting>
  <conditionalFormatting sqref="R159">
    <cfRule type="containsText" dxfId="7925" priority="8212" operator="containsText" text="No se pudo ejecutar">
      <formula>NOT(ISERROR(SEARCH("No se pudo ejecutar",R159)))</formula>
    </cfRule>
    <cfRule type="containsText" dxfId="7924" priority="8213" operator="containsText" text="Pendiente">
      <formula>NOT(ISERROR(SEARCH("Pendiente",R159)))</formula>
    </cfRule>
    <cfRule type="containsText" dxfId="7923" priority="8214" operator="containsText" text="No Aplica">
      <formula>NOT(ISERROR(SEARCH("No Aplica",R159)))</formula>
    </cfRule>
    <cfRule type="containsText" dxfId="7922" priority="8215" operator="containsText" text="Fallido">
      <formula>NOT(ISERROR(SEARCH("Fallido",R159)))</formula>
    </cfRule>
    <cfRule type="containsText" dxfId="7921" priority="8216" operator="containsText" text="Éxitoso">
      <formula>NOT(ISERROR(SEARCH("Éxitoso",R159)))</formula>
    </cfRule>
  </conditionalFormatting>
  <conditionalFormatting sqref="S159">
    <cfRule type="containsText" dxfId="7920" priority="8207" operator="containsText" text="No se pudo ejecutar">
      <formula>NOT(ISERROR(SEARCH("No se pudo ejecutar",S159)))</formula>
    </cfRule>
    <cfRule type="containsText" dxfId="7919" priority="8208" operator="containsText" text="Pendiente">
      <formula>NOT(ISERROR(SEARCH("Pendiente",S159)))</formula>
    </cfRule>
    <cfRule type="containsText" dxfId="7918" priority="8209" operator="containsText" text="No Aplica">
      <formula>NOT(ISERROR(SEARCH("No Aplica",S159)))</formula>
    </cfRule>
    <cfRule type="containsText" dxfId="7917" priority="8210" operator="containsText" text="Fallido">
      <formula>NOT(ISERROR(SEARCH("Fallido",S159)))</formula>
    </cfRule>
    <cfRule type="containsText" dxfId="7916" priority="8211" operator="containsText" text="Éxitoso">
      <formula>NOT(ISERROR(SEARCH("Éxitoso",S159)))</formula>
    </cfRule>
  </conditionalFormatting>
  <conditionalFormatting sqref="T159">
    <cfRule type="containsText" dxfId="7915" priority="8202" operator="containsText" text="No se pudo ejecutar">
      <formula>NOT(ISERROR(SEARCH("No se pudo ejecutar",T159)))</formula>
    </cfRule>
    <cfRule type="containsText" dxfId="7914" priority="8203" operator="containsText" text="Pendiente">
      <formula>NOT(ISERROR(SEARCH("Pendiente",T159)))</formula>
    </cfRule>
    <cfRule type="containsText" dxfId="7913" priority="8204" operator="containsText" text="No Aplica">
      <formula>NOT(ISERROR(SEARCH("No Aplica",T159)))</formula>
    </cfRule>
    <cfRule type="containsText" dxfId="7912" priority="8205" operator="containsText" text="Fallido">
      <formula>NOT(ISERROR(SEARCH("Fallido",T159)))</formula>
    </cfRule>
    <cfRule type="containsText" dxfId="7911" priority="8206" operator="containsText" text="Éxitoso">
      <formula>NOT(ISERROR(SEARCH("Éxitoso",T159)))</formula>
    </cfRule>
  </conditionalFormatting>
  <conditionalFormatting sqref="U159">
    <cfRule type="containsText" dxfId="7910" priority="8197" operator="containsText" text="No se pudo ejecutar">
      <formula>NOT(ISERROR(SEARCH("No se pudo ejecutar",U159)))</formula>
    </cfRule>
    <cfRule type="containsText" dxfId="7909" priority="8198" operator="containsText" text="Pendiente">
      <formula>NOT(ISERROR(SEARCH("Pendiente",U159)))</formula>
    </cfRule>
    <cfRule type="containsText" dxfId="7908" priority="8199" operator="containsText" text="No Aplica">
      <formula>NOT(ISERROR(SEARCH("No Aplica",U159)))</formula>
    </cfRule>
    <cfRule type="containsText" dxfId="7907" priority="8200" operator="containsText" text="Fallido">
      <formula>NOT(ISERROR(SEARCH("Fallido",U159)))</formula>
    </cfRule>
    <cfRule type="containsText" dxfId="7906" priority="8201" operator="containsText" text="Éxitoso">
      <formula>NOT(ISERROR(SEARCH("Éxitoso",U159)))</formula>
    </cfRule>
  </conditionalFormatting>
  <conditionalFormatting sqref="V159">
    <cfRule type="containsText" dxfId="7905" priority="8192" operator="containsText" text="No se pudo ejecutar">
      <formula>NOT(ISERROR(SEARCH("No se pudo ejecutar",V159)))</formula>
    </cfRule>
    <cfRule type="containsText" dxfId="7904" priority="8193" operator="containsText" text="Pendiente">
      <formula>NOT(ISERROR(SEARCH("Pendiente",V159)))</formula>
    </cfRule>
    <cfRule type="containsText" dxfId="7903" priority="8194" operator="containsText" text="No Aplica">
      <formula>NOT(ISERROR(SEARCH("No Aplica",V159)))</formula>
    </cfRule>
    <cfRule type="containsText" dxfId="7902" priority="8195" operator="containsText" text="Fallido">
      <formula>NOT(ISERROR(SEARCH("Fallido",V159)))</formula>
    </cfRule>
    <cfRule type="containsText" dxfId="7901" priority="8196" operator="containsText" text="Éxitoso">
      <formula>NOT(ISERROR(SEARCH("Éxitoso",V159)))</formula>
    </cfRule>
  </conditionalFormatting>
  <conditionalFormatting sqref="W159">
    <cfRule type="containsText" dxfId="7900" priority="8187" operator="containsText" text="No se pudo ejecutar">
      <formula>NOT(ISERROR(SEARCH("No se pudo ejecutar",W159)))</formula>
    </cfRule>
    <cfRule type="containsText" dxfId="7899" priority="8188" operator="containsText" text="Pendiente">
      <formula>NOT(ISERROR(SEARCH("Pendiente",W159)))</formula>
    </cfRule>
    <cfRule type="containsText" dxfId="7898" priority="8189" operator="containsText" text="No Aplica">
      <formula>NOT(ISERROR(SEARCH("No Aplica",W159)))</formula>
    </cfRule>
    <cfRule type="containsText" dxfId="7897" priority="8190" operator="containsText" text="Fallido">
      <formula>NOT(ISERROR(SEARCH("Fallido",W159)))</formula>
    </cfRule>
    <cfRule type="containsText" dxfId="7896" priority="8191" operator="containsText" text="Éxitoso">
      <formula>NOT(ISERROR(SEARCH("Éxitoso",W159)))</formula>
    </cfRule>
  </conditionalFormatting>
  <conditionalFormatting sqref="M159">
    <cfRule type="containsText" dxfId="7895" priority="8182" operator="containsText" text="No se pudo ejecutar">
      <formula>NOT(ISERROR(SEARCH("No se pudo ejecutar",M159)))</formula>
    </cfRule>
    <cfRule type="containsText" dxfId="7894" priority="8183" operator="containsText" text="Pendiente">
      <formula>NOT(ISERROR(SEARCH("Pendiente",M159)))</formula>
    </cfRule>
    <cfRule type="containsText" dxfId="7893" priority="8184" operator="containsText" text="No Aplica">
      <formula>NOT(ISERROR(SEARCH("No Aplica",M159)))</formula>
    </cfRule>
    <cfRule type="containsText" dxfId="7892" priority="8185" operator="containsText" text="Fallido">
      <formula>NOT(ISERROR(SEARCH("Fallido",M159)))</formula>
    </cfRule>
    <cfRule type="containsText" dxfId="7891" priority="8186" operator="containsText" text="Éxitoso">
      <formula>NOT(ISERROR(SEARCH("Éxitoso",M159)))</formula>
    </cfRule>
  </conditionalFormatting>
  <conditionalFormatting sqref="G159">
    <cfRule type="containsText" dxfId="7890" priority="8179" operator="containsText" text="Bajo">
      <formula>NOT(ISERROR(SEARCH("Bajo",G159)))</formula>
    </cfRule>
    <cfRule type="containsText" dxfId="7889" priority="8180" operator="containsText" text="Medio">
      <formula>NOT(ISERROR(SEARCH("Medio",G159)))</formula>
    </cfRule>
    <cfRule type="containsText" dxfId="7888" priority="8181" operator="containsText" text="Alto">
      <formula>NOT(ISERROR(SEARCH("Alto",G159)))</formula>
    </cfRule>
  </conditionalFormatting>
  <conditionalFormatting sqref="N160">
    <cfRule type="containsText" dxfId="7887" priority="8174" operator="containsText" text="No se pudo ejecutar">
      <formula>NOT(ISERROR(SEARCH("No se pudo ejecutar",N160)))</formula>
    </cfRule>
    <cfRule type="containsText" dxfId="7886" priority="8175" operator="containsText" text="Pendiente">
      <formula>NOT(ISERROR(SEARCH("Pendiente",N160)))</formula>
    </cfRule>
    <cfRule type="containsText" dxfId="7885" priority="8176" operator="containsText" text="No Aplica">
      <formula>NOT(ISERROR(SEARCH("No Aplica",N160)))</formula>
    </cfRule>
    <cfRule type="containsText" dxfId="7884" priority="8177" operator="containsText" text="Fallido">
      <formula>NOT(ISERROR(SEARCH("Fallido",N160)))</formula>
    </cfRule>
    <cfRule type="containsText" dxfId="7883" priority="8178" operator="containsText" text="Éxitoso">
      <formula>NOT(ISERROR(SEARCH("Éxitoso",N160)))</formula>
    </cfRule>
  </conditionalFormatting>
  <conditionalFormatting sqref="O160">
    <cfRule type="containsText" dxfId="7882" priority="8169" operator="containsText" text="No se pudo ejecutar">
      <formula>NOT(ISERROR(SEARCH("No se pudo ejecutar",O160)))</formula>
    </cfRule>
    <cfRule type="containsText" dxfId="7881" priority="8170" operator="containsText" text="Pendiente">
      <formula>NOT(ISERROR(SEARCH("Pendiente",O160)))</formula>
    </cfRule>
    <cfRule type="containsText" dxfId="7880" priority="8171" operator="containsText" text="No Aplica">
      <formula>NOT(ISERROR(SEARCH("No Aplica",O160)))</formula>
    </cfRule>
    <cfRule type="containsText" dxfId="7879" priority="8172" operator="containsText" text="Fallido">
      <formula>NOT(ISERROR(SEARCH("Fallido",O160)))</formula>
    </cfRule>
    <cfRule type="containsText" dxfId="7878" priority="8173" operator="containsText" text="Éxitoso">
      <formula>NOT(ISERROR(SEARCH("Éxitoso",O160)))</formula>
    </cfRule>
  </conditionalFormatting>
  <conditionalFormatting sqref="P160">
    <cfRule type="containsText" dxfId="7877" priority="8164" operator="containsText" text="No se pudo ejecutar">
      <formula>NOT(ISERROR(SEARCH("No se pudo ejecutar",P160)))</formula>
    </cfRule>
    <cfRule type="containsText" dxfId="7876" priority="8165" operator="containsText" text="Pendiente">
      <formula>NOT(ISERROR(SEARCH("Pendiente",P160)))</formula>
    </cfRule>
    <cfRule type="containsText" dxfId="7875" priority="8166" operator="containsText" text="No Aplica">
      <formula>NOT(ISERROR(SEARCH("No Aplica",P160)))</formula>
    </cfRule>
    <cfRule type="containsText" dxfId="7874" priority="8167" operator="containsText" text="Fallido">
      <formula>NOT(ISERROR(SEARCH("Fallido",P160)))</formula>
    </cfRule>
    <cfRule type="containsText" dxfId="7873" priority="8168" operator="containsText" text="Éxitoso">
      <formula>NOT(ISERROR(SEARCH("Éxitoso",P160)))</formula>
    </cfRule>
  </conditionalFormatting>
  <conditionalFormatting sqref="Q160">
    <cfRule type="containsText" dxfId="7872" priority="8159" operator="containsText" text="No se pudo ejecutar">
      <formula>NOT(ISERROR(SEARCH("No se pudo ejecutar",Q160)))</formula>
    </cfRule>
    <cfRule type="containsText" dxfId="7871" priority="8160" operator="containsText" text="Pendiente">
      <formula>NOT(ISERROR(SEARCH("Pendiente",Q160)))</formula>
    </cfRule>
    <cfRule type="containsText" dxfId="7870" priority="8161" operator="containsText" text="No Aplica">
      <formula>NOT(ISERROR(SEARCH("No Aplica",Q160)))</formula>
    </cfRule>
    <cfRule type="containsText" dxfId="7869" priority="8162" operator="containsText" text="Fallido">
      <formula>NOT(ISERROR(SEARCH("Fallido",Q160)))</formula>
    </cfRule>
    <cfRule type="containsText" dxfId="7868" priority="8163" operator="containsText" text="Éxitoso">
      <formula>NOT(ISERROR(SEARCH("Éxitoso",Q160)))</formula>
    </cfRule>
  </conditionalFormatting>
  <conditionalFormatting sqref="R160">
    <cfRule type="containsText" dxfId="7867" priority="8154" operator="containsText" text="No se pudo ejecutar">
      <formula>NOT(ISERROR(SEARCH("No se pudo ejecutar",R160)))</formula>
    </cfRule>
    <cfRule type="containsText" dxfId="7866" priority="8155" operator="containsText" text="Pendiente">
      <formula>NOT(ISERROR(SEARCH("Pendiente",R160)))</formula>
    </cfRule>
    <cfRule type="containsText" dxfId="7865" priority="8156" operator="containsText" text="No Aplica">
      <formula>NOT(ISERROR(SEARCH("No Aplica",R160)))</formula>
    </cfRule>
    <cfRule type="containsText" dxfId="7864" priority="8157" operator="containsText" text="Fallido">
      <formula>NOT(ISERROR(SEARCH("Fallido",R160)))</formula>
    </cfRule>
    <cfRule type="containsText" dxfId="7863" priority="8158" operator="containsText" text="Éxitoso">
      <formula>NOT(ISERROR(SEARCH("Éxitoso",R160)))</formula>
    </cfRule>
  </conditionalFormatting>
  <conditionalFormatting sqref="S160">
    <cfRule type="containsText" dxfId="7862" priority="8149" operator="containsText" text="No se pudo ejecutar">
      <formula>NOT(ISERROR(SEARCH("No se pudo ejecutar",S160)))</formula>
    </cfRule>
    <cfRule type="containsText" dxfId="7861" priority="8150" operator="containsText" text="Pendiente">
      <formula>NOT(ISERROR(SEARCH("Pendiente",S160)))</formula>
    </cfRule>
    <cfRule type="containsText" dxfId="7860" priority="8151" operator="containsText" text="No Aplica">
      <formula>NOT(ISERROR(SEARCH("No Aplica",S160)))</formula>
    </cfRule>
    <cfRule type="containsText" dxfId="7859" priority="8152" operator="containsText" text="Fallido">
      <formula>NOT(ISERROR(SEARCH("Fallido",S160)))</formula>
    </cfRule>
    <cfRule type="containsText" dxfId="7858" priority="8153" operator="containsText" text="Éxitoso">
      <formula>NOT(ISERROR(SEARCH("Éxitoso",S160)))</formula>
    </cfRule>
  </conditionalFormatting>
  <conditionalFormatting sqref="T160">
    <cfRule type="containsText" dxfId="7857" priority="8144" operator="containsText" text="No se pudo ejecutar">
      <formula>NOT(ISERROR(SEARCH("No se pudo ejecutar",T160)))</formula>
    </cfRule>
    <cfRule type="containsText" dxfId="7856" priority="8145" operator="containsText" text="Pendiente">
      <formula>NOT(ISERROR(SEARCH("Pendiente",T160)))</formula>
    </cfRule>
    <cfRule type="containsText" dxfId="7855" priority="8146" operator="containsText" text="No Aplica">
      <formula>NOT(ISERROR(SEARCH("No Aplica",T160)))</formula>
    </cfRule>
    <cfRule type="containsText" dxfId="7854" priority="8147" operator="containsText" text="Fallido">
      <formula>NOT(ISERROR(SEARCH("Fallido",T160)))</formula>
    </cfRule>
    <cfRule type="containsText" dxfId="7853" priority="8148" operator="containsText" text="Éxitoso">
      <formula>NOT(ISERROR(SEARCH("Éxitoso",T160)))</formula>
    </cfRule>
  </conditionalFormatting>
  <conditionalFormatting sqref="U160">
    <cfRule type="containsText" dxfId="7852" priority="8139" operator="containsText" text="No se pudo ejecutar">
      <formula>NOT(ISERROR(SEARCH("No se pudo ejecutar",U160)))</formula>
    </cfRule>
    <cfRule type="containsText" dxfId="7851" priority="8140" operator="containsText" text="Pendiente">
      <formula>NOT(ISERROR(SEARCH("Pendiente",U160)))</formula>
    </cfRule>
    <cfRule type="containsText" dxfId="7850" priority="8141" operator="containsText" text="No Aplica">
      <formula>NOT(ISERROR(SEARCH("No Aplica",U160)))</formula>
    </cfRule>
    <cfRule type="containsText" dxfId="7849" priority="8142" operator="containsText" text="Fallido">
      <formula>NOT(ISERROR(SEARCH("Fallido",U160)))</formula>
    </cfRule>
    <cfRule type="containsText" dxfId="7848" priority="8143" operator="containsText" text="Éxitoso">
      <formula>NOT(ISERROR(SEARCH("Éxitoso",U160)))</formula>
    </cfRule>
  </conditionalFormatting>
  <conditionalFormatting sqref="V160">
    <cfRule type="containsText" dxfId="7847" priority="8134" operator="containsText" text="No se pudo ejecutar">
      <formula>NOT(ISERROR(SEARCH("No se pudo ejecutar",V160)))</formula>
    </cfRule>
    <cfRule type="containsText" dxfId="7846" priority="8135" operator="containsText" text="Pendiente">
      <formula>NOT(ISERROR(SEARCH("Pendiente",V160)))</formula>
    </cfRule>
    <cfRule type="containsText" dxfId="7845" priority="8136" operator="containsText" text="No Aplica">
      <formula>NOT(ISERROR(SEARCH("No Aplica",V160)))</formula>
    </cfRule>
    <cfRule type="containsText" dxfId="7844" priority="8137" operator="containsText" text="Fallido">
      <formula>NOT(ISERROR(SEARCH("Fallido",V160)))</formula>
    </cfRule>
    <cfRule type="containsText" dxfId="7843" priority="8138" operator="containsText" text="Éxitoso">
      <formula>NOT(ISERROR(SEARCH("Éxitoso",V160)))</formula>
    </cfRule>
  </conditionalFormatting>
  <conditionalFormatting sqref="W160">
    <cfRule type="containsText" dxfId="7842" priority="8129" operator="containsText" text="No se pudo ejecutar">
      <formula>NOT(ISERROR(SEARCH("No se pudo ejecutar",W160)))</formula>
    </cfRule>
    <cfRule type="containsText" dxfId="7841" priority="8130" operator="containsText" text="Pendiente">
      <formula>NOT(ISERROR(SEARCH("Pendiente",W160)))</formula>
    </cfRule>
    <cfRule type="containsText" dxfId="7840" priority="8131" operator="containsText" text="No Aplica">
      <formula>NOT(ISERROR(SEARCH("No Aplica",W160)))</formula>
    </cfRule>
    <cfRule type="containsText" dxfId="7839" priority="8132" operator="containsText" text="Fallido">
      <formula>NOT(ISERROR(SEARCH("Fallido",W160)))</formula>
    </cfRule>
    <cfRule type="containsText" dxfId="7838" priority="8133" operator="containsText" text="Éxitoso">
      <formula>NOT(ISERROR(SEARCH("Éxitoso",W160)))</formula>
    </cfRule>
  </conditionalFormatting>
  <conditionalFormatting sqref="M160">
    <cfRule type="containsText" dxfId="7837" priority="8124" operator="containsText" text="No se pudo ejecutar">
      <formula>NOT(ISERROR(SEARCH("No se pudo ejecutar",M160)))</formula>
    </cfRule>
    <cfRule type="containsText" dxfId="7836" priority="8125" operator="containsText" text="Pendiente">
      <formula>NOT(ISERROR(SEARCH("Pendiente",M160)))</formula>
    </cfRule>
    <cfRule type="containsText" dxfId="7835" priority="8126" operator="containsText" text="No Aplica">
      <formula>NOT(ISERROR(SEARCH("No Aplica",M160)))</formula>
    </cfRule>
    <cfRule type="containsText" dxfId="7834" priority="8127" operator="containsText" text="Fallido">
      <formula>NOT(ISERROR(SEARCH("Fallido",M160)))</formula>
    </cfRule>
    <cfRule type="containsText" dxfId="7833" priority="8128" operator="containsText" text="Éxitoso">
      <formula>NOT(ISERROR(SEARCH("Éxitoso",M160)))</formula>
    </cfRule>
  </conditionalFormatting>
  <conditionalFormatting sqref="G160">
    <cfRule type="containsText" dxfId="7832" priority="8121" operator="containsText" text="Bajo">
      <formula>NOT(ISERROR(SEARCH("Bajo",G160)))</formula>
    </cfRule>
    <cfRule type="containsText" dxfId="7831" priority="8122" operator="containsText" text="Medio">
      <formula>NOT(ISERROR(SEARCH("Medio",G160)))</formula>
    </cfRule>
    <cfRule type="containsText" dxfId="7830" priority="8123" operator="containsText" text="Alto">
      <formula>NOT(ISERROR(SEARCH("Alto",G160)))</formula>
    </cfRule>
  </conditionalFormatting>
  <conditionalFormatting sqref="N161">
    <cfRule type="containsText" dxfId="7829" priority="8116" operator="containsText" text="No se pudo ejecutar">
      <formula>NOT(ISERROR(SEARCH("No se pudo ejecutar",N161)))</formula>
    </cfRule>
    <cfRule type="containsText" dxfId="7828" priority="8117" operator="containsText" text="Pendiente">
      <formula>NOT(ISERROR(SEARCH("Pendiente",N161)))</formula>
    </cfRule>
    <cfRule type="containsText" dxfId="7827" priority="8118" operator="containsText" text="No Aplica">
      <formula>NOT(ISERROR(SEARCH("No Aplica",N161)))</formula>
    </cfRule>
    <cfRule type="containsText" dxfId="7826" priority="8119" operator="containsText" text="Fallido">
      <formula>NOT(ISERROR(SEARCH("Fallido",N161)))</formula>
    </cfRule>
    <cfRule type="containsText" dxfId="7825" priority="8120" operator="containsText" text="Éxitoso">
      <formula>NOT(ISERROR(SEARCH("Éxitoso",N161)))</formula>
    </cfRule>
  </conditionalFormatting>
  <conditionalFormatting sqref="O161">
    <cfRule type="containsText" dxfId="7824" priority="8111" operator="containsText" text="No se pudo ejecutar">
      <formula>NOT(ISERROR(SEARCH("No se pudo ejecutar",O161)))</formula>
    </cfRule>
    <cfRule type="containsText" dxfId="7823" priority="8112" operator="containsText" text="Pendiente">
      <formula>NOT(ISERROR(SEARCH("Pendiente",O161)))</formula>
    </cfRule>
    <cfRule type="containsText" dxfId="7822" priority="8113" operator="containsText" text="No Aplica">
      <formula>NOT(ISERROR(SEARCH("No Aplica",O161)))</formula>
    </cfRule>
    <cfRule type="containsText" dxfId="7821" priority="8114" operator="containsText" text="Fallido">
      <formula>NOT(ISERROR(SEARCH("Fallido",O161)))</formula>
    </cfRule>
    <cfRule type="containsText" dxfId="7820" priority="8115" operator="containsText" text="Éxitoso">
      <formula>NOT(ISERROR(SEARCH("Éxitoso",O161)))</formula>
    </cfRule>
  </conditionalFormatting>
  <conditionalFormatting sqref="P161">
    <cfRule type="containsText" dxfId="7819" priority="8106" operator="containsText" text="No se pudo ejecutar">
      <formula>NOT(ISERROR(SEARCH("No se pudo ejecutar",P161)))</formula>
    </cfRule>
    <cfRule type="containsText" dxfId="7818" priority="8107" operator="containsText" text="Pendiente">
      <formula>NOT(ISERROR(SEARCH("Pendiente",P161)))</formula>
    </cfRule>
    <cfRule type="containsText" dxfId="7817" priority="8108" operator="containsText" text="No Aplica">
      <formula>NOT(ISERROR(SEARCH("No Aplica",P161)))</formula>
    </cfRule>
    <cfRule type="containsText" dxfId="7816" priority="8109" operator="containsText" text="Fallido">
      <formula>NOT(ISERROR(SEARCH("Fallido",P161)))</formula>
    </cfRule>
    <cfRule type="containsText" dxfId="7815" priority="8110" operator="containsText" text="Éxitoso">
      <formula>NOT(ISERROR(SEARCH("Éxitoso",P161)))</formula>
    </cfRule>
  </conditionalFormatting>
  <conditionalFormatting sqref="Q161">
    <cfRule type="containsText" dxfId="7814" priority="8101" operator="containsText" text="No se pudo ejecutar">
      <formula>NOT(ISERROR(SEARCH("No se pudo ejecutar",Q161)))</formula>
    </cfRule>
    <cfRule type="containsText" dxfId="7813" priority="8102" operator="containsText" text="Pendiente">
      <formula>NOT(ISERROR(SEARCH("Pendiente",Q161)))</formula>
    </cfRule>
    <cfRule type="containsText" dxfId="7812" priority="8103" operator="containsText" text="No Aplica">
      <formula>NOT(ISERROR(SEARCH("No Aplica",Q161)))</formula>
    </cfRule>
    <cfRule type="containsText" dxfId="7811" priority="8104" operator="containsText" text="Fallido">
      <formula>NOT(ISERROR(SEARCH("Fallido",Q161)))</formula>
    </cfRule>
    <cfRule type="containsText" dxfId="7810" priority="8105" operator="containsText" text="Éxitoso">
      <formula>NOT(ISERROR(SEARCH("Éxitoso",Q161)))</formula>
    </cfRule>
  </conditionalFormatting>
  <conditionalFormatting sqref="R161">
    <cfRule type="containsText" dxfId="7809" priority="8096" operator="containsText" text="No se pudo ejecutar">
      <formula>NOT(ISERROR(SEARCH("No se pudo ejecutar",R161)))</formula>
    </cfRule>
    <cfRule type="containsText" dxfId="7808" priority="8097" operator="containsText" text="Pendiente">
      <formula>NOT(ISERROR(SEARCH("Pendiente",R161)))</formula>
    </cfRule>
    <cfRule type="containsText" dxfId="7807" priority="8098" operator="containsText" text="No Aplica">
      <formula>NOT(ISERROR(SEARCH("No Aplica",R161)))</formula>
    </cfRule>
    <cfRule type="containsText" dxfId="7806" priority="8099" operator="containsText" text="Fallido">
      <formula>NOT(ISERROR(SEARCH("Fallido",R161)))</formula>
    </cfRule>
    <cfRule type="containsText" dxfId="7805" priority="8100" operator="containsText" text="Éxitoso">
      <formula>NOT(ISERROR(SEARCH("Éxitoso",R161)))</formula>
    </cfRule>
  </conditionalFormatting>
  <conditionalFormatting sqref="S161">
    <cfRule type="containsText" dxfId="7804" priority="8091" operator="containsText" text="No se pudo ejecutar">
      <formula>NOT(ISERROR(SEARCH("No se pudo ejecutar",S161)))</formula>
    </cfRule>
    <cfRule type="containsText" dxfId="7803" priority="8092" operator="containsText" text="Pendiente">
      <formula>NOT(ISERROR(SEARCH("Pendiente",S161)))</formula>
    </cfRule>
    <cfRule type="containsText" dxfId="7802" priority="8093" operator="containsText" text="No Aplica">
      <formula>NOT(ISERROR(SEARCH("No Aplica",S161)))</formula>
    </cfRule>
    <cfRule type="containsText" dxfId="7801" priority="8094" operator="containsText" text="Fallido">
      <formula>NOT(ISERROR(SEARCH("Fallido",S161)))</formula>
    </cfRule>
    <cfRule type="containsText" dxfId="7800" priority="8095" operator="containsText" text="Éxitoso">
      <formula>NOT(ISERROR(SEARCH("Éxitoso",S161)))</formula>
    </cfRule>
  </conditionalFormatting>
  <conditionalFormatting sqref="T161">
    <cfRule type="containsText" dxfId="7799" priority="8086" operator="containsText" text="No se pudo ejecutar">
      <formula>NOT(ISERROR(SEARCH("No se pudo ejecutar",T161)))</formula>
    </cfRule>
    <cfRule type="containsText" dxfId="7798" priority="8087" operator="containsText" text="Pendiente">
      <formula>NOT(ISERROR(SEARCH("Pendiente",T161)))</formula>
    </cfRule>
    <cfRule type="containsText" dxfId="7797" priority="8088" operator="containsText" text="No Aplica">
      <formula>NOT(ISERROR(SEARCH("No Aplica",T161)))</formula>
    </cfRule>
    <cfRule type="containsText" dxfId="7796" priority="8089" operator="containsText" text="Fallido">
      <formula>NOT(ISERROR(SEARCH("Fallido",T161)))</formula>
    </cfRule>
    <cfRule type="containsText" dxfId="7795" priority="8090" operator="containsText" text="Éxitoso">
      <formula>NOT(ISERROR(SEARCH("Éxitoso",T161)))</formula>
    </cfRule>
  </conditionalFormatting>
  <conditionalFormatting sqref="U161">
    <cfRule type="containsText" dxfId="7794" priority="8081" operator="containsText" text="No se pudo ejecutar">
      <formula>NOT(ISERROR(SEARCH("No se pudo ejecutar",U161)))</formula>
    </cfRule>
    <cfRule type="containsText" dxfId="7793" priority="8082" operator="containsText" text="Pendiente">
      <formula>NOT(ISERROR(SEARCH("Pendiente",U161)))</formula>
    </cfRule>
    <cfRule type="containsText" dxfId="7792" priority="8083" operator="containsText" text="No Aplica">
      <formula>NOT(ISERROR(SEARCH("No Aplica",U161)))</formula>
    </cfRule>
    <cfRule type="containsText" dxfId="7791" priority="8084" operator="containsText" text="Fallido">
      <formula>NOT(ISERROR(SEARCH("Fallido",U161)))</formula>
    </cfRule>
    <cfRule type="containsText" dxfId="7790" priority="8085" operator="containsText" text="Éxitoso">
      <formula>NOT(ISERROR(SEARCH("Éxitoso",U161)))</formula>
    </cfRule>
  </conditionalFormatting>
  <conditionalFormatting sqref="V161">
    <cfRule type="containsText" dxfId="7789" priority="8076" operator="containsText" text="No se pudo ejecutar">
      <formula>NOT(ISERROR(SEARCH("No se pudo ejecutar",V161)))</formula>
    </cfRule>
    <cfRule type="containsText" dxfId="7788" priority="8077" operator="containsText" text="Pendiente">
      <formula>NOT(ISERROR(SEARCH("Pendiente",V161)))</formula>
    </cfRule>
    <cfRule type="containsText" dxfId="7787" priority="8078" operator="containsText" text="No Aplica">
      <formula>NOT(ISERROR(SEARCH("No Aplica",V161)))</formula>
    </cfRule>
    <cfRule type="containsText" dxfId="7786" priority="8079" operator="containsText" text="Fallido">
      <formula>NOT(ISERROR(SEARCH("Fallido",V161)))</formula>
    </cfRule>
    <cfRule type="containsText" dxfId="7785" priority="8080" operator="containsText" text="Éxitoso">
      <formula>NOT(ISERROR(SEARCH("Éxitoso",V161)))</formula>
    </cfRule>
  </conditionalFormatting>
  <conditionalFormatting sqref="W161">
    <cfRule type="containsText" dxfId="7784" priority="8071" operator="containsText" text="No se pudo ejecutar">
      <formula>NOT(ISERROR(SEARCH("No se pudo ejecutar",W161)))</formula>
    </cfRule>
    <cfRule type="containsText" dxfId="7783" priority="8072" operator="containsText" text="Pendiente">
      <formula>NOT(ISERROR(SEARCH("Pendiente",W161)))</formula>
    </cfRule>
    <cfRule type="containsText" dxfId="7782" priority="8073" operator="containsText" text="No Aplica">
      <formula>NOT(ISERROR(SEARCH("No Aplica",W161)))</formula>
    </cfRule>
    <cfRule type="containsText" dxfId="7781" priority="8074" operator="containsText" text="Fallido">
      <formula>NOT(ISERROR(SEARCH("Fallido",W161)))</formula>
    </cfRule>
    <cfRule type="containsText" dxfId="7780" priority="8075" operator="containsText" text="Éxitoso">
      <formula>NOT(ISERROR(SEARCH("Éxitoso",W161)))</formula>
    </cfRule>
  </conditionalFormatting>
  <conditionalFormatting sqref="M161">
    <cfRule type="containsText" dxfId="7779" priority="8066" operator="containsText" text="No se pudo ejecutar">
      <formula>NOT(ISERROR(SEARCH("No se pudo ejecutar",M161)))</formula>
    </cfRule>
    <cfRule type="containsText" dxfId="7778" priority="8067" operator="containsText" text="Pendiente">
      <formula>NOT(ISERROR(SEARCH("Pendiente",M161)))</formula>
    </cfRule>
    <cfRule type="containsText" dxfId="7777" priority="8068" operator="containsText" text="No Aplica">
      <formula>NOT(ISERROR(SEARCH("No Aplica",M161)))</formula>
    </cfRule>
    <cfRule type="containsText" dxfId="7776" priority="8069" operator="containsText" text="Fallido">
      <formula>NOT(ISERROR(SEARCH("Fallido",M161)))</formula>
    </cfRule>
    <cfRule type="containsText" dxfId="7775" priority="8070" operator="containsText" text="Éxitoso">
      <formula>NOT(ISERROR(SEARCH("Éxitoso",M161)))</formula>
    </cfRule>
  </conditionalFormatting>
  <conditionalFormatting sqref="G161">
    <cfRule type="containsText" dxfId="7774" priority="8063" operator="containsText" text="Bajo">
      <formula>NOT(ISERROR(SEARCH("Bajo",G161)))</formula>
    </cfRule>
    <cfRule type="containsText" dxfId="7773" priority="8064" operator="containsText" text="Medio">
      <formula>NOT(ISERROR(SEARCH("Medio",G161)))</formula>
    </cfRule>
    <cfRule type="containsText" dxfId="7772" priority="8065" operator="containsText" text="Alto">
      <formula>NOT(ISERROR(SEARCH("Alto",G161)))</formula>
    </cfRule>
  </conditionalFormatting>
  <conditionalFormatting sqref="N162">
    <cfRule type="containsText" dxfId="7771" priority="8058" operator="containsText" text="No se pudo ejecutar">
      <formula>NOT(ISERROR(SEARCH("No se pudo ejecutar",N162)))</formula>
    </cfRule>
    <cfRule type="containsText" dxfId="7770" priority="8059" operator="containsText" text="Pendiente">
      <formula>NOT(ISERROR(SEARCH("Pendiente",N162)))</formula>
    </cfRule>
    <cfRule type="containsText" dxfId="7769" priority="8060" operator="containsText" text="No Aplica">
      <formula>NOT(ISERROR(SEARCH("No Aplica",N162)))</formula>
    </cfRule>
    <cfRule type="containsText" dxfId="7768" priority="8061" operator="containsText" text="Fallido">
      <formula>NOT(ISERROR(SEARCH("Fallido",N162)))</formula>
    </cfRule>
    <cfRule type="containsText" dxfId="7767" priority="8062" operator="containsText" text="Éxitoso">
      <formula>NOT(ISERROR(SEARCH("Éxitoso",N162)))</formula>
    </cfRule>
  </conditionalFormatting>
  <conditionalFormatting sqref="O162">
    <cfRule type="containsText" dxfId="7766" priority="8053" operator="containsText" text="No se pudo ejecutar">
      <formula>NOT(ISERROR(SEARCH("No se pudo ejecutar",O162)))</formula>
    </cfRule>
    <cfRule type="containsText" dxfId="7765" priority="8054" operator="containsText" text="Pendiente">
      <formula>NOT(ISERROR(SEARCH("Pendiente",O162)))</formula>
    </cfRule>
    <cfRule type="containsText" dxfId="7764" priority="8055" operator="containsText" text="No Aplica">
      <formula>NOT(ISERROR(SEARCH("No Aplica",O162)))</formula>
    </cfRule>
    <cfRule type="containsText" dxfId="7763" priority="8056" operator="containsText" text="Fallido">
      <formula>NOT(ISERROR(SEARCH("Fallido",O162)))</formula>
    </cfRule>
    <cfRule type="containsText" dxfId="7762" priority="8057" operator="containsText" text="Éxitoso">
      <formula>NOT(ISERROR(SEARCH("Éxitoso",O162)))</formula>
    </cfRule>
  </conditionalFormatting>
  <conditionalFormatting sqref="P162">
    <cfRule type="containsText" dxfId="7761" priority="8048" operator="containsText" text="No se pudo ejecutar">
      <formula>NOT(ISERROR(SEARCH("No se pudo ejecutar",P162)))</formula>
    </cfRule>
    <cfRule type="containsText" dxfId="7760" priority="8049" operator="containsText" text="Pendiente">
      <formula>NOT(ISERROR(SEARCH("Pendiente",P162)))</formula>
    </cfRule>
    <cfRule type="containsText" dxfId="7759" priority="8050" operator="containsText" text="No Aplica">
      <formula>NOT(ISERROR(SEARCH("No Aplica",P162)))</formula>
    </cfRule>
    <cfRule type="containsText" dxfId="7758" priority="8051" operator="containsText" text="Fallido">
      <formula>NOT(ISERROR(SEARCH("Fallido",P162)))</formula>
    </cfRule>
    <cfRule type="containsText" dxfId="7757" priority="8052" operator="containsText" text="Éxitoso">
      <formula>NOT(ISERROR(SEARCH("Éxitoso",P162)))</formula>
    </cfRule>
  </conditionalFormatting>
  <conditionalFormatting sqref="Q162">
    <cfRule type="containsText" dxfId="7756" priority="8043" operator="containsText" text="No se pudo ejecutar">
      <formula>NOT(ISERROR(SEARCH("No se pudo ejecutar",Q162)))</formula>
    </cfRule>
    <cfRule type="containsText" dxfId="7755" priority="8044" operator="containsText" text="Pendiente">
      <formula>NOT(ISERROR(SEARCH("Pendiente",Q162)))</formula>
    </cfRule>
    <cfRule type="containsText" dxfId="7754" priority="8045" operator="containsText" text="No Aplica">
      <formula>NOT(ISERROR(SEARCH("No Aplica",Q162)))</formula>
    </cfRule>
    <cfRule type="containsText" dxfId="7753" priority="8046" operator="containsText" text="Fallido">
      <formula>NOT(ISERROR(SEARCH("Fallido",Q162)))</formula>
    </cfRule>
    <cfRule type="containsText" dxfId="7752" priority="8047" operator="containsText" text="Éxitoso">
      <formula>NOT(ISERROR(SEARCH("Éxitoso",Q162)))</formula>
    </cfRule>
  </conditionalFormatting>
  <conditionalFormatting sqref="R162">
    <cfRule type="containsText" dxfId="7751" priority="8038" operator="containsText" text="No se pudo ejecutar">
      <formula>NOT(ISERROR(SEARCH("No se pudo ejecutar",R162)))</formula>
    </cfRule>
    <cfRule type="containsText" dxfId="7750" priority="8039" operator="containsText" text="Pendiente">
      <formula>NOT(ISERROR(SEARCH("Pendiente",R162)))</formula>
    </cfRule>
    <cfRule type="containsText" dxfId="7749" priority="8040" operator="containsText" text="No Aplica">
      <formula>NOT(ISERROR(SEARCH("No Aplica",R162)))</formula>
    </cfRule>
    <cfRule type="containsText" dxfId="7748" priority="8041" operator="containsText" text="Fallido">
      <formula>NOT(ISERROR(SEARCH("Fallido",R162)))</formula>
    </cfRule>
    <cfRule type="containsText" dxfId="7747" priority="8042" operator="containsText" text="Éxitoso">
      <formula>NOT(ISERROR(SEARCH("Éxitoso",R162)))</formula>
    </cfRule>
  </conditionalFormatting>
  <conditionalFormatting sqref="S162">
    <cfRule type="containsText" dxfId="7746" priority="8033" operator="containsText" text="No se pudo ejecutar">
      <formula>NOT(ISERROR(SEARCH("No se pudo ejecutar",S162)))</formula>
    </cfRule>
    <cfRule type="containsText" dxfId="7745" priority="8034" operator="containsText" text="Pendiente">
      <formula>NOT(ISERROR(SEARCH("Pendiente",S162)))</formula>
    </cfRule>
    <cfRule type="containsText" dxfId="7744" priority="8035" operator="containsText" text="No Aplica">
      <formula>NOT(ISERROR(SEARCH("No Aplica",S162)))</formula>
    </cfRule>
    <cfRule type="containsText" dxfId="7743" priority="8036" operator="containsText" text="Fallido">
      <formula>NOT(ISERROR(SEARCH("Fallido",S162)))</formula>
    </cfRule>
    <cfRule type="containsText" dxfId="7742" priority="8037" operator="containsText" text="Éxitoso">
      <formula>NOT(ISERROR(SEARCH("Éxitoso",S162)))</formula>
    </cfRule>
  </conditionalFormatting>
  <conditionalFormatting sqref="T162">
    <cfRule type="containsText" dxfId="7741" priority="8028" operator="containsText" text="No se pudo ejecutar">
      <formula>NOT(ISERROR(SEARCH("No se pudo ejecutar",T162)))</formula>
    </cfRule>
    <cfRule type="containsText" dxfId="7740" priority="8029" operator="containsText" text="Pendiente">
      <formula>NOT(ISERROR(SEARCH("Pendiente",T162)))</formula>
    </cfRule>
    <cfRule type="containsText" dxfId="7739" priority="8030" operator="containsText" text="No Aplica">
      <formula>NOT(ISERROR(SEARCH("No Aplica",T162)))</formula>
    </cfRule>
    <cfRule type="containsText" dxfId="7738" priority="8031" operator="containsText" text="Fallido">
      <formula>NOT(ISERROR(SEARCH("Fallido",T162)))</formula>
    </cfRule>
    <cfRule type="containsText" dxfId="7737" priority="8032" operator="containsText" text="Éxitoso">
      <formula>NOT(ISERROR(SEARCH("Éxitoso",T162)))</formula>
    </cfRule>
  </conditionalFormatting>
  <conditionalFormatting sqref="U162">
    <cfRule type="containsText" dxfId="7736" priority="8023" operator="containsText" text="No se pudo ejecutar">
      <formula>NOT(ISERROR(SEARCH("No se pudo ejecutar",U162)))</formula>
    </cfRule>
    <cfRule type="containsText" dxfId="7735" priority="8024" operator="containsText" text="Pendiente">
      <formula>NOT(ISERROR(SEARCH("Pendiente",U162)))</formula>
    </cfRule>
    <cfRule type="containsText" dxfId="7734" priority="8025" operator="containsText" text="No Aplica">
      <formula>NOT(ISERROR(SEARCH("No Aplica",U162)))</formula>
    </cfRule>
    <cfRule type="containsText" dxfId="7733" priority="8026" operator="containsText" text="Fallido">
      <formula>NOT(ISERROR(SEARCH("Fallido",U162)))</formula>
    </cfRule>
    <cfRule type="containsText" dxfId="7732" priority="8027" operator="containsText" text="Éxitoso">
      <formula>NOT(ISERROR(SEARCH("Éxitoso",U162)))</formula>
    </cfRule>
  </conditionalFormatting>
  <conditionalFormatting sqref="V162">
    <cfRule type="containsText" dxfId="7731" priority="8018" operator="containsText" text="No se pudo ejecutar">
      <formula>NOT(ISERROR(SEARCH("No se pudo ejecutar",V162)))</formula>
    </cfRule>
    <cfRule type="containsText" dxfId="7730" priority="8019" operator="containsText" text="Pendiente">
      <formula>NOT(ISERROR(SEARCH("Pendiente",V162)))</formula>
    </cfRule>
    <cfRule type="containsText" dxfId="7729" priority="8020" operator="containsText" text="No Aplica">
      <formula>NOT(ISERROR(SEARCH("No Aplica",V162)))</formula>
    </cfRule>
    <cfRule type="containsText" dxfId="7728" priority="8021" operator="containsText" text="Fallido">
      <formula>NOT(ISERROR(SEARCH("Fallido",V162)))</formula>
    </cfRule>
    <cfRule type="containsText" dxfId="7727" priority="8022" operator="containsText" text="Éxitoso">
      <formula>NOT(ISERROR(SEARCH("Éxitoso",V162)))</formula>
    </cfRule>
  </conditionalFormatting>
  <conditionalFormatting sqref="W162">
    <cfRule type="containsText" dxfId="7726" priority="8013" operator="containsText" text="No se pudo ejecutar">
      <formula>NOT(ISERROR(SEARCH("No se pudo ejecutar",W162)))</formula>
    </cfRule>
    <cfRule type="containsText" dxfId="7725" priority="8014" operator="containsText" text="Pendiente">
      <formula>NOT(ISERROR(SEARCH("Pendiente",W162)))</formula>
    </cfRule>
    <cfRule type="containsText" dxfId="7724" priority="8015" operator="containsText" text="No Aplica">
      <formula>NOT(ISERROR(SEARCH("No Aplica",W162)))</formula>
    </cfRule>
    <cfRule type="containsText" dxfId="7723" priority="8016" operator="containsText" text="Fallido">
      <formula>NOT(ISERROR(SEARCH("Fallido",W162)))</formula>
    </cfRule>
    <cfRule type="containsText" dxfId="7722" priority="8017" operator="containsText" text="Éxitoso">
      <formula>NOT(ISERROR(SEARCH("Éxitoso",W162)))</formula>
    </cfRule>
  </conditionalFormatting>
  <conditionalFormatting sqref="M162">
    <cfRule type="containsText" dxfId="7721" priority="8008" operator="containsText" text="No se pudo ejecutar">
      <formula>NOT(ISERROR(SEARCH("No se pudo ejecutar",M162)))</formula>
    </cfRule>
    <cfRule type="containsText" dxfId="7720" priority="8009" operator="containsText" text="Pendiente">
      <formula>NOT(ISERROR(SEARCH("Pendiente",M162)))</formula>
    </cfRule>
    <cfRule type="containsText" dxfId="7719" priority="8010" operator="containsText" text="No Aplica">
      <formula>NOT(ISERROR(SEARCH("No Aplica",M162)))</formula>
    </cfRule>
    <cfRule type="containsText" dxfId="7718" priority="8011" operator="containsText" text="Fallido">
      <formula>NOT(ISERROR(SEARCH("Fallido",M162)))</formula>
    </cfRule>
    <cfRule type="containsText" dxfId="7717" priority="8012" operator="containsText" text="Éxitoso">
      <formula>NOT(ISERROR(SEARCH("Éxitoso",M162)))</formula>
    </cfRule>
  </conditionalFormatting>
  <conditionalFormatting sqref="G162">
    <cfRule type="containsText" dxfId="7716" priority="8005" operator="containsText" text="Bajo">
      <formula>NOT(ISERROR(SEARCH("Bajo",G162)))</formula>
    </cfRule>
    <cfRule type="containsText" dxfId="7715" priority="8006" operator="containsText" text="Medio">
      <formula>NOT(ISERROR(SEARCH("Medio",G162)))</formula>
    </cfRule>
    <cfRule type="containsText" dxfId="7714" priority="8007" operator="containsText" text="Alto">
      <formula>NOT(ISERROR(SEARCH("Alto",G162)))</formula>
    </cfRule>
  </conditionalFormatting>
  <conditionalFormatting sqref="N163">
    <cfRule type="containsText" dxfId="7713" priority="8000" operator="containsText" text="No se pudo ejecutar">
      <formula>NOT(ISERROR(SEARCH("No se pudo ejecutar",N163)))</formula>
    </cfRule>
    <cfRule type="containsText" dxfId="7712" priority="8001" operator="containsText" text="Pendiente">
      <formula>NOT(ISERROR(SEARCH("Pendiente",N163)))</formula>
    </cfRule>
    <cfRule type="containsText" dxfId="7711" priority="8002" operator="containsText" text="No Aplica">
      <formula>NOT(ISERROR(SEARCH("No Aplica",N163)))</formula>
    </cfRule>
    <cfRule type="containsText" dxfId="7710" priority="8003" operator="containsText" text="Fallido">
      <formula>NOT(ISERROR(SEARCH("Fallido",N163)))</formula>
    </cfRule>
    <cfRule type="containsText" dxfId="7709" priority="8004" operator="containsText" text="Éxitoso">
      <formula>NOT(ISERROR(SEARCH("Éxitoso",N163)))</formula>
    </cfRule>
  </conditionalFormatting>
  <conditionalFormatting sqref="O163">
    <cfRule type="containsText" dxfId="7708" priority="7995" operator="containsText" text="No se pudo ejecutar">
      <formula>NOT(ISERROR(SEARCH("No se pudo ejecutar",O163)))</formula>
    </cfRule>
    <cfRule type="containsText" dxfId="7707" priority="7996" operator="containsText" text="Pendiente">
      <formula>NOT(ISERROR(SEARCH("Pendiente",O163)))</formula>
    </cfRule>
    <cfRule type="containsText" dxfId="7706" priority="7997" operator="containsText" text="No Aplica">
      <formula>NOT(ISERROR(SEARCH("No Aplica",O163)))</formula>
    </cfRule>
    <cfRule type="containsText" dxfId="7705" priority="7998" operator="containsText" text="Fallido">
      <formula>NOT(ISERROR(SEARCH("Fallido",O163)))</formula>
    </cfRule>
    <cfRule type="containsText" dxfId="7704" priority="7999" operator="containsText" text="Éxitoso">
      <formula>NOT(ISERROR(SEARCH("Éxitoso",O163)))</formula>
    </cfRule>
  </conditionalFormatting>
  <conditionalFormatting sqref="P163">
    <cfRule type="containsText" dxfId="7703" priority="7990" operator="containsText" text="No se pudo ejecutar">
      <formula>NOT(ISERROR(SEARCH("No se pudo ejecutar",P163)))</formula>
    </cfRule>
    <cfRule type="containsText" dxfId="7702" priority="7991" operator="containsText" text="Pendiente">
      <formula>NOT(ISERROR(SEARCH("Pendiente",P163)))</formula>
    </cfRule>
    <cfRule type="containsText" dxfId="7701" priority="7992" operator="containsText" text="No Aplica">
      <formula>NOT(ISERROR(SEARCH("No Aplica",P163)))</formula>
    </cfRule>
    <cfRule type="containsText" dxfId="7700" priority="7993" operator="containsText" text="Fallido">
      <formula>NOT(ISERROR(SEARCH("Fallido",P163)))</formula>
    </cfRule>
    <cfRule type="containsText" dxfId="7699" priority="7994" operator="containsText" text="Éxitoso">
      <formula>NOT(ISERROR(SEARCH("Éxitoso",P163)))</formula>
    </cfRule>
  </conditionalFormatting>
  <conditionalFormatting sqref="Q163">
    <cfRule type="containsText" dxfId="7698" priority="7985" operator="containsText" text="No se pudo ejecutar">
      <formula>NOT(ISERROR(SEARCH("No se pudo ejecutar",Q163)))</formula>
    </cfRule>
    <cfRule type="containsText" dxfId="7697" priority="7986" operator="containsText" text="Pendiente">
      <formula>NOT(ISERROR(SEARCH("Pendiente",Q163)))</formula>
    </cfRule>
    <cfRule type="containsText" dxfId="7696" priority="7987" operator="containsText" text="No Aplica">
      <formula>NOT(ISERROR(SEARCH("No Aplica",Q163)))</formula>
    </cfRule>
    <cfRule type="containsText" dxfId="7695" priority="7988" operator="containsText" text="Fallido">
      <formula>NOT(ISERROR(SEARCH("Fallido",Q163)))</formula>
    </cfRule>
    <cfRule type="containsText" dxfId="7694" priority="7989" operator="containsText" text="Éxitoso">
      <formula>NOT(ISERROR(SEARCH("Éxitoso",Q163)))</formula>
    </cfRule>
  </conditionalFormatting>
  <conditionalFormatting sqref="R163">
    <cfRule type="containsText" dxfId="7693" priority="7980" operator="containsText" text="No se pudo ejecutar">
      <formula>NOT(ISERROR(SEARCH("No se pudo ejecutar",R163)))</formula>
    </cfRule>
    <cfRule type="containsText" dxfId="7692" priority="7981" operator="containsText" text="Pendiente">
      <formula>NOT(ISERROR(SEARCH("Pendiente",R163)))</formula>
    </cfRule>
    <cfRule type="containsText" dxfId="7691" priority="7982" operator="containsText" text="No Aplica">
      <formula>NOT(ISERROR(SEARCH("No Aplica",R163)))</formula>
    </cfRule>
    <cfRule type="containsText" dxfId="7690" priority="7983" operator="containsText" text="Fallido">
      <formula>NOT(ISERROR(SEARCH("Fallido",R163)))</formula>
    </cfRule>
    <cfRule type="containsText" dxfId="7689" priority="7984" operator="containsText" text="Éxitoso">
      <formula>NOT(ISERROR(SEARCH("Éxitoso",R163)))</formula>
    </cfRule>
  </conditionalFormatting>
  <conditionalFormatting sqref="S163">
    <cfRule type="containsText" dxfId="7688" priority="7975" operator="containsText" text="No se pudo ejecutar">
      <formula>NOT(ISERROR(SEARCH("No se pudo ejecutar",S163)))</formula>
    </cfRule>
    <cfRule type="containsText" dxfId="7687" priority="7976" operator="containsText" text="Pendiente">
      <formula>NOT(ISERROR(SEARCH("Pendiente",S163)))</formula>
    </cfRule>
    <cfRule type="containsText" dxfId="7686" priority="7977" operator="containsText" text="No Aplica">
      <formula>NOT(ISERROR(SEARCH("No Aplica",S163)))</formula>
    </cfRule>
    <cfRule type="containsText" dxfId="7685" priority="7978" operator="containsText" text="Fallido">
      <formula>NOT(ISERROR(SEARCH("Fallido",S163)))</formula>
    </cfRule>
    <cfRule type="containsText" dxfId="7684" priority="7979" operator="containsText" text="Éxitoso">
      <formula>NOT(ISERROR(SEARCH("Éxitoso",S163)))</formula>
    </cfRule>
  </conditionalFormatting>
  <conditionalFormatting sqref="T163">
    <cfRule type="containsText" dxfId="7683" priority="7970" operator="containsText" text="No se pudo ejecutar">
      <formula>NOT(ISERROR(SEARCH("No se pudo ejecutar",T163)))</formula>
    </cfRule>
    <cfRule type="containsText" dxfId="7682" priority="7971" operator="containsText" text="Pendiente">
      <formula>NOT(ISERROR(SEARCH("Pendiente",T163)))</formula>
    </cfRule>
    <cfRule type="containsText" dxfId="7681" priority="7972" operator="containsText" text="No Aplica">
      <formula>NOT(ISERROR(SEARCH("No Aplica",T163)))</formula>
    </cfRule>
    <cfRule type="containsText" dxfId="7680" priority="7973" operator="containsText" text="Fallido">
      <formula>NOT(ISERROR(SEARCH("Fallido",T163)))</formula>
    </cfRule>
    <cfRule type="containsText" dxfId="7679" priority="7974" operator="containsText" text="Éxitoso">
      <formula>NOT(ISERROR(SEARCH("Éxitoso",T163)))</formula>
    </cfRule>
  </conditionalFormatting>
  <conditionalFormatting sqref="U163">
    <cfRule type="containsText" dxfId="7678" priority="7965" operator="containsText" text="No se pudo ejecutar">
      <formula>NOT(ISERROR(SEARCH("No se pudo ejecutar",U163)))</formula>
    </cfRule>
    <cfRule type="containsText" dxfId="7677" priority="7966" operator="containsText" text="Pendiente">
      <formula>NOT(ISERROR(SEARCH("Pendiente",U163)))</formula>
    </cfRule>
    <cfRule type="containsText" dxfId="7676" priority="7967" operator="containsText" text="No Aplica">
      <formula>NOT(ISERROR(SEARCH("No Aplica",U163)))</formula>
    </cfRule>
    <cfRule type="containsText" dxfId="7675" priority="7968" operator="containsText" text="Fallido">
      <formula>NOT(ISERROR(SEARCH("Fallido",U163)))</formula>
    </cfRule>
    <cfRule type="containsText" dxfId="7674" priority="7969" operator="containsText" text="Éxitoso">
      <formula>NOT(ISERROR(SEARCH("Éxitoso",U163)))</formula>
    </cfRule>
  </conditionalFormatting>
  <conditionalFormatting sqref="V163">
    <cfRule type="containsText" dxfId="7673" priority="7960" operator="containsText" text="No se pudo ejecutar">
      <formula>NOT(ISERROR(SEARCH("No se pudo ejecutar",V163)))</formula>
    </cfRule>
    <cfRule type="containsText" dxfId="7672" priority="7961" operator="containsText" text="Pendiente">
      <formula>NOT(ISERROR(SEARCH("Pendiente",V163)))</formula>
    </cfRule>
    <cfRule type="containsText" dxfId="7671" priority="7962" operator="containsText" text="No Aplica">
      <formula>NOT(ISERROR(SEARCH("No Aplica",V163)))</formula>
    </cfRule>
    <cfRule type="containsText" dxfId="7670" priority="7963" operator="containsText" text="Fallido">
      <formula>NOT(ISERROR(SEARCH("Fallido",V163)))</formula>
    </cfRule>
    <cfRule type="containsText" dxfId="7669" priority="7964" operator="containsText" text="Éxitoso">
      <formula>NOT(ISERROR(SEARCH("Éxitoso",V163)))</formula>
    </cfRule>
  </conditionalFormatting>
  <conditionalFormatting sqref="W163">
    <cfRule type="containsText" dxfId="7668" priority="7955" operator="containsText" text="No se pudo ejecutar">
      <formula>NOT(ISERROR(SEARCH("No se pudo ejecutar",W163)))</formula>
    </cfRule>
    <cfRule type="containsText" dxfId="7667" priority="7956" operator="containsText" text="Pendiente">
      <formula>NOT(ISERROR(SEARCH("Pendiente",W163)))</formula>
    </cfRule>
    <cfRule type="containsText" dxfId="7666" priority="7957" operator="containsText" text="No Aplica">
      <formula>NOT(ISERROR(SEARCH("No Aplica",W163)))</formula>
    </cfRule>
    <cfRule type="containsText" dxfId="7665" priority="7958" operator="containsText" text="Fallido">
      <formula>NOT(ISERROR(SEARCH("Fallido",W163)))</formula>
    </cfRule>
    <cfRule type="containsText" dxfId="7664" priority="7959" operator="containsText" text="Éxitoso">
      <formula>NOT(ISERROR(SEARCH("Éxitoso",W163)))</formula>
    </cfRule>
  </conditionalFormatting>
  <conditionalFormatting sqref="M163">
    <cfRule type="containsText" dxfId="7663" priority="7950" operator="containsText" text="No se pudo ejecutar">
      <formula>NOT(ISERROR(SEARCH("No se pudo ejecutar",M163)))</formula>
    </cfRule>
    <cfRule type="containsText" dxfId="7662" priority="7951" operator="containsText" text="Pendiente">
      <formula>NOT(ISERROR(SEARCH("Pendiente",M163)))</formula>
    </cfRule>
    <cfRule type="containsText" dxfId="7661" priority="7952" operator="containsText" text="No Aplica">
      <formula>NOT(ISERROR(SEARCH("No Aplica",M163)))</formula>
    </cfRule>
    <cfRule type="containsText" dxfId="7660" priority="7953" operator="containsText" text="Fallido">
      <formula>NOT(ISERROR(SEARCH("Fallido",M163)))</formula>
    </cfRule>
    <cfRule type="containsText" dxfId="7659" priority="7954" operator="containsText" text="Éxitoso">
      <formula>NOT(ISERROR(SEARCH("Éxitoso",M163)))</formula>
    </cfRule>
  </conditionalFormatting>
  <conditionalFormatting sqref="G163">
    <cfRule type="containsText" dxfId="7658" priority="7947" operator="containsText" text="Bajo">
      <formula>NOT(ISERROR(SEARCH("Bajo",G163)))</formula>
    </cfRule>
    <cfRule type="containsText" dxfId="7657" priority="7948" operator="containsText" text="Medio">
      <formula>NOT(ISERROR(SEARCH("Medio",G163)))</formula>
    </cfRule>
    <cfRule type="containsText" dxfId="7656" priority="7949" operator="containsText" text="Alto">
      <formula>NOT(ISERROR(SEARCH("Alto",G163)))</formula>
    </cfRule>
  </conditionalFormatting>
  <conditionalFormatting sqref="N164">
    <cfRule type="containsText" dxfId="7655" priority="7942" operator="containsText" text="No se pudo ejecutar">
      <formula>NOT(ISERROR(SEARCH("No se pudo ejecutar",N164)))</formula>
    </cfRule>
    <cfRule type="containsText" dxfId="7654" priority="7943" operator="containsText" text="Pendiente">
      <formula>NOT(ISERROR(SEARCH("Pendiente",N164)))</formula>
    </cfRule>
    <cfRule type="containsText" dxfId="7653" priority="7944" operator="containsText" text="No Aplica">
      <formula>NOT(ISERROR(SEARCH("No Aplica",N164)))</formula>
    </cfRule>
    <cfRule type="containsText" dxfId="7652" priority="7945" operator="containsText" text="Fallido">
      <formula>NOT(ISERROR(SEARCH("Fallido",N164)))</formula>
    </cfRule>
    <cfRule type="containsText" dxfId="7651" priority="7946" operator="containsText" text="Éxitoso">
      <formula>NOT(ISERROR(SEARCH("Éxitoso",N164)))</formula>
    </cfRule>
  </conditionalFormatting>
  <conditionalFormatting sqref="O164">
    <cfRule type="containsText" dxfId="7650" priority="7937" operator="containsText" text="No se pudo ejecutar">
      <formula>NOT(ISERROR(SEARCH("No se pudo ejecutar",O164)))</formula>
    </cfRule>
    <cfRule type="containsText" dxfId="7649" priority="7938" operator="containsText" text="Pendiente">
      <formula>NOT(ISERROR(SEARCH("Pendiente",O164)))</formula>
    </cfRule>
    <cfRule type="containsText" dxfId="7648" priority="7939" operator="containsText" text="No Aplica">
      <formula>NOT(ISERROR(SEARCH("No Aplica",O164)))</formula>
    </cfRule>
    <cfRule type="containsText" dxfId="7647" priority="7940" operator="containsText" text="Fallido">
      <formula>NOT(ISERROR(SEARCH("Fallido",O164)))</formula>
    </cfRule>
    <cfRule type="containsText" dxfId="7646" priority="7941" operator="containsText" text="Éxitoso">
      <formula>NOT(ISERROR(SEARCH("Éxitoso",O164)))</formula>
    </cfRule>
  </conditionalFormatting>
  <conditionalFormatting sqref="P164">
    <cfRule type="containsText" dxfId="7645" priority="7932" operator="containsText" text="No se pudo ejecutar">
      <formula>NOT(ISERROR(SEARCH("No se pudo ejecutar",P164)))</formula>
    </cfRule>
    <cfRule type="containsText" dxfId="7644" priority="7933" operator="containsText" text="Pendiente">
      <formula>NOT(ISERROR(SEARCH("Pendiente",P164)))</formula>
    </cfRule>
    <cfRule type="containsText" dxfId="7643" priority="7934" operator="containsText" text="No Aplica">
      <formula>NOT(ISERROR(SEARCH("No Aplica",P164)))</formula>
    </cfRule>
    <cfRule type="containsText" dxfId="7642" priority="7935" operator="containsText" text="Fallido">
      <formula>NOT(ISERROR(SEARCH("Fallido",P164)))</formula>
    </cfRule>
    <cfRule type="containsText" dxfId="7641" priority="7936" operator="containsText" text="Éxitoso">
      <formula>NOT(ISERROR(SEARCH("Éxitoso",P164)))</formula>
    </cfRule>
  </conditionalFormatting>
  <conditionalFormatting sqref="Q164">
    <cfRule type="containsText" dxfId="7640" priority="7927" operator="containsText" text="No se pudo ejecutar">
      <formula>NOT(ISERROR(SEARCH("No se pudo ejecutar",Q164)))</formula>
    </cfRule>
    <cfRule type="containsText" dxfId="7639" priority="7928" operator="containsText" text="Pendiente">
      <formula>NOT(ISERROR(SEARCH("Pendiente",Q164)))</formula>
    </cfRule>
    <cfRule type="containsText" dxfId="7638" priority="7929" operator="containsText" text="No Aplica">
      <formula>NOT(ISERROR(SEARCH("No Aplica",Q164)))</formula>
    </cfRule>
    <cfRule type="containsText" dxfId="7637" priority="7930" operator="containsText" text="Fallido">
      <formula>NOT(ISERROR(SEARCH("Fallido",Q164)))</formula>
    </cfRule>
    <cfRule type="containsText" dxfId="7636" priority="7931" operator="containsText" text="Éxitoso">
      <formula>NOT(ISERROR(SEARCH("Éxitoso",Q164)))</formula>
    </cfRule>
  </conditionalFormatting>
  <conditionalFormatting sqref="R164">
    <cfRule type="containsText" dxfId="7635" priority="7922" operator="containsText" text="No se pudo ejecutar">
      <formula>NOT(ISERROR(SEARCH("No se pudo ejecutar",R164)))</formula>
    </cfRule>
    <cfRule type="containsText" dxfId="7634" priority="7923" operator="containsText" text="Pendiente">
      <formula>NOT(ISERROR(SEARCH("Pendiente",R164)))</formula>
    </cfRule>
    <cfRule type="containsText" dxfId="7633" priority="7924" operator="containsText" text="No Aplica">
      <formula>NOT(ISERROR(SEARCH("No Aplica",R164)))</formula>
    </cfRule>
    <cfRule type="containsText" dxfId="7632" priority="7925" operator="containsText" text="Fallido">
      <formula>NOT(ISERROR(SEARCH("Fallido",R164)))</formula>
    </cfRule>
    <cfRule type="containsText" dxfId="7631" priority="7926" operator="containsText" text="Éxitoso">
      <formula>NOT(ISERROR(SEARCH("Éxitoso",R164)))</formula>
    </cfRule>
  </conditionalFormatting>
  <conditionalFormatting sqref="S164">
    <cfRule type="containsText" dxfId="7630" priority="7917" operator="containsText" text="No se pudo ejecutar">
      <formula>NOT(ISERROR(SEARCH("No se pudo ejecutar",S164)))</formula>
    </cfRule>
    <cfRule type="containsText" dxfId="7629" priority="7918" operator="containsText" text="Pendiente">
      <formula>NOT(ISERROR(SEARCH("Pendiente",S164)))</formula>
    </cfRule>
    <cfRule type="containsText" dxfId="7628" priority="7919" operator="containsText" text="No Aplica">
      <formula>NOT(ISERROR(SEARCH("No Aplica",S164)))</formula>
    </cfRule>
    <cfRule type="containsText" dxfId="7627" priority="7920" operator="containsText" text="Fallido">
      <formula>NOT(ISERROR(SEARCH("Fallido",S164)))</formula>
    </cfRule>
    <cfRule type="containsText" dxfId="7626" priority="7921" operator="containsText" text="Éxitoso">
      <formula>NOT(ISERROR(SEARCH("Éxitoso",S164)))</formula>
    </cfRule>
  </conditionalFormatting>
  <conditionalFormatting sqref="T164">
    <cfRule type="containsText" dxfId="7625" priority="7912" operator="containsText" text="No se pudo ejecutar">
      <formula>NOT(ISERROR(SEARCH("No se pudo ejecutar",T164)))</formula>
    </cfRule>
    <cfRule type="containsText" dxfId="7624" priority="7913" operator="containsText" text="Pendiente">
      <formula>NOT(ISERROR(SEARCH("Pendiente",T164)))</formula>
    </cfRule>
    <cfRule type="containsText" dxfId="7623" priority="7914" operator="containsText" text="No Aplica">
      <formula>NOT(ISERROR(SEARCH("No Aplica",T164)))</formula>
    </cfRule>
    <cfRule type="containsText" dxfId="7622" priority="7915" operator="containsText" text="Fallido">
      <formula>NOT(ISERROR(SEARCH("Fallido",T164)))</formula>
    </cfRule>
    <cfRule type="containsText" dxfId="7621" priority="7916" operator="containsText" text="Éxitoso">
      <formula>NOT(ISERROR(SEARCH("Éxitoso",T164)))</formula>
    </cfRule>
  </conditionalFormatting>
  <conditionalFormatting sqref="U164">
    <cfRule type="containsText" dxfId="7620" priority="7907" operator="containsText" text="No se pudo ejecutar">
      <formula>NOT(ISERROR(SEARCH("No se pudo ejecutar",U164)))</formula>
    </cfRule>
    <cfRule type="containsText" dxfId="7619" priority="7908" operator="containsText" text="Pendiente">
      <formula>NOT(ISERROR(SEARCH("Pendiente",U164)))</formula>
    </cfRule>
    <cfRule type="containsText" dxfId="7618" priority="7909" operator="containsText" text="No Aplica">
      <formula>NOT(ISERROR(SEARCH("No Aplica",U164)))</formula>
    </cfRule>
    <cfRule type="containsText" dxfId="7617" priority="7910" operator="containsText" text="Fallido">
      <formula>NOT(ISERROR(SEARCH("Fallido",U164)))</formula>
    </cfRule>
    <cfRule type="containsText" dxfId="7616" priority="7911" operator="containsText" text="Éxitoso">
      <formula>NOT(ISERROR(SEARCH("Éxitoso",U164)))</formula>
    </cfRule>
  </conditionalFormatting>
  <conditionalFormatting sqref="V164">
    <cfRule type="containsText" dxfId="7615" priority="7902" operator="containsText" text="No se pudo ejecutar">
      <formula>NOT(ISERROR(SEARCH("No se pudo ejecutar",V164)))</formula>
    </cfRule>
    <cfRule type="containsText" dxfId="7614" priority="7903" operator="containsText" text="Pendiente">
      <formula>NOT(ISERROR(SEARCH("Pendiente",V164)))</formula>
    </cfRule>
    <cfRule type="containsText" dxfId="7613" priority="7904" operator="containsText" text="No Aplica">
      <formula>NOT(ISERROR(SEARCH("No Aplica",V164)))</formula>
    </cfRule>
    <cfRule type="containsText" dxfId="7612" priority="7905" operator="containsText" text="Fallido">
      <formula>NOT(ISERROR(SEARCH("Fallido",V164)))</formula>
    </cfRule>
    <cfRule type="containsText" dxfId="7611" priority="7906" operator="containsText" text="Éxitoso">
      <formula>NOT(ISERROR(SEARCH("Éxitoso",V164)))</formula>
    </cfRule>
  </conditionalFormatting>
  <conditionalFormatting sqref="W164">
    <cfRule type="containsText" dxfId="7610" priority="7897" operator="containsText" text="No se pudo ejecutar">
      <formula>NOT(ISERROR(SEARCH("No se pudo ejecutar",W164)))</formula>
    </cfRule>
    <cfRule type="containsText" dxfId="7609" priority="7898" operator="containsText" text="Pendiente">
      <formula>NOT(ISERROR(SEARCH("Pendiente",W164)))</formula>
    </cfRule>
    <cfRule type="containsText" dxfId="7608" priority="7899" operator="containsText" text="No Aplica">
      <formula>NOT(ISERROR(SEARCH("No Aplica",W164)))</formula>
    </cfRule>
    <cfRule type="containsText" dxfId="7607" priority="7900" operator="containsText" text="Fallido">
      <formula>NOT(ISERROR(SEARCH("Fallido",W164)))</formula>
    </cfRule>
    <cfRule type="containsText" dxfId="7606" priority="7901" operator="containsText" text="Éxitoso">
      <formula>NOT(ISERROR(SEARCH("Éxitoso",W164)))</formula>
    </cfRule>
  </conditionalFormatting>
  <conditionalFormatting sqref="M164">
    <cfRule type="containsText" dxfId="7605" priority="7892" operator="containsText" text="No se pudo ejecutar">
      <formula>NOT(ISERROR(SEARCH("No se pudo ejecutar",M164)))</formula>
    </cfRule>
    <cfRule type="containsText" dxfId="7604" priority="7893" operator="containsText" text="Pendiente">
      <formula>NOT(ISERROR(SEARCH("Pendiente",M164)))</formula>
    </cfRule>
    <cfRule type="containsText" dxfId="7603" priority="7894" operator="containsText" text="No Aplica">
      <formula>NOT(ISERROR(SEARCH("No Aplica",M164)))</formula>
    </cfRule>
    <cfRule type="containsText" dxfId="7602" priority="7895" operator="containsText" text="Fallido">
      <formula>NOT(ISERROR(SEARCH("Fallido",M164)))</formula>
    </cfRule>
    <cfRule type="containsText" dxfId="7601" priority="7896" operator="containsText" text="Éxitoso">
      <formula>NOT(ISERROR(SEARCH("Éxitoso",M164)))</formula>
    </cfRule>
  </conditionalFormatting>
  <conditionalFormatting sqref="G164">
    <cfRule type="containsText" dxfId="7600" priority="7889" operator="containsText" text="Bajo">
      <formula>NOT(ISERROR(SEARCH("Bajo",G164)))</formula>
    </cfRule>
    <cfRule type="containsText" dxfId="7599" priority="7890" operator="containsText" text="Medio">
      <formula>NOT(ISERROR(SEARCH("Medio",G164)))</formula>
    </cfRule>
    <cfRule type="containsText" dxfId="7598" priority="7891" operator="containsText" text="Alto">
      <formula>NOT(ISERROR(SEARCH("Alto",G164)))</formula>
    </cfRule>
  </conditionalFormatting>
  <conditionalFormatting sqref="N165">
    <cfRule type="containsText" dxfId="7597" priority="7884" operator="containsText" text="No se pudo ejecutar">
      <formula>NOT(ISERROR(SEARCH("No se pudo ejecutar",N165)))</formula>
    </cfRule>
    <cfRule type="containsText" dxfId="7596" priority="7885" operator="containsText" text="Pendiente">
      <formula>NOT(ISERROR(SEARCH("Pendiente",N165)))</formula>
    </cfRule>
    <cfRule type="containsText" dxfId="7595" priority="7886" operator="containsText" text="No Aplica">
      <formula>NOT(ISERROR(SEARCH("No Aplica",N165)))</formula>
    </cfRule>
    <cfRule type="containsText" dxfId="7594" priority="7887" operator="containsText" text="Fallido">
      <formula>NOT(ISERROR(SEARCH("Fallido",N165)))</formula>
    </cfRule>
    <cfRule type="containsText" dxfId="7593" priority="7888" operator="containsText" text="Éxitoso">
      <formula>NOT(ISERROR(SEARCH("Éxitoso",N165)))</formula>
    </cfRule>
  </conditionalFormatting>
  <conditionalFormatting sqref="O165">
    <cfRule type="containsText" dxfId="7592" priority="7879" operator="containsText" text="No se pudo ejecutar">
      <formula>NOT(ISERROR(SEARCH("No se pudo ejecutar",O165)))</formula>
    </cfRule>
    <cfRule type="containsText" dxfId="7591" priority="7880" operator="containsText" text="Pendiente">
      <formula>NOT(ISERROR(SEARCH("Pendiente",O165)))</formula>
    </cfRule>
    <cfRule type="containsText" dxfId="7590" priority="7881" operator="containsText" text="No Aplica">
      <formula>NOT(ISERROR(SEARCH("No Aplica",O165)))</formula>
    </cfRule>
    <cfRule type="containsText" dxfId="7589" priority="7882" operator="containsText" text="Fallido">
      <formula>NOT(ISERROR(SEARCH("Fallido",O165)))</formula>
    </cfRule>
    <cfRule type="containsText" dxfId="7588" priority="7883" operator="containsText" text="Éxitoso">
      <formula>NOT(ISERROR(SEARCH("Éxitoso",O165)))</formula>
    </cfRule>
  </conditionalFormatting>
  <conditionalFormatting sqref="P165">
    <cfRule type="containsText" dxfId="7587" priority="7874" operator="containsText" text="No se pudo ejecutar">
      <formula>NOT(ISERROR(SEARCH("No se pudo ejecutar",P165)))</formula>
    </cfRule>
    <cfRule type="containsText" dxfId="7586" priority="7875" operator="containsText" text="Pendiente">
      <formula>NOT(ISERROR(SEARCH("Pendiente",P165)))</formula>
    </cfRule>
    <cfRule type="containsText" dxfId="7585" priority="7876" operator="containsText" text="No Aplica">
      <formula>NOT(ISERROR(SEARCH("No Aplica",P165)))</formula>
    </cfRule>
    <cfRule type="containsText" dxfId="7584" priority="7877" operator="containsText" text="Fallido">
      <formula>NOT(ISERROR(SEARCH("Fallido",P165)))</formula>
    </cfRule>
    <cfRule type="containsText" dxfId="7583" priority="7878" operator="containsText" text="Éxitoso">
      <formula>NOT(ISERROR(SEARCH("Éxitoso",P165)))</formula>
    </cfRule>
  </conditionalFormatting>
  <conditionalFormatting sqref="Q165">
    <cfRule type="containsText" dxfId="7582" priority="7869" operator="containsText" text="No se pudo ejecutar">
      <formula>NOT(ISERROR(SEARCH("No se pudo ejecutar",Q165)))</formula>
    </cfRule>
    <cfRule type="containsText" dxfId="7581" priority="7870" operator="containsText" text="Pendiente">
      <formula>NOT(ISERROR(SEARCH("Pendiente",Q165)))</formula>
    </cfRule>
    <cfRule type="containsText" dxfId="7580" priority="7871" operator="containsText" text="No Aplica">
      <formula>NOT(ISERROR(SEARCH("No Aplica",Q165)))</formula>
    </cfRule>
    <cfRule type="containsText" dxfId="7579" priority="7872" operator="containsText" text="Fallido">
      <formula>NOT(ISERROR(SEARCH("Fallido",Q165)))</formula>
    </cfRule>
    <cfRule type="containsText" dxfId="7578" priority="7873" operator="containsText" text="Éxitoso">
      <formula>NOT(ISERROR(SEARCH("Éxitoso",Q165)))</formula>
    </cfRule>
  </conditionalFormatting>
  <conditionalFormatting sqref="R165">
    <cfRule type="containsText" dxfId="7577" priority="7864" operator="containsText" text="No se pudo ejecutar">
      <formula>NOT(ISERROR(SEARCH("No se pudo ejecutar",R165)))</formula>
    </cfRule>
    <cfRule type="containsText" dxfId="7576" priority="7865" operator="containsText" text="Pendiente">
      <formula>NOT(ISERROR(SEARCH("Pendiente",R165)))</formula>
    </cfRule>
    <cfRule type="containsText" dxfId="7575" priority="7866" operator="containsText" text="No Aplica">
      <formula>NOT(ISERROR(SEARCH("No Aplica",R165)))</formula>
    </cfRule>
    <cfRule type="containsText" dxfId="7574" priority="7867" operator="containsText" text="Fallido">
      <formula>NOT(ISERROR(SEARCH("Fallido",R165)))</formula>
    </cfRule>
    <cfRule type="containsText" dxfId="7573" priority="7868" operator="containsText" text="Éxitoso">
      <formula>NOT(ISERROR(SEARCH("Éxitoso",R165)))</formula>
    </cfRule>
  </conditionalFormatting>
  <conditionalFormatting sqref="S165">
    <cfRule type="containsText" dxfId="7572" priority="7859" operator="containsText" text="No se pudo ejecutar">
      <formula>NOT(ISERROR(SEARCH("No se pudo ejecutar",S165)))</formula>
    </cfRule>
    <cfRule type="containsText" dxfId="7571" priority="7860" operator="containsText" text="Pendiente">
      <formula>NOT(ISERROR(SEARCH("Pendiente",S165)))</formula>
    </cfRule>
    <cfRule type="containsText" dxfId="7570" priority="7861" operator="containsText" text="No Aplica">
      <formula>NOT(ISERROR(SEARCH("No Aplica",S165)))</formula>
    </cfRule>
    <cfRule type="containsText" dxfId="7569" priority="7862" operator="containsText" text="Fallido">
      <formula>NOT(ISERROR(SEARCH("Fallido",S165)))</formula>
    </cfRule>
    <cfRule type="containsText" dxfId="7568" priority="7863" operator="containsText" text="Éxitoso">
      <formula>NOT(ISERROR(SEARCH("Éxitoso",S165)))</formula>
    </cfRule>
  </conditionalFormatting>
  <conditionalFormatting sqref="T165">
    <cfRule type="containsText" dxfId="7567" priority="7854" operator="containsText" text="No se pudo ejecutar">
      <formula>NOT(ISERROR(SEARCH("No se pudo ejecutar",T165)))</formula>
    </cfRule>
    <cfRule type="containsText" dxfId="7566" priority="7855" operator="containsText" text="Pendiente">
      <formula>NOT(ISERROR(SEARCH("Pendiente",T165)))</formula>
    </cfRule>
    <cfRule type="containsText" dxfId="7565" priority="7856" operator="containsText" text="No Aplica">
      <formula>NOT(ISERROR(SEARCH("No Aplica",T165)))</formula>
    </cfRule>
    <cfRule type="containsText" dxfId="7564" priority="7857" operator="containsText" text="Fallido">
      <formula>NOT(ISERROR(SEARCH("Fallido",T165)))</formula>
    </cfRule>
    <cfRule type="containsText" dxfId="7563" priority="7858" operator="containsText" text="Éxitoso">
      <formula>NOT(ISERROR(SEARCH("Éxitoso",T165)))</formula>
    </cfRule>
  </conditionalFormatting>
  <conditionalFormatting sqref="U165">
    <cfRule type="containsText" dxfId="7562" priority="7849" operator="containsText" text="No se pudo ejecutar">
      <formula>NOT(ISERROR(SEARCH("No se pudo ejecutar",U165)))</formula>
    </cfRule>
    <cfRule type="containsText" dxfId="7561" priority="7850" operator="containsText" text="Pendiente">
      <formula>NOT(ISERROR(SEARCH("Pendiente",U165)))</formula>
    </cfRule>
    <cfRule type="containsText" dxfId="7560" priority="7851" operator="containsText" text="No Aplica">
      <formula>NOT(ISERROR(SEARCH("No Aplica",U165)))</formula>
    </cfRule>
    <cfRule type="containsText" dxfId="7559" priority="7852" operator="containsText" text="Fallido">
      <formula>NOT(ISERROR(SEARCH("Fallido",U165)))</formula>
    </cfRule>
    <cfRule type="containsText" dxfId="7558" priority="7853" operator="containsText" text="Éxitoso">
      <formula>NOT(ISERROR(SEARCH("Éxitoso",U165)))</formula>
    </cfRule>
  </conditionalFormatting>
  <conditionalFormatting sqref="V165">
    <cfRule type="containsText" dxfId="7557" priority="7844" operator="containsText" text="No se pudo ejecutar">
      <formula>NOT(ISERROR(SEARCH("No se pudo ejecutar",V165)))</formula>
    </cfRule>
    <cfRule type="containsText" dxfId="7556" priority="7845" operator="containsText" text="Pendiente">
      <formula>NOT(ISERROR(SEARCH("Pendiente",V165)))</formula>
    </cfRule>
    <cfRule type="containsText" dxfId="7555" priority="7846" operator="containsText" text="No Aplica">
      <formula>NOT(ISERROR(SEARCH("No Aplica",V165)))</formula>
    </cfRule>
    <cfRule type="containsText" dxfId="7554" priority="7847" operator="containsText" text="Fallido">
      <formula>NOT(ISERROR(SEARCH("Fallido",V165)))</formula>
    </cfRule>
    <cfRule type="containsText" dxfId="7553" priority="7848" operator="containsText" text="Éxitoso">
      <formula>NOT(ISERROR(SEARCH("Éxitoso",V165)))</formula>
    </cfRule>
  </conditionalFormatting>
  <conditionalFormatting sqref="W165">
    <cfRule type="containsText" dxfId="7552" priority="7839" operator="containsText" text="No se pudo ejecutar">
      <formula>NOT(ISERROR(SEARCH("No se pudo ejecutar",W165)))</formula>
    </cfRule>
    <cfRule type="containsText" dxfId="7551" priority="7840" operator="containsText" text="Pendiente">
      <formula>NOT(ISERROR(SEARCH("Pendiente",W165)))</formula>
    </cfRule>
    <cfRule type="containsText" dxfId="7550" priority="7841" operator="containsText" text="No Aplica">
      <formula>NOT(ISERROR(SEARCH("No Aplica",W165)))</formula>
    </cfRule>
    <cfRule type="containsText" dxfId="7549" priority="7842" operator="containsText" text="Fallido">
      <formula>NOT(ISERROR(SEARCH("Fallido",W165)))</formula>
    </cfRule>
    <cfRule type="containsText" dxfId="7548" priority="7843" operator="containsText" text="Éxitoso">
      <formula>NOT(ISERROR(SEARCH("Éxitoso",W165)))</formula>
    </cfRule>
  </conditionalFormatting>
  <conditionalFormatting sqref="M165">
    <cfRule type="containsText" dxfId="7547" priority="7834" operator="containsText" text="No se pudo ejecutar">
      <formula>NOT(ISERROR(SEARCH("No se pudo ejecutar",M165)))</formula>
    </cfRule>
    <cfRule type="containsText" dxfId="7546" priority="7835" operator="containsText" text="Pendiente">
      <formula>NOT(ISERROR(SEARCH("Pendiente",M165)))</formula>
    </cfRule>
    <cfRule type="containsText" dxfId="7545" priority="7836" operator="containsText" text="No Aplica">
      <formula>NOT(ISERROR(SEARCH("No Aplica",M165)))</formula>
    </cfRule>
    <cfRule type="containsText" dxfId="7544" priority="7837" operator="containsText" text="Fallido">
      <formula>NOT(ISERROR(SEARCH("Fallido",M165)))</formula>
    </cfRule>
    <cfRule type="containsText" dxfId="7543" priority="7838" operator="containsText" text="Éxitoso">
      <formula>NOT(ISERROR(SEARCH("Éxitoso",M165)))</formula>
    </cfRule>
  </conditionalFormatting>
  <conditionalFormatting sqref="G165">
    <cfRule type="containsText" dxfId="7542" priority="7831" operator="containsText" text="Bajo">
      <formula>NOT(ISERROR(SEARCH("Bajo",G165)))</formula>
    </cfRule>
    <cfRule type="containsText" dxfId="7541" priority="7832" operator="containsText" text="Medio">
      <formula>NOT(ISERROR(SEARCH("Medio",G165)))</formula>
    </cfRule>
    <cfRule type="containsText" dxfId="7540" priority="7833" operator="containsText" text="Alto">
      <formula>NOT(ISERROR(SEARCH("Alto",G165)))</formula>
    </cfRule>
  </conditionalFormatting>
  <conditionalFormatting sqref="N166">
    <cfRule type="containsText" dxfId="7539" priority="7826" operator="containsText" text="No se pudo ejecutar">
      <formula>NOT(ISERROR(SEARCH("No se pudo ejecutar",N166)))</formula>
    </cfRule>
    <cfRule type="containsText" dxfId="7538" priority="7827" operator="containsText" text="Pendiente">
      <formula>NOT(ISERROR(SEARCH("Pendiente",N166)))</formula>
    </cfRule>
    <cfRule type="containsText" dxfId="7537" priority="7828" operator="containsText" text="No Aplica">
      <formula>NOT(ISERROR(SEARCH("No Aplica",N166)))</formula>
    </cfRule>
    <cfRule type="containsText" dxfId="7536" priority="7829" operator="containsText" text="Fallido">
      <formula>NOT(ISERROR(SEARCH("Fallido",N166)))</formula>
    </cfRule>
    <cfRule type="containsText" dxfId="7535" priority="7830" operator="containsText" text="Éxitoso">
      <formula>NOT(ISERROR(SEARCH("Éxitoso",N166)))</formula>
    </cfRule>
  </conditionalFormatting>
  <conditionalFormatting sqref="O166">
    <cfRule type="containsText" dxfId="7534" priority="7821" operator="containsText" text="No se pudo ejecutar">
      <formula>NOT(ISERROR(SEARCH("No se pudo ejecutar",O166)))</formula>
    </cfRule>
    <cfRule type="containsText" dxfId="7533" priority="7822" operator="containsText" text="Pendiente">
      <formula>NOT(ISERROR(SEARCH("Pendiente",O166)))</formula>
    </cfRule>
    <cfRule type="containsText" dxfId="7532" priority="7823" operator="containsText" text="No Aplica">
      <formula>NOT(ISERROR(SEARCH("No Aplica",O166)))</formula>
    </cfRule>
    <cfRule type="containsText" dxfId="7531" priority="7824" operator="containsText" text="Fallido">
      <formula>NOT(ISERROR(SEARCH("Fallido",O166)))</formula>
    </cfRule>
    <cfRule type="containsText" dxfId="7530" priority="7825" operator="containsText" text="Éxitoso">
      <formula>NOT(ISERROR(SEARCH("Éxitoso",O166)))</formula>
    </cfRule>
  </conditionalFormatting>
  <conditionalFormatting sqref="P166">
    <cfRule type="containsText" dxfId="7529" priority="7816" operator="containsText" text="No se pudo ejecutar">
      <formula>NOT(ISERROR(SEARCH("No se pudo ejecutar",P166)))</formula>
    </cfRule>
    <cfRule type="containsText" dxfId="7528" priority="7817" operator="containsText" text="Pendiente">
      <formula>NOT(ISERROR(SEARCH("Pendiente",P166)))</formula>
    </cfRule>
    <cfRule type="containsText" dxfId="7527" priority="7818" operator="containsText" text="No Aplica">
      <formula>NOT(ISERROR(SEARCH("No Aplica",P166)))</formula>
    </cfRule>
    <cfRule type="containsText" dxfId="7526" priority="7819" operator="containsText" text="Fallido">
      <formula>NOT(ISERROR(SEARCH("Fallido",P166)))</formula>
    </cfRule>
    <cfRule type="containsText" dxfId="7525" priority="7820" operator="containsText" text="Éxitoso">
      <formula>NOT(ISERROR(SEARCH("Éxitoso",P166)))</formula>
    </cfRule>
  </conditionalFormatting>
  <conditionalFormatting sqref="Q166">
    <cfRule type="containsText" dxfId="7524" priority="7811" operator="containsText" text="No se pudo ejecutar">
      <formula>NOT(ISERROR(SEARCH("No se pudo ejecutar",Q166)))</formula>
    </cfRule>
    <cfRule type="containsText" dxfId="7523" priority="7812" operator="containsText" text="Pendiente">
      <formula>NOT(ISERROR(SEARCH("Pendiente",Q166)))</formula>
    </cfRule>
    <cfRule type="containsText" dxfId="7522" priority="7813" operator="containsText" text="No Aplica">
      <formula>NOT(ISERROR(SEARCH("No Aplica",Q166)))</formula>
    </cfRule>
    <cfRule type="containsText" dxfId="7521" priority="7814" operator="containsText" text="Fallido">
      <formula>NOT(ISERROR(SEARCH("Fallido",Q166)))</formula>
    </cfRule>
    <cfRule type="containsText" dxfId="7520" priority="7815" operator="containsText" text="Éxitoso">
      <formula>NOT(ISERROR(SEARCH("Éxitoso",Q166)))</formula>
    </cfRule>
  </conditionalFormatting>
  <conditionalFormatting sqref="R166">
    <cfRule type="containsText" dxfId="7519" priority="7806" operator="containsText" text="No se pudo ejecutar">
      <formula>NOT(ISERROR(SEARCH("No se pudo ejecutar",R166)))</formula>
    </cfRule>
    <cfRule type="containsText" dxfId="7518" priority="7807" operator="containsText" text="Pendiente">
      <formula>NOT(ISERROR(SEARCH("Pendiente",R166)))</formula>
    </cfRule>
    <cfRule type="containsText" dxfId="7517" priority="7808" operator="containsText" text="No Aplica">
      <formula>NOT(ISERROR(SEARCH("No Aplica",R166)))</formula>
    </cfRule>
    <cfRule type="containsText" dxfId="7516" priority="7809" operator="containsText" text="Fallido">
      <formula>NOT(ISERROR(SEARCH("Fallido",R166)))</formula>
    </cfRule>
    <cfRule type="containsText" dxfId="7515" priority="7810" operator="containsText" text="Éxitoso">
      <formula>NOT(ISERROR(SEARCH("Éxitoso",R166)))</formula>
    </cfRule>
  </conditionalFormatting>
  <conditionalFormatting sqref="S166">
    <cfRule type="containsText" dxfId="7514" priority="7801" operator="containsText" text="No se pudo ejecutar">
      <formula>NOT(ISERROR(SEARCH("No se pudo ejecutar",S166)))</formula>
    </cfRule>
    <cfRule type="containsText" dxfId="7513" priority="7802" operator="containsText" text="Pendiente">
      <formula>NOT(ISERROR(SEARCH("Pendiente",S166)))</formula>
    </cfRule>
    <cfRule type="containsText" dxfId="7512" priority="7803" operator="containsText" text="No Aplica">
      <formula>NOT(ISERROR(SEARCH("No Aplica",S166)))</formula>
    </cfRule>
    <cfRule type="containsText" dxfId="7511" priority="7804" operator="containsText" text="Fallido">
      <formula>NOT(ISERROR(SEARCH("Fallido",S166)))</formula>
    </cfRule>
    <cfRule type="containsText" dxfId="7510" priority="7805" operator="containsText" text="Éxitoso">
      <formula>NOT(ISERROR(SEARCH("Éxitoso",S166)))</formula>
    </cfRule>
  </conditionalFormatting>
  <conditionalFormatting sqref="T166">
    <cfRule type="containsText" dxfId="7509" priority="7796" operator="containsText" text="No se pudo ejecutar">
      <formula>NOT(ISERROR(SEARCH("No se pudo ejecutar",T166)))</formula>
    </cfRule>
    <cfRule type="containsText" dxfId="7508" priority="7797" operator="containsText" text="Pendiente">
      <formula>NOT(ISERROR(SEARCH("Pendiente",T166)))</formula>
    </cfRule>
    <cfRule type="containsText" dxfId="7507" priority="7798" operator="containsText" text="No Aplica">
      <formula>NOT(ISERROR(SEARCH("No Aplica",T166)))</formula>
    </cfRule>
    <cfRule type="containsText" dxfId="7506" priority="7799" operator="containsText" text="Fallido">
      <formula>NOT(ISERROR(SEARCH("Fallido",T166)))</formula>
    </cfRule>
    <cfRule type="containsText" dxfId="7505" priority="7800" operator="containsText" text="Éxitoso">
      <formula>NOT(ISERROR(SEARCH("Éxitoso",T166)))</formula>
    </cfRule>
  </conditionalFormatting>
  <conditionalFormatting sqref="U166">
    <cfRule type="containsText" dxfId="7504" priority="7791" operator="containsText" text="No se pudo ejecutar">
      <formula>NOT(ISERROR(SEARCH("No se pudo ejecutar",U166)))</formula>
    </cfRule>
    <cfRule type="containsText" dxfId="7503" priority="7792" operator="containsText" text="Pendiente">
      <formula>NOT(ISERROR(SEARCH("Pendiente",U166)))</formula>
    </cfRule>
    <cfRule type="containsText" dxfId="7502" priority="7793" operator="containsText" text="No Aplica">
      <formula>NOT(ISERROR(SEARCH("No Aplica",U166)))</formula>
    </cfRule>
    <cfRule type="containsText" dxfId="7501" priority="7794" operator="containsText" text="Fallido">
      <formula>NOT(ISERROR(SEARCH("Fallido",U166)))</formula>
    </cfRule>
    <cfRule type="containsText" dxfId="7500" priority="7795" operator="containsText" text="Éxitoso">
      <formula>NOT(ISERROR(SEARCH("Éxitoso",U166)))</formula>
    </cfRule>
  </conditionalFormatting>
  <conditionalFormatting sqref="V166">
    <cfRule type="containsText" dxfId="7499" priority="7786" operator="containsText" text="No se pudo ejecutar">
      <formula>NOT(ISERROR(SEARCH("No se pudo ejecutar",V166)))</formula>
    </cfRule>
    <cfRule type="containsText" dxfId="7498" priority="7787" operator="containsText" text="Pendiente">
      <formula>NOT(ISERROR(SEARCH("Pendiente",V166)))</formula>
    </cfRule>
    <cfRule type="containsText" dxfId="7497" priority="7788" operator="containsText" text="No Aplica">
      <formula>NOT(ISERROR(SEARCH("No Aplica",V166)))</formula>
    </cfRule>
    <cfRule type="containsText" dxfId="7496" priority="7789" operator="containsText" text="Fallido">
      <formula>NOT(ISERROR(SEARCH("Fallido",V166)))</formula>
    </cfRule>
    <cfRule type="containsText" dxfId="7495" priority="7790" operator="containsText" text="Éxitoso">
      <formula>NOT(ISERROR(SEARCH("Éxitoso",V166)))</formula>
    </cfRule>
  </conditionalFormatting>
  <conditionalFormatting sqref="W166">
    <cfRule type="containsText" dxfId="7494" priority="7781" operator="containsText" text="No se pudo ejecutar">
      <formula>NOT(ISERROR(SEARCH("No se pudo ejecutar",W166)))</formula>
    </cfRule>
    <cfRule type="containsText" dxfId="7493" priority="7782" operator="containsText" text="Pendiente">
      <formula>NOT(ISERROR(SEARCH("Pendiente",W166)))</formula>
    </cfRule>
    <cfRule type="containsText" dxfId="7492" priority="7783" operator="containsText" text="No Aplica">
      <formula>NOT(ISERROR(SEARCH("No Aplica",W166)))</formula>
    </cfRule>
    <cfRule type="containsText" dxfId="7491" priority="7784" operator="containsText" text="Fallido">
      <formula>NOT(ISERROR(SEARCH("Fallido",W166)))</formula>
    </cfRule>
    <cfRule type="containsText" dxfId="7490" priority="7785" operator="containsText" text="Éxitoso">
      <formula>NOT(ISERROR(SEARCH("Éxitoso",W166)))</formula>
    </cfRule>
  </conditionalFormatting>
  <conditionalFormatting sqref="M166">
    <cfRule type="containsText" dxfId="7489" priority="7776" operator="containsText" text="No se pudo ejecutar">
      <formula>NOT(ISERROR(SEARCH("No se pudo ejecutar",M166)))</formula>
    </cfRule>
    <cfRule type="containsText" dxfId="7488" priority="7777" operator="containsText" text="Pendiente">
      <formula>NOT(ISERROR(SEARCH("Pendiente",M166)))</formula>
    </cfRule>
    <cfRule type="containsText" dxfId="7487" priority="7778" operator="containsText" text="No Aplica">
      <formula>NOT(ISERROR(SEARCH("No Aplica",M166)))</formula>
    </cfRule>
    <cfRule type="containsText" dxfId="7486" priority="7779" operator="containsText" text="Fallido">
      <formula>NOT(ISERROR(SEARCH("Fallido",M166)))</formula>
    </cfRule>
    <cfRule type="containsText" dxfId="7485" priority="7780" operator="containsText" text="Éxitoso">
      <formula>NOT(ISERROR(SEARCH("Éxitoso",M166)))</formula>
    </cfRule>
  </conditionalFormatting>
  <conditionalFormatting sqref="G166">
    <cfRule type="containsText" dxfId="7484" priority="7773" operator="containsText" text="Bajo">
      <formula>NOT(ISERROR(SEARCH("Bajo",G166)))</formula>
    </cfRule>
    <cfRule type="containsText" dxfId="7483" priority="7774" operator="containsText" text="Medio">
      <formula>NOT(ISERROR(SEARCH("Medio",G166)))</formula>
    </cfRule>
    <cfRule type="containsText" dxfId="7482" priority="7775" operator="containsText" text="Alto">
      <formula>NOT(ISERROR(SEARCH("Alto",G166)))</formula>
    </cfRule>
  </conditionalFormatting>
  <conditionalFormatting sqref="N167">
    <cfRule type="containsText" dxfId="7481" priority="7768" operator="containsText" text="No se pudo ejecutar">
      <formula>NOT(ISERROR(SEARCH("No se pudo ejecutar",N167)))</formula>
    </cfRule>
    <cfRule type="containsText" dxfId="7480" priority="7769" operator="containsText" text="Pendiente">
      <formula>NOT(ISERROR(SEARCH("Pendiente",N167)))</formula>
    </cfRule>
    <cfRule type="containsText" dxfId="7479" priority="7770" operator="containsText" text="No Aplica">
      <formula>NOT(ISERROR(SEARCH("No Aplica",N167)))</formula>
    </cfRule>
    <cfRule type="containsText" dxfId="7478" priority="7771" operator="containsText" text="Fallido">
      <formula>NOT(ISERROR(SEARCH("Fallido",N167)))</formula>
    </cfRule>
    <cfRule type="containsText" dxfId="7477" priority="7772" operator="containsText" text="Éxitoso">
      <formula>NOT(ISERROR(SEARCH("Éxitoso",N167)))</formula>
    </cfRule>
  </conditionalFormatting>
  <conditionalFormatting sqref="O167">
    <cfRule type="containsText" dxfId="7476" priority="7763" operator="containsText" text="No se pudo ejecutar">
      <formula>NOT(ISERROR(SEARCH("No se pudo ejecutar",O167)))</formula>
    </cfRule>
    <cfRule type="containsText" dxfId="7475" priority="7764" operator="containsText" text="Pendiente">
      <formula>NOT(ISERROR(SEARCH("Pendiente",O167)))</formula>
    </cfRule>
    <cfRule type="containsText" dxfId="7474" priority="7765" operator="containsText" text="No Aplica">
      <formula>NOT(ISERROR(SEARCH("No Aplica",O167)))</formula>
    </cfRule>
    <cfRule type="containsText" dxfId="7473" priority="7766" operator="containsText" text="Fallido">
      <formula>NOT(ISERROR(SEARCH("Fallido",O167)))</formula>
    </cfRule>
    <cfRule type="containsText" dxfId="7472" priority="7767" operator="containsText" text="Éxitoso">
      <formula>NOT(ISERROR(SEARCH("Éxitoso",O167)))</formula>
    </cfRule>
  </conditionalFormatting>
  <conditionalFormatting sqref="P167">
    <cfRule type="containsText" dxfId="7471" priority="7758" operator="containsText" text="No se pudo ejecutar">
      <formula>NOT(ISERROR(SEARCH("No se pudo ejecutar",P167)))</formula>
    </cfRule>
    <cfRule type="containsText" dxfId="7470" priority="7759" operator="containsText" text="Pendiente">
      <formula>NOT(ISERROR(SEARCH("Pendiente",P167)))</formula>
    </cfRule>
    <cfRule type="containsText" dxfId="7469" priority="7760" operator="containsText" text="No Aplica">
      <formula>NOT(ISERROR(SEARCH("No Aplica",P167)))</formula>
    </cfRule>
    <cfRule type="containsText" dxfId="7468" priority="7761" operator="containsText" text="Fallido">
      <formula>NOT(ISERROR(SEARCH("Fallido",P167)))</formula>
    </cfRule>
    <cfRule type="containsText" dxfId="7467" priority="7762" operator="containsText" text="Éxitoso">
      <formula>NOT(ISERROR(SEARCH("Éxitoso",P167)))</formula>
    </cfRule>
  </conditionalFormatting>
  <conditionalFormatting sqref="Q167">
    <cfRule type="containsText" dxfId="7466" priority="7753" operator="containsText" text="No se pudo ejecutar">
      <formula>NOT(ISERROR(SEARCH("No se pudo ejecutar",Q167)))</formula>
    </cfRule>
    <cfRule type="containsText" dxfId="7465" priority="7754" operator="containsText" text="Pendiente">
      <formula>NOT(ISERROR(SEARCH("Pendiente",Q167)))</formula>
    </cfRule>
    <cfRule type="containsText" dxfId="7464" priority="7755" operator="containsText" text="No Aplica">
      <formula>NOT(ISERROR(SEARCH("No Aplica",Q167)))</formula>
    </cfRule>
    <cfRule type="containsText" dxfId="7463" priority="7756" operator="containsText" text="Fallido">
      <formula>NOT(ISERROR(SEARCH("Fallido",Q167)))</formula>
    </cfRule>
    <cfRule type="containsText" dxfId="7462" priority="7757" operator="containsText" text="Éxitoso">
      <formula>NOT(ISERROR(SEARCH("Éxitoso",Q167)))</formula>
    </cfRule>
  </conditionalFormatting>
  <conditionalFormatting sqref="R167">
    <cfRule type="containsText" dxfId="7461" priority="7748" operator="containsText" text="No se pudo ejecutar">
      <formula>NOT(ISERROR(SEARCH("No se pudo ejecutar",R167)))</formula>
    </cfRule>
    <cfRule type="containsText" dxfId="7460" priority="7749" operator="containsText" text="Pendiente">
      <formula>NOT(ISERROR(SEARCH("Pendiente",R167)))</formula>
    </cfRule>
    <cfRule type="containsText" dxfId="7459" priority="7750" operator="containsText" text="No Aplica">
      <formula>NOT(ISERROR(SEARCH("No Aplica",R167)))</formula>
    </cfRule>
    <cfRule type="containsText" dxfId="7458" priority="7751" operator="containsText" text="Fallido">
      <formula>NOT(ISERROR(SEARCH("Fallido",R167)))</formula>
    </cfRule>
    <cfRule type="containsText" dxfId="7457" priority="7752" operator="containsText" text="Éxitoso">
      <formula>NOT(ISERROR(SEARCH("Éxitoso",R167)))</formula>
    </cfRule>
  </conditionalFormatting>
  <conditionalFormatting sqref="S167">
    <cfRule type="containsText" dxfId="7456" priority="7743" operator="containsText" text="No se pudo ejecutar">
      <formula>NOT(ISERROR(SEARCH("No se pudo ejecutar",S167)))</formula>
    </cfRule>
    <cfRule type="containsText" dxfId="7455" priority="7744" operator="containsText" text="Pendiente">
      <formula>NOT(ISERROR(SEARCH("Pendiente",S167)))</formula>
    </cfRule>
    <cfRule type="containsText" dxfId="7454" priority="7745" operator="containsText" text="No Aplica">
      <formula>NOT(ISERROR(SEARCH("No Aplica",S167)))</formula>
    </cfRule>
    <cfRule type="containsText" dxfId="7453" priority="7746" operator="containsText" text="Fallido">
      <formula>NOT(ISERROR(SEARCH("Fallido",S167)))</formula>
    </cfRule>
    <cfRule type="containsText" dxfId="7452" priority="7747" operator="containsText" text="Éxitoso">
      <formula>NOT(ISERROR(SEARCH("Éxitoso",S167)))</formula>
    </cfRule>
  </conditionalFormatting>
  <conditionalFormatting sqref="T167">
    <cfRule type="containsText" dxfId="7451" priority="7738" operator="containsText" text="No se pudo ejecutar">
      <formula>NOT(ISERROR(SEARCH("No se pudo ejecutar",T167)))</formula>
    </cfRule>
    <cfRule type="containsText" dxfId="7450" priority="7739" operator="containsText" text="Pendiente">
      <formula>NOT(ISERROR(SEARCH("Pendiente",T167)))</formula>
    </cfRule>
    <cfRule type="containsText" dxfId="7449" priority="7740" operator="containsText" text="No Aplica">
      <formula>NOT(ISERROR(SEARCH("No Aplica",T167)))</formula>
    </cfRule>
    <cfRule type="containsText" dxfId="7448" priority="7741" operator="containsText" text="Fallido">
      <formula>NOT(ISERROR(SEARCH("Fallido",T167)))</formula>
    </cfRule>
    <cfRule type="containsText" dxfId="7447" priority="7742" operator="containsText" text="Éxitoso">
      <formula>NOT(ISERROR(SEARCH("Éxitoso",T167)))</formula>
    </cfRule>
  </conditionalFormatting>
  <conditionalFormatting sqref="U167">
    <cfRule type="containsText" dxfId="7446" priority="7733" operator="containsText" text="No se pudo ejecutar">
      <formula>NOT(ISERROR(SEARCH("No se pudo ejecutar",U167)))</formula>
    </cfRule>
    <cfRule type="containsText" dxfId="7445" priority="7734" operator="containsText" text="Pendiente">
      <formula>NOT(ISERROR(SEARCH("Pendiente",U167)))</formula>
    </cfRule>
    <cfRule type="containsText" dxfId="7444" priority="7735" operator="containsText" text="No Aplica">
      <formula>NOT(ISERROR(SEARCH("No Aplica",U167)))</formula>
    </cfRule>
    <cfRule type="containsText" dxfId="7443" priority="7736" operator="containsText" text="Fallido">
      <formula>NOT(ISERROR(SEARCH("Fallido",U167)))</formula>
    </cfRule>
    <cfRule type="containsText" dxfId="7442" priority="7737" operator="containsText" text="Éxitoso">
      <formula>NOT(ISERROR(SEARCH("Éxitoso",U167)))</formula>
    </cfRule>
  </conditionalFormatting>
  <conditionalFormatting sqref="V167">
    <cfRule type="containsText" dxfId="7441" priority="7728" operator="containsText" text="No se pudo ejecutar">
      <formula>NOT(ISERROR(SEARCH("No se pudo ejecutar",V167)))</formula>
    </cfRule>
    <cfRule type="containsText" dxfId="7440" priority="7729" operator="containsText" text="Pendiente">
      <formula>NOT(ISERROR(SEARCH("Pendiente",V167)))</formula>
    </cfRule>
    <cfRule type="containsText" dxfId="7439" priority="7730" operator="containsText" text="No Aplica">
      <formula>NOT(ISERROR(SEARCH("No Aplica",V167)))</formula>
    </cfRule>
    <cfRule type="containsText" dxfId="7438" priority="7731" operator="containsText" text="Fallido">
      <formula>NOT(ISERROR(SEARCH("Fallido",V167)))</formula>
    </cfRule>
    <cfRule type="containsText" dxfId="7437" priority="7732" operator="containsText" text="Éxitoso">
      <formula>NOT(ISERROR(SEARCH("Éxitoso",V167)))</formula>
    </cfRule>
  </conditionalFormatting>
  <conditionalFormatting sqref="W167">
    <cfRule type="containsText" dxfId="7436" priority="7723" operator="containsText" text="No se pudo ejecutar">
      <formula>NOT(ISERROR(SEARCH("No se pudo ejecutar",W167)))</formula>
    </cfRule>
    <cfRule type="containsText" dxfId="7435" priority="7724" operator="containsText" text="Pendiente">
      <formula>NOT(ISERROR(SEARCH("Pendiente",W167)))</formula>
    </cfRule>
    <cfRule type="containsText" dxfId="7434" priority="7725" operator="containsText" text="No Aplica">
      <formula>NOT(ISERROR(SEARCH("No Aplica",W167)))</formula>
    </cfRule>
    <cfRule type="containsText" dxfId="7433" priority="7726" operator="containsText" text="Fallido">
      <formula>NOT(ISERROR(SEARCH("Fallido",W167)))</formula>
    </cfRule>
    <cfRule type="containsText" dxfId="7432" priority="7727" operator="containsText" text="Éxitoso">
      <formula>NOT(ISERROR(SEARCH("Éxitoso",W167)))</formula>
    </cfRule>
  </conditionalFormatting>
  <conditionalFormatting sqref="M167">
    <cfRule type="containsText" dxfId="7431" priority="7718" operator="containsText" text="No se pudo ejecutar">
      <formula>NOT(ISERROR(SEARCH("No se pudo ejecutar",M167)))</formula>
    </cfRule>
    <cfRule type="containsText" dxfId="7430" priority="7719" operator="containsText" text="Pendiente">
      <formula>NOT(ISERROR(SEARCH("Pendiente",M167)))</formula>
    </cfRule>
    <cfRule type="containsText" dxfId="7429" priority="7720" operator="containsText" text="No Aplica">
      <formula>NOT(ISERROR(SEARCH("No Aplica",M167)))</formula>
    </cfRule>
    <cfRule type="containsText" dxfId="7428" priority="7721" operator="containsText" text="Fallido">
      <formula>NOT(ISERROR(SEARCH("Fallido",M167)))</formula>
    </cfRule>
    <cfRule type="containsText" dxfId="7427" priority="7722" operator="containsText" text="Éxitoso">
      <formula>NOT(ISERROR(SEARCH("Éxitoso",M167)))</formula>
    </cfRule>
  </conditionalFormatting>
  <conditionalFormatting sqref="G167">
    <cfRule type="containsText" dxfId="7426" priority="7715" operator="containsText" text="Bajo">
      <formula>NOT(ISERROR(SEARCH("Bajo",G167)))</formula>
    </cfRule>
    <cfRule type="containsText" dxfId="7425" priority="7716" operator="containsText" text="Medio">
      <formula>NOT(ISERROR(SEARCH("Medio",G167)))</formula>
    </cfRule>
    <cfRule type="containsText" dxfId="7424" priority="7717" operator="containsText" text="Alto">
      <formula>NOT(ISERROR(SEARCH("Alto",G167)))</formula>
    </cfRule>
  </conditionalFormatting>
  <conditionalFormatting sqref="N168">
    <cfRule type="containsText" dxfId="7423" priority="7710" operator="containsText" text="No se pudo ejecutar">
      <formula>NOT(ISERROR(SEARCH("No se pudo ejecutar",N168)))</formula>
    </cfRule>
    <cfRule type="containsText" dxfId="7422" priority="7711" operator="containsText" text="Pendiente">
      <formula>NOT(ISERROR(SEARCH("Pendiente",N168)))</formula>
    </cfRule>
    <cfRule type="containsText" dxfId="7421" priority="7712" operator="containsText" text="No Aplica">
      <formula>NOT(ISERROR(SEARCH("No Aplica",N168)))</formula>
    </cfRule>
    <cfRule type="containsText" dxfId="7420" priority="7713" operator="containsText" text="Fallido">
      <formula>NOT(ISERROR(SEARCH("Fallido",N168)))</formula>
    </cfRule>
    <cfRule type="containsText" dxfId="7419" priority="7714" operator="containsText" text="Éxitoso">
      <formula>NOT(ISERROR(SEARCH("Éxitoso",N168)))</formula>
    </cfRule>
  </conditionalFormatting>
  <conditionalFormatting sqref="O168">
    <cfRule type="containsText" dxfId="7418" priority="7705" operator="containsText" text="No se pudo ejecutar">
      <formula>NOT(ISERROR(SEARCH("No se pudo ejecutar",O168)))</formula>
    </cfRule>
    <cfRule type="containsText" dxfId="7417" priority="7706" operator="containsText" text="Pendiente">
      <formula>NOT(ISERROR(SEARCH("Pendiente",O168)))</formula>
    </cfRule>
    <cfRule type="containsText" dxfId="7416" priority="7707" operator="containsText" text="No Aplica">
      <formula>NOT(ISERROR(SEARCH("No Aplica",O168)))</formula>
    </cfRule>
    <cfRule type="containsText" dxfId="7415" priority="7708" operator="containsText" text="Fallido">
      <formula>NOT(ISERROR(SEARCH("Fallido",O168)))</formula>
    </cfRule>
    <cfRule type="containsText" dxfId="7414" priority="7709" operator="containsText" text="Éxitoso">
      <formula>NOT(ISERROR(SEARCH("Éxitoso",O168)))</formula>
    </cfRule>
  </conditionalFormatting>
  <conditionalFormatting sqref="P168">
    <cfRule type="containsText" dxfId="7413" priority="7700" operator="containsText" text="No se pudo ejecutar">
      <formula>NOT(ISERROR(SEARCH("No se pudo ejecutar",P168)))</formula>
    </cfRule>
    <cfRule type="containsText" dxfId="7412" priority="7701" operator="containsText" text="Pendiente">
      <formula>NOT(ISERROR(SEARCH("Pendiente",P168)))</formula>
    </cfRule>
    <cfRule type="containsText" dxfId="7411" priority="7702" operator="containsText" text="No Aplica">
      <formula>NOT(ISERROR(SEARCH("No Aplica",P168)))</formula>
    </cfRule>
    <cfRule type="containsText" dxfId="7410" priority="7703" operator="containsText" text="Fallido">
      <formula>NOT(ISERROR(SEARCH("Fallido",P168)))</formula>
    </cfRule>
    <cfRule type="containsText" dxfId="7409" priority="7704" operator="containsText" text="Éxitoso">
      <formula>NOT(ISERROR(SEARCH("Éxitoso",P168)))</formula>
    </cfRule>
  </conditionalFormatting>
  <conditionalFormatting sqref="Q168">
    <cfRule type="containsText" dxfId="7408" priority="7695" operator="containsText" text="No se pudo ejecutar">
      <formula>NOT(ISERROR(SEARCH("No se pudo ejecutar",Q168)))</formula>
    </cfRule>
    <cfRule type="containsText" dxfId="7407" priority="7696" operator="containsText" text="Pendiente">
      <formula>NOT(ISERROR(SEARCH("Pendiente",Q168)))</formula>
    </cfRule>
    <cfRule type="containsText" dxfId="7406" priority="7697" operator="containsText" text="No Aplica">
      <formula>NOT(ISERROR(SEARCH("No Aplica",Q168)))</formula>
    </cfRule>
    <cfRule type="containsText" dxfId="7405" priority="7698" operator="containsText" text="Fallido">
      <formula>NOT(ISERROR(SEARCH("Fallido",Q168)))</formula>
    </cfRule>
    <cfRule type="containsText" dxfId="7404" priority="7699" operator="containsText" text="Éxitoso">
      <formula>NOT(ISERROR(SEARCH("Éxitoso",Q168)))</formula>
    </cfRule>
  </conditionalFormatting>
  <conditionalFormatting sqref="R168">
    <cfRule type="containsText" dxfId="7403" priority="7690" operator="containsText" text="No se pudo ejecutar">
      <formula>NOT(ISERROR(SEARCH("No se pudo ejecutar",R168)))</formula>
    </cfRule>
    <cfRule type="containsText" dxfId="7402" priority="7691" operator="containsText" text="Pendiente">
      <formula>NOT(ISERROR(SEARCH("Pendiente",R168)))</formula>
    </cfRule>
    <cfRule type="containsText" dxfId="7401" priority="7692" operator="containsText" text="No Aplica">
      <formula>NOT(ISERROR(SEARCH("No Aplica",R168)))</formula>
    </cfRule>
    <cfRule type="containsText" dxfId="7400" priority="7693" operator="containsText" text="Fallido">
      <formula>NOT(ISERROR(SEARCH("Fallido",R168)))</formula>
    </cfRule>
    <cfRule type="containsText" dxfId="7399" priority="7694" operator="containsText" text="Éxitoso">
      <formula>NOT(ISERROR(SEARCH("Éxitoso",R168)))</formula>
    </cfRule>
  </conditionalFormatting>
  <conditionalFormatting sqref="S168">
    <cfRule type="containsText" dxfId="7398" priority="7685" operator="containsText" text="No se pudo ejecutar">
      <formula>NOT(ISERROR(SEARCH("No se pudo ejecutar",S168)))</formula>
    </cfRule>
    <cfRule type="containsText" dxfId="7397" priority="7686" operator="containsText" text="Pendiente">
      <formula>NOT(ISERROR(SEARCH("Pendiente",S168)))</formula>
    </cfRule>
    <cfRule type="containsText" dxfId="7396" priority="7687" operator="containsText" text="No Aplica">
      <formula>NOT(ISERROR(SEARCH("No Aplica",S168)))</formula>
    </cfRule>
    <cfRule type="containsText" dxfId="7395" priority="7688" operator="containsText" text="Fallido">
      <formula>NOT(ISERROR(SEARCH("Fallido",S168)))</formula>
    </cfRule>
    <cfRule type="containsText" dxfId="7394" priority="7689" operator="containsText" text="Éxitoso">
      <formula>NOT(ISERROR(SEARCH("Éxitoso",S168)))</formula>
    </cfRule>
  </conditionalFormatting>
  <conditionalFormatting sqref="T168">
    <cfRule type="containsText" dxfId="7393" priority="7680" operator="containsText" text="No se pudo ejecutar">
      <formula>NOT(ISERROR(SEARCH("No se pudo ejecutar",T168)))</formula>
    </cfRule>
    <cfRule type="containsText" dxfId="7392" priority="7681" operator="containsText" text="Pendiente">
      <formula>NOT(ISERROR(SEARCH("Pendiente",T168)))</formula>
    </cfRule>
    <cfRule type="containsText" dxfId="7391" priority="7682" operator="containsText" text="No Aplica">
      <formula>NOT(ISERROR(SEARCH("No Aplica",T168)))</formula>
    </cfRule>
    <cfRule type="containsText" dxfId="7390" priority="7683" operator="containsText" text="Fallido">
      <formula>NOT(ISERROR(SEARCH("Fallido",T168)))</formula>
    </cfRule>
    <cfRule type="containsText" dxfId="7389" priority="7684" operator="containsText" text="Éxitoso">
      <formula>NOT(ISERROR(SEARCH("Éxitoso",T168)))</formula>
    </cfRule>
  </conditionalFormatting>
  <conditionalFormatting sqref="U168">
    <cfRule type="containsText" dxfId="7388" priority="7675" operator="containsText" text="No se pudo ejecutar">
      <formula>NOT(ISERROR(SEARCH("No se pudo ejecutar",U168)))</formula>
    </cfRule>
    <cfRule type="containsText" dxfId="7387" priority="7676" operator="containsText" text="Pendiente">
      <formula>NOT(ISERROR(SEARCH("Pendiente",U168)))</formula>
    </cfRule>
    <cfRule type="containsText" dxfId="7386" priority="7677" operator="containsText" text="No Aplica">
      <formula>NOT(ISERROR(SEARCH("No Aplica",U168)))</formula>
    </cfRule>
    <cfRule type="containsText" dxfId="7385" priority="7678" operator="containsText" text="Fallido">
      <formula>NOT(ISERROR(SEARCH("Fallido",U168)))</formula>
    </cfRule>
    <cfRule type="containsText" dxfId="7384" priority="7679" operator="containsText" text="Éxitoso">
      <formula>NOT(ISERROR(SEARCH("Éxitoso",U168)))</formula>
    </cfRule>
  </conditionalFormatting>
  <conditionalFormatting sqref="V168">
    <cfRule type="containsText" dxfId="7383" priority="7670" operator="containsText" text="No se pudo ejecutar">
      <formula>NOT(ISERROR(SEARCH("No se pudo ejecutar",V168)))</formula>
    </cfRule>
    <cfRule type="containsText" dxfId="7382" priority="7671" operator="containsText" text="Pendiente">
      <formula>NOT(ISERROR(SEARCH("Pendiente",V168)))</formula>
    </cfRule>
    <cfRule type="containsText" dxfId="7381" priority="7672" operator="containsText" text="No Aplica">
      <formula>NOT(ISERROR(SEARCH("No Aplica",V168)))</formula>
    </cfRule>
    <cfRule type="containsText" dxfId="7380" priority="7673" operator="containsText" text="Fallido">
      <formula>NOT(ISERROR(SEARCH("Fallido",V168)))</formula>
    </cfRule>
    <cfRule type="containsText" dxfId="7379" priority="7674" operator="containsText" text="Éxitoso">
      <formula>NOT(ISERROR(SEARCH("Éxitoso",V168)))</formula>
    </cfRule>
  </conditionalFormatting>
  <conditionalFormatting sqref="W168">
    <cfRule type="containsText" dxfId="7378" priority="7665" operator="containsText" text="No se pudo ejecutar">
      <formula>NOT(ISERROR(SEARCH("No se pudo ejecutar",W168)))</formula>
    </cfRule>
    <cfRule type="containsText" dxfId="7377" priority="7666" operator="containsText" text="Pendiente">
      <formula>NOT(ISERROR(SEARCH("Pendiente",W168)))</formula>
    </cfRule>
    <cfRule type="containsText" dxfId="7376" priority="7667" operator="containsText" text="No Aplica">
      <formula>NOT(ISERROR(SEARCH("No Aplica",W168)))</formula>
    </cfRule>
    <cfRule type="containsText" dxfId="7375" priority="7668" operator="containsText" text="Fallido">
      <formula>NOT(ISERROR(SEARCH("Fallido",W168)))</formula>
    </cfRule>
    <cfRule type="containsText" dxfId="7374" priority="7669" operator="containsText" text="Éxitoso">
      <formula>NOT(ISERROR(SEARCH("Éxitoso",W168)))</formula>
    </cfRule>
  </conditionalFormatting>
  <conditionalFormatting sqref="M168">
    <cfRule type="containsText" dxfId="7373" priority="7660" operator="containsText" text="No se pudo ejecutar">
      <formula>NOT(ISERROR(SEARCH("No se pudo ejecutar",M168)))</formula>
    </cfRule>
    <cfRule type="containsText" dxfId="7372" priority="7661" operator="containsText" text="Pendiente">
      <formula>NOT(ISERROR(SEARCH("Pendiente",M168)))</formula>
    </cfRule>
    <cfRule type="containsText" dxfId="7371" priority="7662" operator="containsText" text="No Aplica">
      <formula>NOT(ISERROR(SEARCH("No Aplica",M168)))</formula>
    </cfRule>
    <cfRule type="containsText" dxfId="7370" priority="7663" operator="containsText" text="Fallido">
      <formula>NOT(ISERROR(SEARCH("Fallido",M168)))</formula>
    </cfRule>
    <cfRule type="containsText" dxfId="7369" priority="7664" operator="containsText" text="Éxitoso">
      <formula>NOT(ISERROR(SEARCH("Éxitoso",M168)))</formula>
    </cfRule>
  </conditionalFormatting>
  <conditionalFormatting sqref="G168">
    <cfRule type="containsText" dxfId="7368" priority="7657" operator="containsText" text="Bajo">
      <formula>NOT(ISERROR(SEARCH("Bajo",G168)))</formula>
    </cfRule>
    <cfRule type="containsText" dxfId="7367" priority="7658" operator="containsText" text="Medio">
      <formula>NOT(ISERROR(SEARCH("Medio",G168)))</formula>
    </cfRule>
    <cfRule type="containsText" dxfId="7366" priority="7659" operator="containsText" text="Alto">
      <formula>NOT(ISERROR(SEARCH("Alto",G168)))</formula>
    </cfRule>
  </conditionalFormatting>
  <conditionalFormatting sqref="N169">
    <cfRule type="containsText" dxfId="7365" priority="7652" operator="containsText" text="No se pudo ejecutar">
      <formula>NOT(ISERROR(SEARCH("No se pudo ejecutar",N169)))</formula>
    </cfRule>
    <cfRule type="containsText" dxfId="7364" priority="7653" operator="containsText" text="Pendiente">
      <formula>NOT(ISERROR(SEARCH("Pendiente",N169)))</formula>
    </cfRule>
    <cfRule type="containsText" dxfId="7363" priority="7654" operator="containsText" text="No Aplica">
      <formula>NOT(ISERROR(SEARCH("No Aplica",N169)))</formula>
    </cfRule>
    <cfRule type="containsText" dxfId="7362" priority="7655" operator="containsText" text="Fallido">
      <formula>NOT(ISERROR(SEARCH("Fallido",N169)))</formula>
    </cfRule>
    <cfRule type="containsText" dxfId="7361" priority="7656" operator="containsText" text="Éxitoso">
      <formula>NOT(ISERROR(SEARCH("Éxitoso",N169)))</formula>
    </cfRule>
  </conditionalFormatting>
  <conditionalFormatting sqref="O169">
    <cfRule type="containsText" dxfId="7360" priority="7647" operator="containsText" text="No se pudo ejecutar">
      <formula>NOT(ISERROR(SEARCH("No se pudo ejecutar",O169)))</formula>
    </cfRule>
    <cfRule type="containsText" dxfId="7359" priority="7648" operator="containsText" text="Pendiente">
      <formula>NOT(ISERROR(SEARCH("Pendiente",O169)))</formula>
    </cfRule>
    <cfRule type="containsText" dxfId="7358" priority="7649" operator="containsText" text="No Aplica">
      <formula>NOT(ISERROR(SEARCH("No Aplica",O169)))</formula>
    </cfRule>
    <cfRule type="containsText" dxfId="7357" priority="7650" operator="containsText" text="Fallido">
      <formula>NOT(ISERROR(SEARCH("Fallido",O169)))</formula>
    </cfRule>
    <cfRule type="containsText" dxfId="7356" priority="7651" operator="containsText" text="Éxitoso">
      <formula>NOT(ISERROR(SEARCH("Éxitoso",O169)))</formula>
    </cfRule>
  </conditionalFormatting>
  <conditionalFormatting sqref="P169">
    <cfRule type="containsText" dxfId="7355" priority="7642" operator="containsText" text="No se pudo ejecutar">
      <formula>NOT(ISERROR(SEARCH("No se pudo ejecutar",P169)))</formula>
    </cfRule>
    <cfRule type="containsText" dxfId="7354" priority="7643" operator="containsText" text="Pendiente">
      <formula>NOT(ISERROR(SEARCH("Pendiente",P169)))</formula>
    </cfRule>
    <cfRule type="containsText" dxfId="7353" priority="7644" operator="containsText" text="No Aplica">
      <formula>NOT(ISERROR(SEARCH("No Aplica",P169)))</formula>
    </cfRule>
    <cfRule type="containsText" dxfId="7352" priority="7645" operator="containsText" text="Fallido">
      <formula>NOT(ISERROR(SEARCH("Fallido",P169)))</formula>
    </cfRule>
    <cfRule type="containsText" dxfId="7351" priority="7646" operator="containsText" text="Éxitoso">
      <formula>NOT(ISERROR(SEARCH("Éxitoso",P169)))</formula>
    </cfRule>
  </conditionalFormatting>
  <conditionalFormatting sqref="Q169">
    <cfRule type="containsText" dxfId="7350" priority="7637" operator="containsText" text="No se pudo ejecutar">
      <formula>NOT(ISERROR(SEARCH("No se pudo ejecutar",Q169)))</formula>
    </cfRule>
    <cfRule type="containsText" dxfId="7349" priority="7638" operator="containsText" text="Pendiente">
      <formula>NOT(ISERROR(SEARCH("Pendiente",Q169)))</formula>
    </cfRule>
    <cfRule type="containsText" dxfId="7348" priority="7639" operator="containsText" text="No Aplica">
      <formula>NOT(ISERROR(SEARCH("No Aplica",Q169)))</formula>
    </cfRule>
    <cfRule type="containsText" dxfId="7347" priority="7640" operator="containsText" text="Fallido">
      <formula>NOT(ISERROR(SEARCH("Fallido",Q169)))</formula>
    </cfRule>
    <cfRule type="containsText" dxfId="7346" priority="7641" operator="containsText" text="Éxitoso">
      <formula>NOT(ISERROR(SEARCH("Éxitoso",Q169)))</formula>
    </cfRule>
  </conditionalFormatting>
  <conditionalFormatting sqref="R169">
    <cfRule type="containsText" dxfId="7345" priority="7632" operator="containsText" text="No se pudo ejecutar">
      <formula>NOT(ISERROR(SEARCH("No se pudo ejecutar",R169)))</formula>
    </cfRule>
    <cfRule type="containsText" dxfId="7344" priority="7633" operator="containsText" text="Pendiente">
      <formula>NOT(ISERROR(SEARCH("Pendiente",R169)))</formula>
    </cfRule>
    <cfRule type="containsText" dxfId="7343" priority="7634" operator="containsText" text="No Aplica">
      <formula>NOT(ISERROR(SEARCH("No Aplica",R169)))</formula>
    </cfRule>
    <cfRule type="containsText" dxfId="7342" priority="7635" operator="containsText" text="Fallido">
      <formula>NOT(ISERROR(SEARCH("Fallido",R169)))</formula>
    </cfRule>
    <cfRule type="containsText" dxfId="7341" priority="7636" operator="containsText" text="Éxitoso">
      <formula>NOT(ISERROR(SEARCH("Éxitoso",R169)))</formula>
    </cfRule>
  </conditionalFormatting>
  <conditionalFormatting sqref="S169">
    <cfRule type="containsText" dxfId="7340" priority="7627" operator="containsText" text="No se pudo ejecutar">
      <formula>NOT(ISERROR(SEARCH("No se pudo ejecutar",S169)))</formula>
    </cfRule>
    <cfRule type="containsText" dxfId="7339" priority="7628" operator="containsText" text="Pendiente">
      <formula>NOT(ISERROR(SEARCH("Pendiente",S169)))</formula>
    </cfRule>
    <cfRule type="containsText" dxfId="7338" priority="7629" operator="containsText" text="No Aplica">
      <formula>NOT(ISERROR(SEARCH("No Aplica",S169)))</formula>
    </cfRule>
    <cfRule type="containsText" dxfId="7337" priority="7630" operator="containsText" text="Fallido">
      <formula>NOT(ISERROR(SEARCH("Fallido",S169)))</formula>
    </cfRule>
    <cfRule type="containsText" dxfId="7336" priority="7631" operator="containsText" text="Éxitoso">
      <formula>NOT(ISERROR(SEARCH("Éxitoso",S169)))</formula>
    </cfRule>
  </conditionalFormatting>
  <conditionalFormatting sqref="T169">
    <cfRule type="containsText" dxfId="7335" priority="7622" operator="containsText" text="No se pudo ejecutar">
      <formula>NOT(ISERROR(SEARCH("No se pudo ejecutar",T169)))</formula>
    </cfRule>
    <cfRule type="containsText" dxfId="7334" priority="7623" operator="containsText" text="Pendiente">
      <formula>NOT(ISERROR(SEARCH("Pendiente",T169)))</formula>
    </cfRule>
    <cfRule type="containsText" dxfId="7333" priority="7624" operator="containsText" text="No Aplica">
      <formula>NOT(ISERROR(SEARCH("No Aplica",T169)))</formula>
    </cfRule>
    <cfRule type="containsText" dxfId="7332" priority="7625" operator="containsText" text="Fallido">
      <formula>NOT(ISERROR(SEARCH("Fallido",T169)))</formula>
    </cfRule>
    <cfRule type="containsText" dxfId="7331" priority="7626" operator="containsText" text="Éxitoso">
      <formula>NOT(ISERROR(SEARCH("Éxitoso",T169)))</formula>
    </cfRule>
  </conditionalFormatting>
  <conditionalFormatting sqref="U169">
    <cfRule type="containsText" dxfId="7330" priority="7617" operator="containsText" text="No se pudo ejecutar">
      <formula>NOT(ISERROR(SEARCH("No se pudo ejecutar",U169)))</formula>
    </cfRule>
    <cfRule type="containsText" dxfId="7329" priority="7618" operator="containsText" text="Pendiente">
      <formula>NOT(ISERROR(SEARCH("Pendiente",U169)))</formula>
    </cfRule>
    <cfRule type="containsText" dxfId="7328" priority="7619" operator="containsText" text="No Aplica">
      <formula>NOT(ISERROR(SEARCH("No Aplica",U169)))</formula>
    </cfRule>
    <cfRule type="containsText" dxfId="7327" priority="7620" operator="containsText" text="Fallido">
      <formula>NOT(ISERROR(SEARCH("Fallido",U169)))</formula>
    </cfRule>
    <cfRule type="containsText" dxfId="7326" priority="7621" operator="containsText" text="Éxitoso">
      <formula>NOT(ISERROR(SEARCH("Éxitoso",U169)))</formula>
    </cfRule>
  </conditionalFormatting>
  <conditionalFormatting sqref="V169">
    <cfRule type="containsText" dxfId="7325" priority="7612" operator="containsText" text="No se pudo ejecutar">
      <formula>NOT(ISERROR(SEARCH("No se pudo ejecutar",V169)))</formula>
    </cfRule>
    <cfRule type="containsText" dxfId="7324" priority="7613" operator="containsText" text="Pendiente">
      <formula>NOT(ISERROR(SEARCH("Pendiente",V169)))</formula>
    </cfRule>
    <cfRule type="containsText" dxfId="7323" priority="7614" operator="containsText" text="No Aplica">
      <formula>NOT(ISERROR(SEARCH("No Aplica",V169)))</formula>
    </cfRule>
    <cfRule type="containsText" dxfId="7322" priority="7615" operator="containsText" text="Fallido">
      <formula>NOT(ISERROR(SEARCH("Fallido",V169)))</formula>
    </cfRule>
    <cfRule type="containsText" dxfId="7321" priority="7616" operator="containsText" text="Éxitoso">
      <formula>NOT(ISERROR(SEARCH("Éxitoso",V169)))</formula>
    </cfRule>
  </conditionalFormatting>
  <conditionalFormatting sqref="W169">
    <cfRule type="containsText" dxfId="7320" priority="7607" operator="containsText" text="No se pudo ejecutar">
      <formula>NOT(ISERROR(SEARCH("No se pudo ejecutar",W169)))</formula>
    </cfRule>
    <cfRule type="containsText" dxfId="7319" priority="7608" operator="containsText" text="Pendiente">
      <formula>NOT(ISERROR(SEARCH("Pendiente",W169)))</formula>
    </cfRule>
    <cfRule type="containsText" dxfId="7318" priority="7609" operator="containsText" text="No Aplica">
      <formula>NOT(ISERROR(SEARCH("No Aplica",W169)))</formula>
    </cfRule>
    <cfRule type="containsText" dxfId="7317" priority="7610" operator="containsText" text="Fallido">
      <formula>NOT(ISERROR(SEARCH("Fallido",W169)))</formula>
    </cfRule>
    <cfRule type="containsText" dxfId="7316" priority="7611" operator="containsText" text="Éxitoso">
      <formula>NOT(ISERROR(SEARCH("Éxitoso",W169)))</formula>
    </cfRule>
  </conditionalFormatting>
  <conditionalFormatting sqref="M169">
    <cfRule type="containsText" dxfId="7315" priority="7602" operator="containsText" text="No se pudo ejecutar">
      <formula>NOT(ISERROR(SEARCH("No se pudo ejecutar",M169)))</formula>
    </cfRule>
    <cfRule type="containsText" dxfId="7314" priority="7603" operator="containsText" text="Pendiente">
      <formula>NOT(ISERROR(SEARCH("Pendiente",M169)))</formula>
    </cfRule>
    <cfRule type="containsText" dxfId="7313" priority="7604" operator="containsText" text="No Aplica">
      <formula>NOT(ISERROR(SEARCH("No Aplica",M169)))</formula>
    </cfRule>
    <cfRule type="containsText" dxfId="7312" priority="7605" operator="containsText" text="Fallido">
      <formula>NOT(ISERROR(SEARCH("Fallido",M169)))</formula>
    </cfRule>
    <cfRule type="containsText" dxfId="7311" priority="7606" operator="containsText" text="Éxitoso">
      <formula>NOT(ISERROR(SEARCH("Éxitoso",M169)))</formula>
    </cfRule>
  </conditionalFormatting>
  <conditionalFormatting sqref="G169">
    <cfRule type="containsText" dxfId="7310" priority="7599" operator="containsText" text="Bajo">
      <formula>NOT(ISERROR(SEARCH("Bajo",G169)))</formula>
    </cfRule>
    <cfRule type="containsText" dxfId="7309" priority="7600" operator="containsText" text="Medio">
      <formula>NOT(ISERROR(SEARCH("Medio",G169)))</formula>
    </cfRule>
    <cfRule type="containsText" dxfId="7308" priority="7601" operator="containsText" text="Alto">
      <formula>NOT(ISERROR(SEARCH("Alto",G169)))</formula>
    </cfRule>
  </conditionalFormatting>
  <conditionalFormatting sqref="N170">
    <cfRule type="containsText" dxfId="7307" priority="7594" operator="containsText" text="No se pudo ejecutar">
      <formula>NOT(ISERROR(SEARCH("No se pudo ejecutar",N170)))</formula>
    </cfRule>
    <cfRule type="containsText" dxfId="7306" priority="7595" operator="containsText" text="Pendiente">
      <formula>NOT(ISERROR(SEARCH("Pendiente",N170)))</formula>
    </cfRule>
    <cfRule type="containsText" dxfId="7305" priority="7596" operator="containsText" text="No Aplica">
      <formula>NOT(ISERROR(SEARCH("No Aplica",N170)))</formula>
    </cfRule>
    <cfRule type="containsText" dxfId="7304" priority="7597" operator="containsText" text="Fallido">
      <formula>NOT(ISERROR(SEARCH("Fallido",N170)))</formula>
    </cfRule>
    <cfRule type="containsText" dxfId="7303" priority="7598" operator="containsText" text="Éxitoso">
      <formula>NOT(ISERROR(SEARCH("Éxitoso",N170)))</formula>
    </cfRule>
  </conditionalFormatting>
  <conditionalFormatting sqref="O170">
    <cfRule type="containsText" dxfId="7302" priority="7589" operator="containsText" text="No se pudo ejecutar">
      <formula>NOT(ISERROR(SEARCH("No se pudo ejecutar",O170)))</formula>
    </cfRule>
    <cfRule type="containsText" dxfId="7301" priority="7590" operator="containsText" text="Pendiente">
      <formula>NOT(ISERROR(SEARCH("Pendiente",O170)))</formula>
    </cfRule>
    <cfRule type="containsText" dxfId="7300" priority="7591" operator="containsText" text="No Aplica">
      <formula>NOT(ISERROR(SEARCH("No Aplica",O170)))</formula>
    </cfRule>
    <cfRule type="containsText" dxfId="7299" priority="7592" operator="containsText" text="Fallido">
      <formula>NOT(ISERROR(SEARCH("Fallido",O170)))</formula>
    </cfRule>
    <cfRule type="containsText" dxfId="7298" priority="7593" operator="containsText" text="Éxitoso">
      <formula>NOT(ISERROR(SEARCH("Éxitoso",O170)))</formula>
    </cfRule>
  </conditionalFormatting>
  <conditionalFormatting sqref="P170">
    <cfRule type="containsText" dxfId="7297" priority="7584" operator="containsText" text="No se pudo ejecutar">
      <formula>NOT(ISERROR(SEARCH("No se pudo ejecutar",P170)))</formula>
    </cfRule>
    <cfRule type="containsText" dxfId="7296" priority="7585" operator="containsText" text="Pendiente">
      <formula>NOT(ISERROR(SEARCH("Pendiente",P170)))</formula>
    </cfRule>
    <cfRule type="containsText" dxfId="7295" priority="7586" operator="containsText" text="No Aplica">
      <formula>NOT(ISERROR(SEARCH("No Aplica",P170)))</formula>
    </cfRule>
    <cfRule type="containsText" dxfId="7294" priority="7587" operator="containsText" text="Fallido">
      <formula>NOT(ISERROR(SEARCH("Fallido",P170)))</formula>
    </cfRule>
    <cfRule type="containsText" dxfId="7293" priority="7588" operator="containsText" text="Éxitoso">
      <formula>NOT(ISERROR(SEARCH("Éxitoso",P170)))</formula>
    </cfRule>
  </conditionalFormatting>
  <conditionalFormatting sqref="Q170">
    <cfRule type="containsText" dxfId="7292" priority="7579" operator="containsText" text="No se pudo ejecutar">
      <formula>NOT(ISERROR(SEARCH("No se pudo ejecutar",Q170)))</formula>
    </cfRule>
    <cfRule type="containsText" dxfId="7291" priority="7580" operator="containsText" text="Pendiente">
      <formula>NOT(ISERROR(SEARCH("Pendiente",Q170)))</formula>
    </cfRule>
    <cfRule type="containsText" dxfId="7290" priority="7581" operator="containsText" text="No Aplica">
      <formula>NOT(ISERROR(SEARCH("No Aplica",Q170)))</formula>
    </cfRule>
    <cfRule type="containsText" dxfId="7289" priority="7582" operator="containsText" text="Fallido">
      <formula>NOT(ISERROR(SEARCH("Fallido",Q170)))</formula>
    </cfRule>
    <cfRule type="containsText" dxfId="7288" priority="7583" operator="containsText" text="Éxitoso">
      <formula>NOT(ISERROR(SEARCH("Éxitoso",Q170)))</formula>
    </cfRule>
  </conditionalFormatting>
  <conditionalFormatting sqref="R170">
    <cfRule type="containsText" dxfId="7287" priority="7574" operator="containsText" text="No se pudo ejecutar">
      <formula>NOT(ISERROR(SEARCH("No se pudo ejecutar",R170)))</formula>
    </cfRule>
    <cfRule type="containsText" dxfId="7286" priority="7575" operator="containsText" text="Pendiente">
      <formula>NOT(ISERROR(SEARCH("Pendiente",R170)))</formula>
    </cfRule>
    <cfRule type="containsText" dxfId="7285" priority="7576" operator="containsText" text="No Aplica">
      <formula>NOT(ISERROR(SEARCH("No Aplica",R170)))</formula>
    </cfRule>
    <cfRule type="containsText" dxfId="7284" priority="7577" operator="containsText" text="Fallido">
      <formula>NOT(ISERROR(SEARCH("Fallido",R170)))</formula>
    </cfRule>
    <cfRule type="containsText" dxfId="7283" priority="7578" operator="containsText" text="Éxitoso">
      <formula>NOT(ISERROR(SEARCH("Éxitoso",R170)))</formula>
    </cfRule>
  </conditionalFormatting>
  <conditionalFormatting sqref="S170">
    <cfRule type="containsText" dxfId="7282" priority="7569" operator="containsText" text="No se pudo ejecutar">
      <formula>NOT(ISERROR(SEARCH("No se pudo ejecutar",S170)))</formula>
    </cfRule>
    <cfRule type="containsText" dxfId="7281" priority="7570" operator="containsText" text="Pendiente">
      <formula>NOT(ISERROR(SEARCH("Pendiente",S170)))</formula>
    </cfRule>
    <cfRule type="containsText" dxfId="7280" priority="7571" operator="containsText" text="No Aplica">
      <formula>NOT(ISERROR(SEARCH("No Aplica",S170)))</formula>
    </cfRule>
    <cfRule type="containsText" dxfId="7279" priority="7572" operator="containsText" text="Fallido">
      <formula>NOT(ISERROR(SEARCH("Fallido",S170)))</formula>
    </cfRule>
    <cfRule type="containsText" dxfId="7278" priority="7573" operator="containsText" text="Éxitoso">
      <formula>NOT(ISERROR(SEARCH("Éxitoso",S170)))</formula>
    </cfRule>
  </conditionalFormatting>
  <conditionalFormatting sqref="T170">
    <cfRule type="containsText" dxfId="7277" priority="7564" operator="containsText" text="No se pudo ejecutar">
      <formula>NOT(ISERROR(SEARCH("No se pudo ejecutar",T170)))</formula>
    </cfRule>
    <cfRule type="containsText" dxfId="7276" priority="7565" operator="containsText" text="Pendiente">
      <formula>NOT(ISERROR(SEARCH("Pendiente",T170)))</formula>
    </cfRule>
    <cfRule type="containsText" dxfId="7275" priority="7566" operator="containsText" text="No Aplica">
      <formula>NOT(ISERROR(SEARCH("No Aplica",T170)))</formula>
    </cfRule>
    <cfRule type="containsText" dxfId="7274" priority="7567" operator="containsText" text="Fallido">
      <formula>NOT(ISERROR(SEARCH("Fallido",T170)))</formula>
    </cfRule>
    <cfRule type="containsText" dxfId="7273" priority="7568" operator="containsText" text="Éxitoso">
      <formula>NOT(ISERROR(SEARCH("Éxitoso",T170)))</formula>
    </cfRule>
  </conditionalFormatting>
  <conditionalFormatting sqref="U170">
    <cfRule type="containsText" dxfId="7272" priority="7559" operator="containsText" text="No se pudo ejecutar">
      <formula>NOT(ISERROR(SEARCH("No se pudo ejecutar",U170)))</formula>
    </cfRule>
    <cfRule type="containsText" dxfId="7271" priority="7560" operator="containsText" text="Pendiente">
      <formula>NOT(ISERROR(SEARCH("Pendiente",U170)))</formula>
    </cfRule>
    <cfRule type="containsText" dxfId="7270" priority="7561" operator="containsText" text="No Aplica">
      <formula>NOT(ISERROR(SEARCH("No Aplica",U170)))</formula>
    </cfRule>
    <cfRule type="containsText" dxfId="7269" priority="7562" operator="containsText" text="Fallido">
      <formula>NOT(ISERROR(SEARCH("Fallido",U170)))</formula>
    </cfRule>
    <cfRule type="containsText" dxfId="7268" priority="7563" operator="containsText" text="Éxitoso">
      <formula>NOT(ISERROR(SEARCH("Éxitoso",U170)))</formula>
    </cfRule>
  </conditionalFormatting>
  <conditionalFormatting sqref="V170">
    <cfRule type="containsText" dxfId="7267" priority="7554" operator="containsText" text="No se pudo ejecutar">
      <formula>NOT(ISERROR(SEARCH("No se pudo ejecutar",V170)))</formula>
    </cfRule>
    <cfRule type="containsText" dxfId="7266" priority="7555" operator="containsText" text="Pendiente">
      <formula>NOT(ISERROR(SEARCH("Pendiente",V170)))</formula>
    </cfRule>
    <cfRule type="containsText" dxfId="7265" priority="7556" operator="containsText" text="No Aplica">
      <formula>NOT(ISERROR(SEARCH("No Aplica",V170)))</formula>
    </cfRule>
    <cfRule type="containsText" dxfId="7264" priority="7557" operator="containsText" text="Fallido">
      <formula>NOT(ISERROR(SEARCH("Fallido",V170)))</formula>
    </cfRule>
    <cfRule type="containsText" dxfId="7263" priority="7558" operator="containsText" text="Éxitoso">
      <formula>NOT(ISERROR(SEARCH("Éxitoso",V170)))</formula>
    </cfRule>
  </conditionalFormatting>
  <conditionalFormatting sqref="W170">
    <cfRule type="containsText" dxfId="7262" priority="7549" operator="containsText" text="No se pudo ejecutar">
      <formula>NOT(ISERROR(SEARCH("No se pudo ejecutar",W170)))</formula>
    </cfRule>
    <cfRule type="containsText" dxfId="7261" priority="7550" operator="containsText" text="Pendiente">
      <formula>NOT(ISERROR(SEARCH("Pendiente",W170)))</formula>
    </cfRule>
    <cfRule type="containsText" dxfId="7260" priority="7551" operator="containsText" text="No Aplica">
      <formula>NOT(ISERROR(SEARCH("No Aplica",W170)))</formula>
    </cfRule>
    <cfRule type="containsText" dxfId="7259" priority="7552" operator="containsText" text="Fallido">
      <formula>NOT(ISERROR(SEARCH("Fallido",W170)))</formula>
    </cfRule>
    <cfRule type="containsText" dxfId="7258" priority="7553" operator="containsText" text="Éxitoso">
      <formula>NOT(ISERROR(SEARCH("Éxitoso",W170)))</formula>
    </cfRule>
  </conditionalFormatting>
  <conditionalFormatting sqref="M170">
    <cfRule type="containsText" dxfId="7257" priority="7544" operator="containsText" text="No se pudo ejecutar">
      <formula>NOT(ISERROR(SEARCH("No se pudo ejecutar",M170)))</formula>
    </cfRule>
    <cfRule type="containsText" dxfId="7256" priority="7545" operator="containsText" text="Pendiente">
      <formula>NOT(ISERROR(SEARCH("Pendiente",M170)))</formula>
    </cfRule>
    <cfRule type="containsText" dxfId="7255" priority="7546" operator="containsText" text="No Aplica">
      <formula>NOT(ISERROR(SEARCH("No Aplica",M170)))</formula>
    </cfRule>
    <cfRule type="containsText" dxfId="7254" priority="7547" operator="containsText" text="Fallido">
      <formula>NOT(ISERROR(SEARCH("Fallido",M170)))</formula>
    </cfRule>
    <cfRule type="containsText" dxfId="7253" priority="7548" operator="containsText" text="Éxitoso">
      <formula>NOT(ISERROR(SEARCH("Éxitoso",M170)))</formula>
    </cfRule>
  </conditionalFormatting>
  <conditionalFormatting sqref="G170">
    <cfRule type="containsText" dxfId="7252" priority="7541" operator="containsText" text="Bajo">
      <formula>NOT(ISERROR(SEARCH("Bajo",G170)))</formula>
    </cfRule>
    <cfRule type="containsText" dxfId="7251" priority="7542" operator="containsText" text="Medio">
      <formula>NOT(ISERROR(SEARCH("Medio",G170)))</formula>
    </cfRule>
    <cfRule type="containsText" dxfId="7250" priority="7543" operator="containsText" text="Alto">
      <formula>NOT(ISERROR(SEARCH("Alto",G170)))</formula>
    </cfRule>
  </conditionalFormatting>
  <conditionalFormatting sqref="N171">
    <cfRule type="containsText" dxfId="7249" priority="7536" operator="containsText" text="No se pudo ejecutar">
      <formula>NOT(ISERROR(SEARCH("No se pudo ejecutar",N171)))</formula>
    </cfRule>
    <cfRule type="containsText" dxfId="7248" priority="7537" operator="containsText" text="Pendiente">
      <formula>NOT(ISERROR(SEARCH("Pendiente",N171)))</formula>
    </cfRule>
    <cfRule type="containsText" dxfId="7247" priority="7538" operator="containsText" text="No Aplica">
      <formula>NOT(ISERROR(SEARCH("No Aplica",N171)))</formula>
    </cfRule>
    <cfRule type="containsText" dxfId="7246" priority="7539" operator="containsText" text="Fallido">
      <formula>NOT(ISERROR(SEARCH("Fallido",N171)))</formula>
    </cfRule>
    <cfRule type="containsText" dxfId="7245" priority="7540" operator="containsText" text="Éxitoso">
      <formula>NOT(ISERROR(SEARCH("Éxitoso",N171)))</formula>
    </cfRule>
  </conditionalFormatting>
  <conditionalFormatting sqref="O171">
    <cfRule type="containsText" dxfId="7244" priority="7531" operator="containsText" text="No se pudo ejecutar">
      <formula>NOT(ISERROR(SEARCH("No se pudo ejecutar",O171)))</formula>
    </cfRule>
    <cfRule type="containsText" dxfId="7243" priority="7532" operator="containsText" text="Pendiente">
      <formula>NOT(ISERROR(SEARCH("Pendiente",O171)))</formula>
    </cfRule>
    <cfRule type="containsText" dxfId="7242" priority="7533" operator="containsText" text="No Aplica">
      <formula>NOT(ISERROR(SEARCH("No Aplica",O171)))</formula>
    </cfRule>
    <cfRule type="containsText" dxfId="7241" priority="7534" operator="containsText" text="Fallido">
      <formula>NOT(ISERROR(SEARCH("Fallido",O171)))</formula>
    </cfRule>
    <cfRule type="containsText" dxfId="7240" priority="7535" operator="containsText" text="Éxitoso">
      <formula>NOT(ISERROR(SEARCH("Éxitoso",O171)))</formula>
    </cfRule>
  </conditionalFormatting>
  <conditionalFormatting sqref="P171">
    <cfRule type="containsText" dxfId="7239" priority="7526" operator="containsText" text="No se pudo ejecutar">
      <formula>NOT(ISERROR(SEARCH("No se pudo ejecutar",P171)))</formula>
    </cfRule>
    <cfRule type="containsText" dxfId="7238" priority="7527" operator="containsText" text="Pendiente">
      <formula>NOT(ISERROR(SEARCH("Pendiente",P171)))</formula>
    </cfRule>
    <cfRule type="containsText" dxfId="7237" priority="7528" operator="containsText" text="No Aplica">
      <formula>NOT(ISERROR(SEARCH("No Aplica",P171)))</formula>
    </cfRule>
    <cfRule type="containsText" dxfId="7236" priority="7529" operator="containsText" text="Fallido">
      <formula>NOT(ISERROR(SEARCH("Fallido",P171)))</formula>
    </cfRule>
    <cfRule type="containsText" dxfId="7235" priority="7530" operator="containsText" text="Éxitoso">
      <formula>NOT(ISERROR(SEARCH("Éxitoso",P171)))</formula>
    </cfRule>
  </conditionalFormatting>
  <conditionalFormatting sqref="Q171">
    <cfRule type="containsText" dxfId="7234" priority="7521" operator="containsText" text="No se pudo ejecutar">
      <formula>NOT(ISERROR(SEARCH("No se pudo ejecutar",Q171)))</formula>
    </cfRule>
    <cfRule type="containsText" dxfId="7233" priority="7522" operator="containsText" text="Pendiente">
      <formula>NOT(ISERROR(SEARCH("Pendiente",Q171)))</formula>
    </cfRule>
    <cfRule type="containsText" dxfId="7232" priority="7523" operator="containsText" text="No Aplica">
      <formula>NOT(ISERROR(SEARCH("No Aplica",Q171)))</formula>
    </cfRule>
    <cfRule type="containsText" dxfId="7231" priority="7524" operator="containsText" text="Fallido">
      <formula>NOT(ISERROR(SEARCH("Fallido",Q171)))</formula>
    </cfRule>
    <cfRule type="containsText" dxfId="7230" priority="7525" operator="containsText" text="Éxitoso">
      <formula>NOT(ISERROR(SEARCH("Éxitoso",Q171)))</formula>
    </cfRule>
  </conditionalFormatting>
  <conditionalFormatting sqref="R171">
    <cfRule type="containsText" dxfId="7229" priority="7516" operator="containsText" text="No se pudo ejecutar">
      <formula>NOT(ISERROR(SEARCH("No se pudo ejecutar",R171)))</formula>
    </cfRule>
    <cfRule type="containsText" dxfId="7228" priority="7517" operator="containsText" text="Pendiente">
      <formula>NOT(ISERROR(SEARCH("Pendiente",R171)))</formula>
    </cfRule>
    <cfRule type="containsText" dxfId="7227" priority="7518" operator="containsText" text="No Aplica">
      <formula>NOT(ISERROR(SEARCH("No Aplica",R171)))</formula>
    </cfRule>
    <cfRule type="containsText" dxfId="7226" priority="7519" operator="containsText" text="Fallido">
      <formula>NOT(ISERROR(SEARCH("Fallido",R171)))</formula>
    </cfRule>
    <cfRule type="containsText" dxfId="7225" priority="7520" operator="containsText" text="Éxitoso">
      <formula>NOT(ISERROR(SEARCH("Éxitoso",R171)))</formula>
    </cfRule>
  </conditionalFormatting>
  <conditionalFormatting sqref="S171">
    <cfRule type="containsText" dxfId="7224" priority="7511" operator="containsText" text="No se pudo ejecutar">
      <formula>NOT(ISERROR(SEARCH("No se pudo ejecutar",S171)))</formula>
    </cfRule>
    <cfRule type="containsText" dxfId="7223" priority="7512" operator="containsText" text="Pendiente">
      <formula>NOT(ISERROR(SEARCH("Pendiente",S171)))</formula>
    </cfRule>
    <cfRule type="containsText" dxfId="7222" priority="7513" operator="containsText" text="No Aplica">
      <formula>NOT(ISERROR(SEARCH("No Aplica",S171)))</formula>
    </cfRule>
    <cfRule type="containsText" dxfId="7221" priority="7514" operator="containsText" text="Fallido">
      <formula>NOT(ISERROR(SEARCH("Fallido",S171)))</formula>
    </cfRule>
    <cfRule type="containsText" dxfId="7220" priority="7515" operator="containsText" text="Éxitoso">
      <formula>NOT(ISERROR(SEARCH("Éxitoso",S171)))</formula>
    </cfRule>
  </conditionalFormatting>
  <conditionalFormatting sqref="T171">
    <cfRule type="containsText" dxfId="7219" priority="7506" operator="containsText" text="No se pudo ejecutar">
      <formula>NOT(ISERROR(SEARCH("No se pudo ejecutar",T171)))</formula>
    </cfRule>
    <cfRule type="containsText" dxfId="7218" priority="7507" operator="containsText" text="Pendiente">
      <formula>NOT(ISERROR(SEARCH("Pendiente",T171)))</formula>
    </cfRule>
    <cfRule type="containsText" dxfId="7217" priority="7508" operator="containsText" text="No Aplica">
      <formula>NOT(ISERROR(SEARCH("No Aplica",T171)))</formula>
    </cfRule>
    <cfRule type="containsText" dxfId="7216" priority="7509" operator="containsText" text="Fallido">
      <formula>NOT(ISERROR(SEARCH("Fallido",T171)))</formula>
    </cfRule>
    <cfRule type="containsText" dxfId="7215" priority="7510" operator="containsText" text="Éxitoso">
      <formula>NOT(ISERROR(SEARCH("Éxitoso",T171)))</formula>
    </cfRule>
  </conditionalFormatting>
  <conditionalFormatting sqref="U171">
    <cfRule type="containsText" dxfId="7214" priority="7501" operator="containsText" text="No se pudo ejecutar">
      <formula>NOT(ISERROR(SEARCH("No se pudo ejecutar",U171)))</formula>
    </cfRule>
    <cfRule type="containsText" dxfId="7213" priority="7502" operator="containsText" text="Pendiente">
      <formula>NOT(ISERROR(SEARCH("Pendiente",U171)))</formula>
    </cfRule>
    <cfRule type="containsText" dxfId="7212" priority="7503" operator="containsText" text="No Aplica">
      <formula>NOT(ISERROR(SEARCH("No Aplica",U171)))</formula>
    </cfRule>
    <cfRule type="containsText" dxfId="7211" priority="7504" operator="containsText" text="Fallido">
      <formula>NOT(ISERROR(SEARCH("Fallido",U171)))</formula>
    </cfRule>
    <cfRule type="containsText" dxfId="7210" priority="7505" operator="containsText" text="Éxitoso">
      <formula>NOT(ISERROR(SEARCH("Éxitoso",U171)))</formula>
    </cfRule>
  </conditionalFormatting>
  <conditionalFormatting sqref="V171">
    <cfRule type="containsText" dxfId="7209" priority="7496" operator="containsText" text="No se pudo ejecutar">
      <formula>NOT(ISERROR(SEARCH("No se pudo ejecutar",V171)))</formula>
    </cfRule>
    <cfRule type="containsText" dxfId="7208" priority="7497" operator="containsText" text="Pendiente">
      <formula>NOT(ISERROR(SEARCH("Pendiente",V171)))</formula>
    </cfRule>
    <cfRule type="containsText" dxfId="7207" priority="7498" operator="containsText" text="No Aplica">
      <formula>NOT(ISERROR(SEARCH("No Aplica",V171)))</formula>
    </cfRule>
    <cfRule type="containsText" dxfId="7206" priority="7499" operator="containsText" text="Fallido">
      <formula>NOT(ISERROR(SEARCH("Fallido",V171)))</formula>
    </cfRule>
    <cfRule type="containsText" dxfId="7205" priority="7500" operator="containsText" text="Éxitoso">
      <formula>NOT(ISERROR(SEARCH("Éxitoso",V171)))</formula>
    </cfRule>
  </conditionalFormatting>
  <conditionalFormatting sqref="W171">
    <cfRule type="containsText" dxfId="7204" priority="7491" operator="containsText" text="No se pudo ejecutar">
      <formula>NOT(ISERROR(SEARCH("No se pudo ejecutar",W171)))</formula>
    </cfRule>
    <cfRule type="containsText" dxfId="7203" priority="7492" operator="containsText" text="Pendiente">
      <formula>NOT(ISERROR(SEARCH("Pendiente",W171)))</formula>
    </cfRule>
    <cfRule type="containsText" dxfId="7202" priority="7493" operator="containsText" text="No Aplica">
      <formula>NOT(ISERROR(SEARCH("No Aplica",W171)))</formula>
    </cfRule>
    <cfRule type="containsText" dxfId="7201" priority="7494" operator="containsText" text="Fallido">
      <formula>NOT(ISERROR(SEARCH("Fallido",W171)))</formula>
    </cfRule>
    <cfRule type="containsText" dxfId="7200" priority="7495" operator="containsText" text="Éxitoso">
      <formula>NOT(ISERROR(SEARCH("Éxitoso",W171)))</formula>
    </cfRule>
  </conditionalFormatting>
  <conditionalFormatting sqref="M171">
    <cfRule type="containsText" dxfId="7199" priority="7486" operator="containsText" text="No se pudo ejecutar">
      <formula>NOT(ISERROR(SEARCH("No se pudo ejecutar",M171)))</formula>
    </cfRule>
    <cfRule type="containsText" dxfId="7198" priority="7487" operator="containsText" text="Pendiente">
      <formula>NOT(ISERROR(SEARCH("Pendiente",M171)))</formula>
    </cfRule>
    <cfRule type="containsText" dxfId="7197" priority="7488" operator="containsText" text="No Aplica">
      <formula>NOT(ISERROR(SEARCH("No Aplica",M171)))</formula>
    </cfRule>
    <cfRule type="containsText" dxfId="7196" priority="7489" operator="containsText" text="Fallido">
      <formula>NOT(ISERROR(SEARCH("Fallido",M171)))</formula>
    </cfRule>
    <cfRule type="containsText" dxfId="7195" priority="7490" operator="containsText" text="Éxitoso">
      <formula>NOT(ISERROR(SEARCH("Éxitoso",M171)))</formula>
    </cfRule>
  </conditionalFormatting>
  <conditionalFormatting sqref="G171">
    <cfRule type="containsText" dxfId="7194" priority="7483" operator="containsText" text="Bajo">
      <formula>NOT(ISERROR(SEARCH("Bajo",G171)))</formula>
    </cfRule>
    <cfRule type="containsText" dxfId="7193" priority="7484" operator="containsText" text="Medio">
      <formula>NOT(ISERROR(SEARCH("Medio",G171)))</formula>
    </cfRule>
    <cfRule type="containsText" dxfId="7192" priority="7485" operator="containsText" text="Alto">
      <formula>NOT(ISERROR(SEARCH("Alto",G171)))</formula>
    </cfRule>
  </conditionalFormatting>
  <conditionalFormatting sqref="N172">
    <cfRule type="containsText" dxfId="7191" priority="7478" operator="containsText" text="No se pudo ejecutar">
      <formula>NOT(ISERROR(SEARCH("No se pudo ejecutar",N172)))</formula>
    </cfRule>
    <cfRule type="containsText" dxfId="7190" priority="7479" operator="containsText" text="Pendiente">
      <formula>NOT(ISERROR(SEARCH("Pendiente",N172)))</formula>
    </cfRule>
    <cfRule type="containsText" dxfId="7189" priority="7480" operator="containsText" text="No Aplica">
      <formula>NOT(ISERROR(SEARCH("No Aplica",N172)))</formula>
    </cfRule>
    <cfRule type="containsText" dxfId="7188" priority="7481" operator="containsText" text="Fallido">
      <formula>NOT(ISERROR(SEARCH("Fallido",N172)))</formula>
    </cfRule>
    <cfRule type="containsText" dxfId="7187" priority="7482" operator="containsText" text="Éxitoso">
      <formula>NOT(ISERROR(SEARCH("Éxitoso",N172)))</formula>
    </cfRule>
  </conditionalFormatting>
  <conditionalFormatting sqref="O172">
    <cfRule type="containsText" dxfId="7186" priority="7473" operator="containsText" text="No se pudo ejecutar">
      <formula>NOT(ISERROR(SEARCH("No se pudo ejecutar",O172)))</formula>
    </cfRule>
    <cfRule type="containsText" dxfId="7185" priority="7474" operator="containsText" text="Pendiente">
      <formula>NOT(ISERROR(SEARCH("Pendiente",O172)))</formula>
    </cfRule>
    <cfRule type="containsText" dxfId="7184" priority="7475" operator="containsText" text="No Aplica">
      <formula>NOT(ISERROR(SEARCH("No Aplica",O172)))</formula>
    </cfRule>
    <cfRule type="containsText" dxfId="7183" priority="7476" operator="containsText" text="Fallido">
      <formula>NOT(ISERROR(SEARCH("Fallido",O172)))</formula>
    </cfRule>
    <cfRule type="containsText" dxfId="7182" priority="7477" operator="containsText" text="Éxitoso">
      <formula>NOT(ISERROR(SEARCH("Éxitoso",O172)))</formula>
    </cfRule>
  </conditionalFormatting>
  <conditionalFormatting sqref="P172">
    <cfRule type="containsText" dxfId="7181" priority="7468" operator="containsText" text="No se pudo ejecutar">
      <formula>NOT(ISERROR(SEARCH("No se pudo ejecutar",P172)))</formula>
    </cfRule>
    <cfRule type="containsText" dxfId="7180" priority="7469" operator="containsText" text="Pendiente">
      <formula>NOT(ISERROR(SEARCH("Pendiente",P172)))</formula>
    </cfRule>
    <cfRule type="containsText" dxfId="7179" priority="7470" operator="containsText" text="No Aplica">
      <formula>NOT(ISERROR(SEARCH("No Aplica",P172)))</formula>
    </cfRule>
    <cfRule type="containsText" dxfId="7178" priority="7471" operator="containsText" text="Fallido">
      <formula>NOT(ISERROR(SEARCH("Fallido",P172)))</formula>
    </cfRule>
    <cfRule type="containsText" dxfId="7177" priority="7472" operator="containsText" text="Éxitoso">
      <formula>NOT(ISERROR(SEARCH("Éxitoso",P172)))</formula>
    </cfRule>
  </conditionalFormatting>
  <conditionalFormatting sqref="Q172">
    <cfRule type="containsText" dxfId="7176" priority="7463" operator="containsText" text="No se pudo ejecutar">
      <formula>NOT(ISERROR(SEARCH("No se pudo ejecutar",Q172)))</formula>
    </cfRule>
    <cfRule type="containsText" dxfId="7175" priority="7464" operator="containsText" text="Pendiente">
      <formula>NOT(ISERROR(SEARCH("Pendiente",Q172)))</formula>
    </cfRule>
    <cfRule type="containsText" dxfId="7174" priority="7465" operator="containsText" text="No Aplica">
      <formula>NOT(ISERROR(SEARCH("No Aplica",Q172)))</formula>
    </cfRule>
    <cfRule type="containsText" dxfId="7173" priority="7466" operator="containsText" text="Fallido">
      <formula>NOT(ISERROR(SEARCH("Fallido",Q172)))</formula>
    </cfRule>
    <cfRule type="containsText" dxfId="7172" priority="7467" operator="containsText" text="Éxitoso">
      <formula>NOT(ISERROR(SEARCH("Éxitoso",Q172)))</formula>
    </cfRule>
  </conditionalFormatting>
  <conditionalFormatting sqref="R172">
    <cfRule type="containsText" dxfId="7171" priority="7458" operator="containsText" text="No se pudo ejecutar">
      <formula>NOT(ISERROR(SEARCH("No se pudo ejecutar",R172)))</formula>
    </cfRule>
    <cfRule type="containsText" dxfId="7170" priority="7459" operator="containsText" text="Pendiente">
      <formula>NOT(ISERROR(SEARCH("Pendiente",R172)))</formula>
    </cfRule>
    <cfRule type="containsText" dxfId="7169" priority="7460" operator="containsText" text="No Aplica">
      <formula>NOT(ISERROR(SEARCH("No Aplica",R172)))</formula>
    </cfRule>
    <cfRule type="containsText" dxfId="7168" priority="7461" operator="containsText" text="Fallido">
      <formula>NOT(ISERROR(SEARCH("Fallido",R172)))</formula>
    </cfRule>
    <cfRule type="containsText" dxfId="7167" priority="7462" operator="containsText" text="Éxitoso">
      <formula>NOT(ISERROR(SEARCH("Éxitoso",R172)))</formula>
    </cfRule>
  </conditionalFormatting>
  <conditionalFormatting sqref="S172">
    <cfRule type="containsText" dxfId="7166" priority="7453" operator="containsText" text="No se pudo ejecutar">
      <formula>NOT(ISERROR(SEARCH("No se pudo ejecutar",S172)))</formula>
    </cfRule>
    <cfRule type="containsText" dxfId="7165" priority="7454" operator="containsText" text="Pendiente">
      <formula>NOT(ISERROR(SEARCH("Pendiente",S172)))</formula>
    </cfRule>
    <cfRule type="containsText" dxfId="7164" priority="7455" operator="containsText" text="No Aplica">
      <formula>NOT(ISERROR(SEARCH("No Aplica",S172)))</formula>
    </cfRule>
    <cfRule type="containsText" dxfId="7163" priority="7456" operator="containsText" text="Fallido">
      <formula>NOT(ISERROR(SEARCH("Fallido",S172)))</formula>
    </cfRule>
    <cfRule type="containsText" dxfId="7162" priority="7457" operator="containsText" text="Éxitoso">
      <formula>NOT(ISERROR(SEARCH("Éxitoso",S172)))</formula>
    </cfRule>
  </conditionalFormatting>
  <conditionalFormatting sqref="T172">
    <cfRule type="containsText" dxfId="7161" priority="7448" operator="containsText" text="No se pudo ejecutar">
      <formula>NOT(ISERROR(SEARCH("No se pudo ejecutar",T172)))</formula>
    </cfRule>
    <cfRule type="containsText" dxfId="7160" priority="7449" operator="containsText" text="Pendiente">
      <formula>NOT(ISERROR(SEARCH("Pendiente",T172)))</formula>
    </cfRule>
    <cfRule type="containsText" dxfId="7159" priority="7450" operator="containsText" text="No Aplica">
      <formula>NOT(ISERROR(SEARCH("No Aplica",T172)))</formula>
    </cfRule>
    <cfRule type="containsText" dxfId="7158" priority="7451" operator="containsText" text="Fallido">
      <formula>NOT(ISERROR(SEARCH("Fallido",T172)))</formula>
    </cfRule>
    <cfRule type="containsText" dxfId="7157" priority="7452" operator="containsText" text="Éxitoso">
      <formula>NOT(ISERROR(SEARCH("Éxitoso",T172)))</formula>
    </cfRule>
  </conditionalFormatting>
  <conditionalFormatting sqref="U172">
    <cfRule type="containsText" dxfId="7156" priority="7443" operator="containsText" text="No se pudo ejecutar">
      <formula>NOT(ISERROR(SEARCH("No se pudo ejecutar",U172)))</formula>
    </cfRule>
    <cfRule type="containsText" dxfId="7155" priority="7444" operator="containsText" text="Pendiente">
      <formula>NOT(ISERROR(SEARCH("Pendiente",U172)))</formula>
    </cfRule>
    <cfRule type="containsText" dxfId="7154" priority="7445" operator="containsText" text="No Aplica">
      <formula>NOT(ISERROR(SEARCH("No Aplica",U172)))</formula>
    </cfRule>
    <cfRule type="containsText" dxfId="7153" priority="7446" operator="containsText" text="Fallido">
      <formula>NOT(ISERROR(SEARCH("Fallido",U172)))</formula>
    </cfRule>
    <cfRule type="containsText" dxfId="7152" priority="7447" operator="containsText" text="Éxitoso">
      <formula>NOT(ISERROR(SEARCH("Éxitoso",U172)))</formula>
    </cfRule>
  </conditionalFormatting>
  <conditionalFormatting sqref="V172">
    <cfRule type="containsText" dxfId="7151" priority="7438" operator="containsText" text="No se pudo ejecutar">
      <formula>NOT(ISERROR(SEARCH("No se pudo ejecutar",V172)))</formula>
    </cfRule>
    <cfRule type="containsText" dxfId="7150" priority="7439" operator="containsText" text="Pendiente">
      <formula>NOT(ISERROR(SEARCH("Pendiente",V172)))</formula>
    </cfRule>
    <cfRule type="containsText" dxfId="7149" priority="7440" operator="containsText" text="No Aplica">
      <formula>NOT(ISERROR(SEARCH("No Aplica",V172)))</formula>
    </cfRule>
    <cfRule type="containsText" dxfId="7148" priority="7441" operator="containsText" text="Fallido">
      <formula>NOT(ISERROR(SEARCH("Fallido",V172)))</formula>
    </cfRule>
    <cfRule type="containsText" dxfId="7147" priority="7442" operator="containsText" text="Éxitoso">
      <formula>NOT(ISERROR(SEARCH("Éxitoso",V172)))</formula>
    </cfRule>
  </conditionalFormatting>
  <conditionalFormatting sqref="W172">
    <cfRule type="containsText" dxfId="7146" priority="7433" operator="containsText" text="No se pudo ejecutar">
      <formula>NOT(ISERROR(SEARCH("No se pudo ejecutar",W172)))</formula>
    </cfRule>
    <cfRule type="containsText" dxfId="7145" priority="7434" operator="containsText" text="Pendiente">
      <formula>NOT(ISERROR(SEARCH("Pendiente",W172)))</formula>
    </cfRule>
    <cfRule type="containsText" dxfId="7144" priority="7435" operator="containsText" text="No Aplica">
      <formula>NOT(ISERROR(SEARCH("No Aplica",W172)))</formula>
    </cfRule>
    <cfRule type="containsText" dxfId="7143" priority="7436" operator="containsText" text="Fallido">
      <formula>NOT(ISERROR(SEARCH("Fallido",W172)))</formula>
    </cfRule>
    <cfRule type="containsText" dxfId="7142" priority="7437" operator="containsText" text="Éxitoso">
      <formula>NOT(ISERROR(SEARCH("Éxitoso",W172)))</formula>
    </cfRule>
  </conditionalFormatting>
  <conditionalFormatting sqref="M172">
    <cfRule type="containsText" dxfId="7141" priority="7428" operator="containsText" text="No se pudo ejecutar">
      <formula>NOT(ISERROR(SEARCH("No se pudo ejecutar",M172)))</formula>
    </cfRule>
    <cfRule type="containsText" dxfId="7140" priority="7429" operator="containsText" text="Pendiente">
      <formula>NOT(ISERROR(SEARCH("Pendiente",M172)))</formula>
    </cfRule>
    <cfRule type="containsText" dxfId="7139" priority="7430" operator="containsText" text="No Aplica">
      <formula>NOT(ISERROR(SEARCH("No Aplica",M172)))</formula>
    </cfRule>
    <cfRule type="containsText" dxfId="7138" priority="7431" operator="containsText" text="Fallido">
      <formula>NOT(ISERROR(SEARCH("Fallido",M172)))</formula>
    </cfRule>
    <cfRule type="containsText" dxfId="7137" priority="7432" operator="containsText" text="Éxitoso">
      <formula>NOT(ISERROR(SEARCH("Éxitoso",M172)))</formula>
    </cfRule>
  </conditionalFormatting>
  <conditionalFormatting sqref="G172">
    <cfRule type="containsText" dxfId="7136" priority="7425" operator="containsText" text="Bajo">
      <formula>NOT(ISERROR(SEARCH("Bajo",G172)))</formula>
    </cfRule>
    <cfRule type="containsText" dxfId="7135" priority="7426" operator="containsText" text="Medio">
      <formula>NOT(ISERROR(SEARCH("Medio",G172)))</formula>
    </cfRule>
    <cfRule type="containsText" dxfId="7134" priority="7427" operator="containsText" text="Alto">
      <formula>NOT(ISERROR(SEARCH("Alto",G172)))</formula>
    </cfRule>
  </conditionalFormatting>
  <conditionalFormatting sqref="N173">
    <cfRule type="containsText" dxfId="7133" priority="7420" operator="containsText" text="No se pudo ejecutar">
      <formula>NOT(ISERROR(SEARCH("No se pudo ejecutar",N173)))</formula>
    </cfRule>
    <cfRule type="containsText" dxfId="7132" priority="7421" operator="containsText" text="Pendiente">
      <formula>NOT(ISERROR(SEARCH("Pendiente",N173)))</formula>
    </cfRule>
    <cfRule type="containsText" dxfId="7131" priority="7422" operator="containsText" text="No Aplica">
      <formula>NOT(ISERROR(SEARCH("No Aplica",N173)))</formula>
    </cfRule>
    <cfRule type="containsText" dxfId="7130" priority="7423" operator="containsText" text="Fallido">
      <formula>NOT(ISERROR(SEARCH("Fallido",N173)))</formula>
    </cfRule>
    <cfRule type="containsText" dxfId="7129" priority="7424" operator="containsText" text="Éxitoso">
      <formula>NOT(ISERROR(SEARCH("Éxitoso",N173)))</formula>
    </cfRule>
  </conditionalFormatting>
  <conditionalFormatting sqref="O173">
    <cfRule type="containsText" dxfId="7128" priority="7415" operator="containsText" text="No se pudo ejecutar">
      <formula>NOT(ISERROR(SEARCH("No se pudo ejecutar",O173)))</formula>
    </cfRule>
    <cfRule type="containsText" dxfId="7127" priority="7416" operator="containsText" text="Pendiente">
      <formula>NOT(ISERROR(SEARCH("Pendiente",O173)))</formula>
    </cfRule>
    <cfRule type="containsText" dxfId="7126" priority="7417" operator="containsText" text="No Aplica">
      <formula>NOT(ISERROR(SEARCH("No Aplica",O173)))</formula>
    </cfRule>
    <cfRule type="containsText" dxfId="7125" priority="7418" operator="containsText" text="Fallido">
      <formula>NOT(ISERROR(SEARCH("Fallido",O173)))</formula>
    </cfRule>
    <cfRule type="containsText" dxfId="7124" priority="7419" operator="containsText" text="Éxitoso">
      <formula>NOT(ISERROR(SEARCH("Éxitoso",O173)))</formula>
    </cfRule>
  </conditionalFormatting>
  <conditionalFormatting sqref="P173">
    <cfRule type="containsText" dxfId="7123" priority="7410" operator="containsText" text="No se pudo ejecutar">
      <formula>NOT(ISERROR(SEARCH("No se pudo ejecutar",P173)))</formula>
    </cfRule>
    <cfRule type="containsText" dxfId="7122" priority="7411" operator="containsText" text="Pendiente">
      <formula>NOT(ISERROR(SEARCH("Pendiente",P173)))</formula>
    </cfRule>
    <cfRule type="containsText" dxfId="7121" priority="7412" operator="containsText" text="No Aplica">
      <formula>NOT(ISERROR(SEARCH("No Aplica",P173)))</formula>
    </cfRule>
    <cfRule type="containsText" dxfId="7120" priority="7413" operator="containsText" text="Fallido">
      <formula>NOT(ISERROR(SEARCH("Fallido",P173)))</formula>
    </cfRule>
    <cfRule type="containsText" dxfId="7119" priority="7414" operator="containsText" text="Éxitoso">
      <formula>NOT(ISERROR(SEARCH("Éxitoso",P173)))</formula>
    </cfRule>
  </conditionalFormatting>
  <conditionalFormatting sqref="Q173">
    <cfRule type="containsText" dxfId="7118" priority="7405" operator="containsText" text="No se pudo ejecutar">
      <formula>NOT(ISERROR(SEARCH("No se pudo ejecutar",Q173)))</formula>
    </cfRule>
    <cfRule type="containsText" dxfId="7117" priority="7406" operator="containsText" text="Pendiente">
      <formula>NOT(ISERROR(SEARCH("Pendiente",Q173)))</formula>
    </cfRule>
    <cfRule type="containsText" dxfId="7116" priority="7407" operator="containsText" text="No Aplica">
      <formula>NOT(ISERROR(SEARCH("No Aplica",Q173)))</formula>
    </cfRule>
    <cfRule type="containsText" dxfId="7115" priority="7408" operator="containsText" text="Fallido">
      <formula>NOT(ISERROR(SEARCH("Fallido",Q173)))</formula>
    </cfRule>
    <cfRule type="containsText" dxfId="7114" priority="7409" operator="containsText" text="Éxitoso">
      <formula>NOT(ISERROR(SEARCH("Éxitoso",Q173)))</formula>
    </cfRule>
  </conditionalFormatting>
  <conditionalFormatting sqref="R173">
    <cfRule type="containsText" dxfId="7113" priority="7400" operator="containsText" text="No se pudo ejecutar">
      <formula>NOT(ISERROR(SEARCH("No se pudo ejecutar",R173)))</formula>
    </cfRule>
    <cfRule type="containsText" dxfId="7112" priority="7401" operator="containsText" text="Pendiente">
      <formula>NOT(ISERROR(SEARCH("Pendiente",R173)))</formula>
    </cfRule>
    <cfRule type="containsText" dxfId="7111" priority="7402" operator="containsText" text="No Aplica">
      <formula>NOT(ISERROR(SEARCH("No Aplica",R173)))</formula>
    </cfRule>
    <cfRule type="containsText" dxfId="7110" priority="7403" operator="containsText" text="Fallido">
      <formula>NOT(ISERROR(SEARCH("Fallido",R173)))</formula>
    </cfRule>
    <cfRule type="containsText" dxfId="7109" priority="7404" operator="containsText" text="Éxitoso">
      <formula>NOT(ISERROR(SEARCH("Éxitoso",R173)))</formula>
    </cfRule>
  </conditionalFormatting>
  <conditionalFormatting sqref="S173">
    <cfRule type="containsText" dxfId="7108" priority="7395" operator="containsText" text="No se pudo ejecutar">
      <formula>NOT(ISERROR(SEARCH("No se pudo ejecutar",S173)))</formula>
    </cfRule>
    <cfRule type="containsText" dxfId="7107" priority="7396" operator="containsText" text="Pendiente">
      <formula>NOT(ISERROR(SEARCH("Pendiente",S173)))</formula>
    </cfRule>
    <cfRule type="containsText" dxfId="7106" priority="7397" operator="containsText" text="No Aplica">
      <formula>NOT(ISERROR(SEARCH("No Aplica",S173)))</formula>
    </cfRule>
    <cfRule type="containsText" dxfId="7105" priority="7398" operator="containsText" text="Fallido">
      <formula>NOT(ISERROR(SEARCH("Fallido",S173)))</formula>
    </cfRule>
    <cfRule type="containsText" dxfId="7104" priority="7399" operator="containsText" text="Éxitoso">
      <formula>NOT(ISERROR(SEARCH("Éxitoso",S173)))</formula>
    </cfRule>
  </conditionalFormatting>
  <conditionalFormatting sqref="T173">
    <cfRule type="containsText" dxfId="7103" priority="7390" operator="containsText" text="No se pudo ejecutar">
      <formula>NOT(ISERROR(SEARCH("No se pudo ejecutar",T173)))</formula>
    </cfRule>
    <cfRule type="containsText" dxfId="7102" priority="7391" operator="containsText" text="Pendiente">
      <formula>NOT(ISERROR(SEARCH("Pendiente",T173)))</formula>
    </cfRule>
    <cfRule type="containsText" dxfId="7101" priority="7392" operator="containsText" text="No Aplica">
      <formula>NOT(ISERROR(SEARCH("No Aplica",T173)))</formula>
    </cfRule>
    <cfRule type="containsText" dxfId="7100" priority="7393" operator="containsText" text="Fallido">
      <formula>NOT(ISERROR(SEARCH("Fallido",T173)))</formula>
    </cfRule>
    <cfRule type="containsText" dxfId="7099" priority="7394" operator="containsText" text="Éxitoso">
      <formula>NOT(ISERROR(SEARCH("Éxitoso",T173)))</formula>
    </cfRule>
  </conditionalFormatting>
  <conditionalFormatting sqref="U173">
    <cfRule type="containsText" dxfId="7098" priority="7385" operator="containsText" text="No se pudo ejecutar">
      <formula>NOT(ISERROR(SEARCH("No se pudo ejecutar",U173)))</formula>
    </cfRule>
    <cfRule type="containsText" dxfId="7097" priority="7386" operator="containsText" text="Pendiente">
      <formula>NOT(ISERROR(SEARCH("Pendiente",U173)))</formula>
    </cfRule>
    <cfRule type="containsText" dxfId="7096" priority="7387" operator="containsText" text="No Aplica">
      <formula>NOT(ISERROR(SEARCH("No Aplica",U173)))</formula>
    </cfRule>
    <cfRule type="containsText" dxfId="7095" priority="7388" operator="containsText" text="Fallido">
      <formula>NOT(ISERROR(SEARCH("Fallido",U173)))</formula>
    </cfRule>
    <cfRule type="containsText" dxfId="7094" priority="7389" operator="containsText" text="Éxitoso">
      <formula>NOT(ISERROR(SEARCH("Éxitoso",U173)))</formula>
    </cfRule>
  </conditionalFormatting>
  <conditionalFormatting sqref="V173">
    <cfRule type="containsText" dxfId="7093" priority="7380" operator="containsText" text="No se pudo ejecutar">
      <formula>NOT(ISERROR(SEARCH("No se pudo ejecutar",V173)))</formula>
    </cfRule>
    <cfRule type="containsText" dxfId="7092" priority="7381" operator="containsText" text="Pendiente">
      <formula>NOT(ISERROR(SEARCH("Pendiente",V173)))</formula>
    </cfRule>
    <cfRule type="containsText" dxfId="7091" priority="7382" operator="containsText" text="No Aplica">
      <formula>NOT(ISERROR(SEARCH("No Aplica",V173)))</formula>
    </cfRule>
    <cfRule type="containsText" dxfId="7090" priority="7383" operator="containsText" text="Fallido">
      <formula>NOT(ISERROR(SEARCH("Fallido",V173)))</formula>
    </cfRule>
    <cfRule type="containsText" dxfId="7089" priority="7384" operator="containsText" text="Éxitoso">
      <formula>NOT(ISERROR(SEARCH("Éxitoso",V173)))</formula>
    </cfRule>
  </conditionalFormatting>
  <conditionalFormatting sqref="W173">
    <cfRule type="containsText" dxfId="7088" priority="7375" operator="containsText" text="No se pudo ejecutar">
      <formula>NOT(ISERROR(SEARCH("No se pudo ejecutar",W173)))</formula>
    </cfRule>
    <cfRule type="containsText" dxfId="7087" priority="7376" operator="containsText" text="Pendiente">
      <formula>NOT(ISERROR(SEARCH("Pendiente",W173)))</formula>
    </cfRule>
    <cfRule type="containsText" dxfId="7086" priority="7377" operator="containsText" text="No Aplica">
      <formula>NOT(ISERROR(SEARCH("No Aplica",W173)))</formula>
    </cfRule>
    <cfRule type="containsText" dxfId="7085" priority="7378" operator="containsText" text="Fallido">
      <formula>NOT(ISERROR(SEARCH("Fallido",W173)))</formula>
    </cfRule>
    <cfRule type="containsText" dxfId="7084" priority="7379" operator="containsText" text="Éxitoso">
      <formula>NOT(ISERROR(SEARCH("Éxitoso",W173)))</formula>
    </cfRule>
  </conditionalFormatting>
  <conditionalFormatting sqref="M173">
    <cfRule type="containsText" dxfId="7083" priority="7370" operator="containsText" text="No se pudo ejecutar">
      <formula>NOT(ISERROR(SEARCH("No se pudo ejecutar",M173)))</formula>
    </cfRule>
    <cfRule type="containsText" dxfId="7082" priority="7371" operator="containsText" text="Pendiente">
      <formula>NOT(ISERROR(SEARCH("Pendiente",M173)))</formula>
    </cfRule>
    <cfRule type="containsText" dxfId="7081" priority="7372" operator="containsText" text="No Aplica">
      <formula>NOT(ISERROR(SEARCH("No Aplica",M173)))</formula>
    </cfRule>
    <cfRule type="containsText" dxfId="7080" priority="7373" operator="containsText" text="Fallido">
      <formula>NOT(ISERROR(SEARCH("Fallido",M173)))</formula>
    </cfRule>
    <cfRule type="containsText" dxfId="7079" priority="7374" operator="containsText" text="Éxitoso">
      <formula>NOT(ISERROR(SEARCH("Éxitoso",M173)))</formula>
    </cfRule>
  </conditionalFormatting>
  <conditionalFormatting sqref="G173">
    <cfRule type="containsText" dxfId="7078" priority="7367" operator="containsText" text="Bajo">
      <formula>NOT(ISERROR(SEARCH("Bajo",G173)))</formula>
    </cfRule>
    <cfRule type="containsText" dxfId="7077" priority="7368" operator="containsText" text="Medio">
      <formula>NOT(ISERROR(SEARCH("Medio",G173)))</formula>
    </cfRule>
    <cfRule type="containsText" dxfId="7076" priority="7369" operator="containsText" text="Alto">
      <formula>NOT(ISERROR(SEARCH("Alto",G173)))</formula>
    </cfRule>
  </conditionalFormatting>
  <conditionalFormatting sqref="N174">
    <cfRule type="containsText" dxfId="7075" priority="7362" operator="containsText" text="No se pudo ejecutar">
      <formula>NOT(ISERROR(SEARCH("No se pudo ejecutar",N174)))</formula>
    </cfRule>
    <cfRule type="containsText" dxfId="7074" priority="7363" operator="containsText" text="Pendiente">
      <formula>NOT(ISERROR(SEARCH("Pendiente",N174)))</formula>
    </cfRule>
    <cfRule type="containsText" dxfId="7073" priority="7364" operator="containsText" text="No Aplica">
      <formula>NOT(ISERROR(SEARCH("No Aplica",N174)))</formula>
    </cfRule>
    <cfRule type="containsText" dxfId="7072" priority="7365" operator="containsText" text="Fallido">
      <formula>NOT(ISERROR(SEARCH("Fallido",N174)))</formula>
    </cfRule>
    <cfRule type="containsText" dxfId="7071" priority="7366" operator="containsText" text="Éxitoso">
      <formula>NOT(ISERROR(SEARCH("Éxitoso",N174)))</formula>
    </cfRule>
  </conditionalFormatting>
  <conditionalFormatting sqref="O174">
    <cfRule type="containsText" dxfId="7070" priority="7357" operator="containsText" text="No se pudo ejecutar">
      <formula>NOT(ISERROR(SEARCH("No se pudo ejecutar",O174)))</formula>
    </cfRule>
    <cfRule type="containsText" dxfId="7069" priority="7358" operator="containsText" text="Pendiente">
      <formula>NOT(ISERROR(SEARCH("Pendiente",O174)))</formula>
    </cfRule>
    <cfRule type="containsText" dxfId="7068" priority="7359" operator="containsText" text="No Aplica">
      <formula>NOT(ISERROR(SEARCH("No Aplica",O174)))</formula>
    </cfRule>
    <cfRule type="containsText" dxfId="7067" priority="7360" operator="containsText" text="Fallido">
      <formula>NOT(ISERROR(SEARCH("Fallido",O174)))</formula>
    </cfRule>
    <cfRule type="containsText" dxfId="7066" priority="7361" operator="containsText" text="Éxitoso">
      <formula>NOT(ISERROR(SEARCH("Éxitoso",O174)))</formula>
    </cfRule>
  </conditionalFormatting>
  <conditionalFormatting sqref="P174">
    <cfRule type="containsText" dxfId="7065" priority="7352" operator="containsText" text="No se pudo ejecutar">
      <formula>NOT(ISERROR(SEARCH("No se pudo ejecutar",P174)))</formula>
    </cfRule>
    <cfRule type="containsText" dxfId="7064" priority="7353" operator="containsText" text="Pendiente">
      <formula>NOT(ISERROR(SEARCH("Pendiente",P174)))</formula>
    </cfRule>
    <cfRule type="containsText" dxfId="7063" priority="7354" operator="containsText" text="No Aplica">
      <formula>NOT(ISERROR(SEARCH("No Aplica",P174)))</formula>
    </cfRule>
    <cfRule type="containsText" dxfId="7062" priority="7355" operator="containsText" text="Fallido">
      <formula>NOT(ISERROR(SEARCH("Fallido",P174)))</formula>
    </cfRule>
    <cfRule type="containsText" dxfId="7061" priority="7356" operator="containsText" text="Éxitoso">
      <formula>NOT(ISERROR(SEARCH("Éxitoso",P174)))</formula>
    </cfRule>
  </conditionalFormatting>
  <conditionalFormatting sqref="Q174">
    <cfRule type="containsText" dxfId="7060" priority="7347" operator="containsText" text="No se pudo ejecutar">
      <formula>NOT(ISERROR(SEARCH("No se pudo ejecutar",Q174)))</formula>
    </cfRule>
    <cfRule type="containsText" dxfId="7059" priority="7348" operator="containsText" text="Pendiente">
      <formula>NOT(ISERROR(SEARCH("Pendiente",Q174)))</formula>
    </cfRule>
    <cfRule type="containsText" dxfId="7058" priority="7349" operator="containsText" text="No Aplica">
      <formula>NOT(ISERROR(SEARCH("No Aplica",Q174)))</formula>
    </cfRule>
    <cfRule type="containsText" dxfId="7057" priority="7350" operator="containsText" text="Fallido">
      <formula>NOT(ISERROR(SEARCH("Fallido",Q174)))</formula>
    </cfRule>
    <cfRule type="containsText" dxfId="7056" priority="7351" operator="containsText" text="Éxitoso">
      <formula>NOT(ISERROR(SEARCH("Éxitoso",Q174)))</formula>
    </cfRule>
  </conditionalFormatting>
  <conditionalFormatting sqref="R174">
    <cfRule type="containsText" dxfId="7055" priority="7342" operator="containsText" text="No se pudo ejecutar">
      <formula>NOT(ISERROR(SEARCH("No se pudo ejecutar",R174)))</formula>
    </cfRule>
    <cfRule type="containsText" dxfId="7054" priority="7343" operator="containsText" text="Pendiente">
      <formula>NOT(ISERROR(SEARCH("Pendiente",R174)))</formula>
    </cfRule>
    <cfRule type="containsText" dxfId="7053" priority="7344" operator="containsText" text="No Aplica">
      <formula>NOT(ISERROR(SEARCH("No Aplica",R174)))</formula>
    </cfRule>
    <cfRule type="containsText" dxfId="7052" priority="7345" operator="containsText" text="Fallido">
      <formula>NOT(ISERROR(SEARCH("Fallido",R174)))</formula>
    </cfRule>
    <cfRule type="containsText" dxfId="7051" priority="7346" operator="containsText" text="Éxitoso">
      <formula>NOT(ISERROR(SEARCH("Éxitoso",R174)))</formula>
    </cfRule>
  </conditionalFormatting>
  <conditionalFormatting sqref="S174">
    <cfRule type="containsText" dxfId="7050" priority="7337" operator="containsText" text="No se pudo ejecutar">
      <formula>NOT(ISERROR(SEARCH("No se pudo ejecutar",S174)))</formula>
    </cfRule>
    <cfRule type="containsText" dxfId="7049" priority="7338" operator="containsText" text="Pendiente">
      <formula>NOT(ISERROR(SEARCH("Pendiente",S174)))</formula>
    </cfRule>
    <cfRule type="containsText" dxfId="7048" priority="7339" operator="containsText" text="No Aplica">
      <formula>NOT(ISERROR(SEARCH("No Aplica",S174)))</formula>
    </cfRule>
    <cfRule type="containsText" dxfId="7047" priority="7340" operator="containsText" text="Fallido">
      <formula>NOT(ISERROR(SEARCH("Fallido",S174)))</formula>
    </cfRule>
    <cfRule type="containsText" dxfId="7046" priority="7341" operator="containsText" text="Éxitoso">
      <formula>NOT(ISERROR(SEARCH("Éxitoso",S174)))</formula>
    </cfRule>
  </conditionalFormatting>
  <conditionalFormatting sqref="T174">
    <cfRule type="containsText" dxfId="7045" priority="7332" operator="containsText" text="No se pudo ejecutar">
      <formula>NOT(ISERROR(SEARCH("No se pudo ejecutar",T174)))</formula>
    </cfRule>
    <cfRule type="containsText" dxfId="7044" priority="7333" operator="containsText" text="Pendiente">
      <formula>NOT(ISERROR(SEARCH("Pendiente",T174)))</formula>
    </cfRule>
    <cfRule type="containsText" dxfId="7043" priority="7334" operator="containsText" text="No Aplica">
      <formula>NOT(ISERROR(SEARCH("No Aplica",T174)))</formula>
    </cfRule>
    <cfRule type="containsText" dxfId="7042" priority="7335" operator="containsText" text="Fallido">
      <formula>NOT(ISERROR(SEARCH("Fallido",T174)))</formula>
    </cfRule>
    <cfRule type="containsText" dxfId="7041" priority="7336" operator="containsText" text="Éxitoso">
      <formula>NOT(ISERROR(SEARCH("Éxitoso",T174)))</formula>
    </cfRule>
  </conditionalFormatting>
  <conditionalFormatting sqref="U174">
    <cfRule type="containsText" dxfId="7040" priority="7327" operator="containsText" text="No se pudo ejecutar">
      <formula>NOT(ISERROR(SEARCH("No se pudo ejecutar",U174)))</formula>
    </cfRule>
    <cfRule type="containsText" dxfId="7039" priority="7328" operator="containsText" text="Pendiente">
      <formula>NOT(ISERROR(SEARCH("Pendiente",U174)))</formula>
    </cfRule>
    <cfRule type="containsText" dxfId="7038" priority="7329" operator="containsText" text="No Aplica">
      <formula>NOT(ISERROR(SEARCH("No Aplica",U174)))</formula>
    </cfRule>
    <cfRule type="containsText" dxfId="7037" priority="7330" operator="containsText" text="Fallido">
      <formula>NOT(ISERROR(SEARCH("Fallido",U174)))</formula>
    </cfRule>
    <cfRule type="containsText" dxfId="7036" priority="7331" operator="containsText" text="Éxitoso">
      <formula>NOT(ISERROR(SEARCH("Éxitoso",U174)))</formula>
    </cfRule>
  </conditionalFormatting>
  <conditionalFormatting sqref="V174">
    <cfRule type="containsText" dxfId="7035" priority="7322" operator="containsText" text="No se pudo ejecutar">
      <formula>NOT(ISERROR(SEARCH("No se pudo ejecutar",V174)))</formula>
    </cfRule>
    <cfRule type="containsText" dxfId="7034" priority="7323" operator="containsText" text="Pendiente">
      <formula>NOT(ISERROR(SEARCH("Pendiente",V174)))</formula>
    </cfRule>
    <cfRule type="containsText" dxfId="7033" priority="7324" operator="containsText" text="No Aplica">
      <formula>NOT(ISERROR(SEARCH("No Aplica",V174)))</formula>
    </cfRule>
    <cfRule type="containsText" dxfId="7032" priority="7325" operator="containsText" text="Fallido">
      <formula>NOT(ISERROR(SEARCH("Fallido",V174)))</formula>
    </cfRule>
    <cfRule type="containsText" dxfId="7031" priority="7326" operator="containsText" text="Éxitoso">
      <formula>NOT(ISERROR(SEARCH("Éxitoso",V174)))</formula>
    </cfRule>
  </conditionalFormatting>
  <conditionalFormatting sqref="W174">
    <cfRule type="containsText" dxfId="7030" priority="7317" operator="containsText" text="No se pudo ejecutar">
      <formula>NOT(ISERROR(SEARCH("No se pudo ejecutar",W174)))</formula>
    </cfRule>
    <cfRule type="containsText" dxfId="7029" priority="7318" operator="containsText" text="Pendiente">
      <formula>NOT(ISERROR(SEARCH("Pendiente",W174)))</formula>
    </cfRule>
    <cfRule type="containsText" dxfId="7028" priority="7319" operator="containsText" text="No Aplica">
      <formula>NOT(ISERROR(SEARCH("No Aplica",W174)))</formula>
    </cfRule>
    <cfRule type="containsText" dxfId="7027" priority="7320" operator="containsText" text="Fallido">
      <formula>NOT(ISERROR(SEARCH("Fallido",W174)))</formula>
    </cfRule>
    <cfRule type="containsText" dxfId="7026" priority="7321" operator="containsText" text="Éxitoso">
      <formula>NOT(ISERROR(SEARCH("Éxitoso",W174)))</formula>
    </cfRule>
  </conditionalFormatting>
  <conditionalFormatting sqref="M174">
    <cfRule type="containsText" dxfId="7025" priority="7312" operator="containsText" text="No se pudo ejecutar">
      <formula>NOT(ISERROR(SEARCH("No se pudo ejecutar",M174)))</formula>
    </cfRule>
    <cfRule type="containsText" dxfId="7024" priority="7313" operator="containsText" text="Pendiente">
      <formula>NOT(ISERROR(SEARCH("Pendiente",M174)))</formula>
    </cfRule>
    <cfRule type="containsText" dxfId="7023" priority="7314" operator="containsText" text="No Aplica">
      <formula>NOT(ISERROR(SEARCH("No Aplica",M174)))</formula>
    </cfRule>
    <cfRule type="containsText" dxfId="7022" priority="7315" operator="containsText" text="Fallido">
      <formula>NOT(ISERROR(SEARCH("Fallido",M174)))</formula>
    </cfRule>
    <cfRule type="containsText" dxfId="7021" priority="7316" operator="containsText" text="Éxitoso">
      <formula>NOT(ISERROR(SEARCH("Éxitoso",M174)))</formula>
    </cfRule>
  </conditionalFormatting>
  <conditionalFormatting sqref="G174">
    <cfRule type="containsText" dxfId="7020" priority="7309" operator="containsText" text="Bajo">
      <formula>NOT(ISERROR(SEARCH("Bajo",G174)))</formula>
    </cfRule>
    <cfRule type="containsText" dxfId="7019" priority="7310" operator="containsText" text="Medio">
      <formula>NOT(ISERROR(SEARCH("Medio",G174)))</formula>
    </cfRule>
    <cfRule type="containsText" dxfId="7018" priority="7311" operator="containsText" text="Alto">
      <formula>NOT(ISERROR(SEARCH("Alto",G174)))</formula>
    </cfRule>
  </conditionalFormatting>
  <conditionalFormatting sqref="N175">
    <cfRule type="containsText" dxfId="7017" priority="7304" operator="containsText" text="No se pudo ejecutar">
      <formula>NOT(ISERROR(SEARCH("No se pudo ejecutar",N175)))</formula>
    </cfRule>
    <cfRule type="containsText" dxfId="7016" priority="7305" operator="containsText" text="Pendiente">
      <formula>NOT(ISERROR(SEARCH("Pendiente",N175)))</formula>
    </cfRule>
    <cfRule type="containsText" dxfId="7015" priority="7306" operator="containsText" text="No Aplica">
      <formula>NOT(ISERROR(SEARCH("No Aplica",N175)))</formula>
    </cfRule>
    <cfRule type="containsText" dxfId="7014" priority="7307" operator="containsText" text="Fallido">
      <formula>NOT(ISERROR(SEARCH("Fallido",N175)))</formula>
    </cfRule>
    <cfRule type="containsText" dxfId="7013" priority="7308" operator="containsText" text="Éxitoso">
      <formula>NOT(ISERROR(SEARCH("Éxitoso",N175)))</formula>
    </cfRule>
  </conditionalFormatting>
  <conditionalFormatting sqref="O175">
    <cfRule type="containsText" dxfId="7012" priority="7299" operator="containsText" text="No se pudo ejecutar">
      <formula>NOT(ISERROR(SEARCH("No se pudo ejecutar",O175)))</formula>
    </cfRule>
    <cfRule type="containsText" dxfId="7011" priority="7300" operator="containsText" text="Pendiente">
      <formula>NOT(ISERROR(SEARCH("Pendiente",O175)))</formula>
    </cfRule>
    <cfRule type="containsText" dxfId="7010" priority="7301" operator="containsText" text="No Aplica">
      <formula>NOT(ISERROR(SEARCH("No Aplica",O175)))</formula>
    </cfRule>
    <cfRule type="containsText" dxfId="7009" priority="7302" operator="containsText" text="Fallido">
      <formula>NOT(ISERROR(SEARCH("Fallido",O175)))</formula>
    </cfRule>
    <cfRule type="containsText" dxfId="7008" priority="7303" operator="containsText" text="Éxitoso">
      <formula>NOT(ISERROR(SEARCH("Éxitoso",O175)))</formula>
    </cfRule>
  </conditionalFormatting>
  <conditionalFormatting sqref="P175">
    <cfRule type="containsText" dxfId="7007" priority="7294" operator="containsText" text="No se pudo ejecutar">
      <formula>NOT(ISERROR(SEARCH("No se pudo ejecutar",P175)))</formula>
    </cfRule>
    <cfRule type="containsText" dxfId="7006" priority="7295" operator="containsText" text="Pendiente">
      <formula>NOT(ISERROR(SEARCH("Pendiente",P175)))</formula>
    </cfRule>
    <cfRule type="containsText" dxfId="7005" priority="7296" operator="containsText" text="No Aplica">
      <formula>NOT(ISERROR(SEARCH("No Aplica",P175)))</formula>
    </cfRule>
    <cfRule type="containsText" dxfId="7004" priority="7297" operator="containsText" text="Fallido">
      <formula>NOT(ISERROR(SEARCH("Fallido",P175)))</formula>
    </cfRule>
    <cfRule type="containsText" dxfId="7003" priority="7298" operator="containsText" text="Éxitoso">
      <formula>NOT(ISERROR(SEARCH("Éxitoso",P175)))</formula>
    </cfRule>
  </conditionalFormatting>
  <conditionalFormatting sqref="Q175">
    <cfRule type="containsText" dxfId="7002" priority="7289" operator="containsText" text="No se pudo ejecutar">
      <formula>NOT(ISERROR(SEARCH("No se pudo ejecutar",Q175)))</formula>
    </cfRule>
    <cfRule type="containsText" dxfId="7001" priority="7290" operator="containsText" text="Pendiente">
      <formula>NOT(ISERROR(SEARCH("Pendiente",Q175)))</formula>
    </cfRule>
    <cfRule type="containsText" dxfId="7000" priority="7291" operator="containsText" text="No Aplica">
      <formula>NOT(ISERROR(SEARCH("No Aplica",Q175)))</formula>
    </cfRule>
    <cfRule type="containsText" dxfId="6999" priority="7292" operator="containsText" text="Fallido">
      <formula>NOT(ISERROR(SEARCH("Fallido",Q175)))</formula>
    </cfRule>
    <cfRule type="containsText" dxfId="6998" priority="7293" operator="containsText" text="Éxitoso">
      <formula>NOT(ISERROR(SEARCH("Éxitoso",Q175)))</formula>
    </cfRule>
  </conditionalFormatting>
  <conditionalFormatting sqref="R175">
    <cfRule type="containsText" dxfId="6997" priority="7284" operator="containsText" text="No se pudo ejecutar">
      <formula>NOT(ISERROR(SEARCH("No se pudo ejecutar",R175)))</formula>
    </cfRule>
    <cfRule type="containsText" dxfId="6996" priority="7285" operator="containsText" text="Pendiente">
      <formula>NOT(ISERROR(SEARCH("Pendiente",R175)))</formula>
    </cfRule>
    <cfRule type="containsText" dxfId="6995" priority="7286" operator="containsText" text="No Aplica">
      <formula>NOT(ISERROR(SEARCH("No Aplica",R175)))</formula>
    </cfRule>
    <cfRule type="containsText" dxfId="6994" priority="7287" operator="containsText" text="Fallido">
      <formula>NOT(ISERROR(SEARCH("Fallido",R175)))</formula>
    </cfRule>
    <cfRule type="containsText" dxfId="6993" priority="7288" operator="containsText" text="Éxitoso">
      <formula>NOT(ISERROR(SEARCH("Éxitoso",R175)))</formula>
    </cfRule>
  </conditionalFormatting>
  <conditionalFormatting sqref="S175">
    <cfRule type="containsText" dxfId="6992" priority="7279" operator="containsText" text="No se pudo ejecutar">
      <formula>NOT(ISERROR(SEARCH("No se pudo ejecutar",S175)))</formula>
    </cfRule>
    <cfRule type="containsText" dxfId="6991" priority="7280" operator="containsText" text="Pendiente">
      <formula>NOT(ISERROR(SEARCH("Pendiente",S175)))</formula>
    </cfRule>
    <cfRule type="containsText" dxfId="6990" priority="7281" operator="containsText" text="No Aplica">
      <formula>NOT(ISERROR(SEARCH("No Aplica",S175)))</formula>
    </cfRule>
    <cfRule type="containsText" dxfId="6989" priority="7282" operator="containsText" text="Fallido">
      <formula>NOT(ISERROR(SEARCH("Fallido",S175)))</formula>
    </cfRule>
    <cfRule type="containsText" dxfId="6988" priority="7283" operator="containsText" text="Éxitoso">
      <formula>NOT(ISERROR(SEARCH("Éxitoso",S175)))</formula>
    </cfRule>
  </conditionalFormatting>
  <conditionalFormatting sqref="T175">
    <cfRule type="containsText" dxfId="6987" priority="7274" operator="containsText" text="No se pudo ejecutar">
      <formula>NOT(ISERROR(SEARCH("No se pudo ejecutar",T175)))</formula>
    </cfRule>
    <cfRule type="containsText" dxfId="6986" priority="7275" operator="containsText" text="Pendiente">
      <formula>NOT(ISERROR(SEARCH("Pendiente",T175)))</formula>
    </cfRule>
    <cfRule type="containsText" dxfId="6985" priority="7276" operator="containsText" text="No Aplica">
      <formula>NOT(ISERROR(SEARCH("No Aplica",T175)))</formula>
    </cfRule>
    <cfRule type="containsText" dxfId="6984" priority="7277" operator="containsText" text="Fallido">
      <formula>NOT(ISERROR(SEARCH("Fallido",T175)))</formula>
    </cfRule>
    <cfRule type="containsText" dxfId="6983" priority="7278" operator="containsText" text="Éxitoso">
      <formula>NOT(ISERROR(SEARCH("Éxitoso",T175)))</formula>
    </cfRule>
  </conditionalFormatting>
  <conditionalFormatting sqref="U175">
    <cfRule type="containsText" dxfId="6982" priority="7269" operator="containsText" text="No se pudo ejecutar">
      <formula>NOT(ISERROR(SEARCH("No se pudo ejecutar",U175)))</formula>
    </cfRule>
    <cfRule type="containsText" dxfId="6981" priority="7270" operator="containsText" text="Pendiente">
      <formula>NOT(ISERROR(SEARCH("Pendiente",U175)))</formula>
    </cfRule>
    <cfRule type="containsText" dxfId="6980" priority="7271" operator="containsText" text="No Aplica">
      <formula>NOT(ISERROR(SEARCH("No Aplica",U175)))</formula>
    </cfRule>
    <cfRule type="containsText" dxfId="6979" priority="7272" operator="containsText" text="Fallido">
      <formula>NOT(ISERROR(SEARCH("Fallido",U175)))</formula>
    </cfRule>
    <cfRule type="containsText" dxfId="6978" priority="7273" operator="containsText" text="Éxitoso">
      <formula>NOT(ISERROR(SEARCH("Éxitoso",U175)))</formula>
    </cfRule>
  </conditionalFormatting>
  <conditionalFormatting sqref="V175">
    <cfRule type="containsText" dxfId="6977" priority="7264" operator="containsText" text="No se pudo ejecutar">
      <formula>NOT(ISERROR(SEARCH("No se pudo ejecutar",V175)))</formula>
    </cfRule>
    <cfRule type="containsText" dxfId="6976" priority="7265" operator="containsText" text="Pendiente">
      <formula>NOT(ISERROR(SEARCH("Pendiente",V175)))</formula>
    </cfRule>
    <cfRule type="containsText" dxfId="6975" priority="7266" operator="containsText" text="No Aplica">
      <formula>NOT(ISERROR(SEARCH("No Aplica",V175)))</formula>
    </cfRule>
    <cfRule type="containsText" dxfId="6974" priority="7267" operator="containsText" text="Fallido">
      <formula>NOT(ISERROR(SEARCH("Fallido",V175)))</formula>
    </cfRule>
    <cfRule type="containsText" dxfId="6973" priority="7268" operator="containsText" text="Éxitoso">
      <formula>NOT(ISERROR(SEARCH("Éxitoso",V175)))</formula>
    </cfRule>
  </conditionalFormatting>
  <conditionalFormatting sqref="W175">
    <cfRule type="containsText" dxfId="6972" priority="7259" operator="containsText" text="No se pudo ejecutar">
      <formula>NOT(ISERROR(SEARCH("No se pudo ejecutar",W175)))</formula>
    </cfRule>
    <cfRule type="containsText" dxfId="6971" priority="7260" operator="containsText" text="Pendiente">
      <formula>NOT(ISERROR(SEARCH("Pendiente",W175)))</formula>
    </cfRule>
    <cfRule type="containsText" dxfId="6970" priority="7261" operator="containsText" text="No Aplica">
      <formula>NOT(ISERROR(SEARCH("No Aplica",W175)))</formula>
    </cfRule>
    <cfRule type="containsText" dxfId="6969" priority="7262" operator="containsText" text="Fallido">
      <formula>NOT(ISERROR(SEARCH("Fallido",W175)))</formula>
    </cfRule>
    <cfRule type="containsText" dxfId="6968" priority="7263" operator="containsText" text="Éxitoso">
      <formula>NOT(ISERROR(SEARCH("Éxitoso",W175)))</formula>
    </cfRule>
  </conditionalFormatting>
  <conditionalFormatting sqref="M175">
    <cfRule type="containsText" dxfId="6967" priority="7254" operator="containsText" text="No se pudo ejecutar">
      <formula>NOT(ISERROR(SEARCH("No se pudo ejecutar",M175)))</formula>
    </cfRule>
    <cfRule type="containsText" dxfId="6966" priority="7255" operator="containsText" text="Pendiente">
      <formula>NOT(ISERROR(SEARCH("Pendiente",M175)))</formula>
    </cfRule>
    <cfRule type="containsText" dxfId="6965" priority="7256" operator="containsText" text="No Aplica">
      <formula>NOT(ISERROR(SEARCH("No Aplica",M175)))</formula>
    </cfRule>
    <cfRule type="containsText" dxfId="6964" priority="7257" operator="containsText" text="Fallido">
      <formula>NOT(ISERROR(SEARCH("Fallido",M175)))</formula>
    </cfRule>
    <cfRule type="containsText" dxfId="6963" priority="7258" operator="containsText" text="Éxitoso">
      <formula>NOT(ISERROR(SEARCH("Éxitoso",M175)))</formula>
    </cfRule>
  </conditionalFormatting>
  <conditionalFormatting sqref="G175">
    <cfRule type="containsText" dxfId="6962" priority="7251" operator="containsText" text="Bajo">
      <formula>NOT(ISERROR(SEARCH("Bajo",G175)))</formula>
    </cfRule>
    <cfRule type="containsText" dxfId="6961" priority="7252" operator="containsText" text="Medio">
      <formula>NOT(ISERROR(SEARCH("Medio",G175)))</formula>
    </cfRule>
    <cfRule type="containsText" dxfId="6960" priority="7253" operator="containsText" text="Alto">
      <formula>NOT(ISERROR(SEARCH("Alto",G175)))</formula>
    </cfRule>
  </conditionalFormatting>
  <conditionalFormatting sqref="N176">
    <cfRule type="containsText" dxfId="6959" priority="7246" operator="containsText" text="No se pudo ejecutar">
      <formula>NOT(ISERROR(SEARCH("No se pudo ejecutar",N176)))</formula>
    </cfRule>
    <cfRule type="containsText" dxfId="6958" priority="7247" operator="containsText" text="Pendiente">
      <formula>NOT(ISERROR(SEARCH("Pendiente",N176)))</formula>
    </cfRule>
    <cfRule type="containsText" dxfId="6957" priority="7248" operator="containsText" text="No Aplica">
      <formula>NOT(ISERROR(SEARCH("No Aplica",N176)))</formula>
    </cfRule>
    <cfRule type="containsText" dxfId="6956" priority="7249" operator="containsText" text="Fallido">
      <formula>NOT(ISERROR(SEARCH("Fallido",N176)))</formula>
    </cfRule>
    <cfRule type="containsText" dxfId="6955" priority="7250" operator="containsText" text="Éxitoso">
      <formula>NOT(ISERROR(SEARCH("Éxitoso",N176)))</formula>
    </cfRule>
  </conditionalFormatting>
  <conditionalFormatting sqref="O176">
    <cfRule type="containsText" dxfId="6954" priority="7241" operator="containsText" text="No se pudo ejecutar">
      <formula>NOT(ISERROR(SEARCH("No se pudo ejecutar",O176)))</formula>
    </cfRule>
    <cfRule type="containsText" dxfId="6953" priority="7242" operator="containsText" text="Pendiente">
      <formula>NOT(ISERROR(SEARCH("Pendiente",O176)))</formula>
    </cfRule>
    <cfRule type="containsText" dxfId="6952" priority="7243" operator="containsText" text="No Aplica">
      <formula>NOT(ISERROR(SEARCH("No Aplica",O176)))</formula>
    </cfRule>
    <cfRule type="containsText" dxfId="6951" priority="7244" operator="containsText" text="Fallido">
      <formula>NOT(ISERROR(SEARCH("Fallido",O176)))</formula>
    </cfRule>
    <cfRule type="containsText" dxfId="6950" priority="7245" operator="containsText" text="Éxitoso">
      <formula>NOT(ISERROR(SEARCH("Éxitoso",O176)))</formula>
    </cfRule>
  </conditionalFormatting>
  <conditionalFormatting sqref="P176">
    <cfRule type="containsText" dxfId="6949" priority="7236" operator="containsText" text="No se pudo ejecutar">
      <formula>NOT(ISERROR(SEARCH("No se pudo ejecutar",P176)))</formula>
    </cfRule>
    <cfRule type="containsText" dxfId="6948" priority="7237" operator="containsText" text="Pendiente">
      <formula>NOT(ISERROR(SEARCH("Pendiente",P176)))</formula>
    </cfRule>
    <cfRule type="containsText" dxfId="6947" priority="7238" operator="containsText" text="No Aplica">
      <formula>NOT(ISERROR(SEARCH("No Aplica",P176)))</formula>
    </cfRule>
    <cfRule type="containsText" dxfId="6946" priority="7239" operator="containsText" text="Fallido">
      <formula>NOT(ISERROR(SEARCH("Fallido",P176)))</formula>
    </cfRule>
    <cfRule type="containsText" dxfId="6945" priority="7240" operator="containsText" text="Éxitoso">
      <formula>NOT(ISERROR(SEARCH("Éxitoso",P176)))</formula>
    </cfRule>
  </conditionalFormatting>
  <conditionalFormatting sqref="Q176">
    <cfRule type="containsText" dxfId="6944" priority="7231" operator="containsText" text="No se pudo ejecutar">
      <formula>NOT(ISERROR(SEARCH("No se pudo ejecutar",Q176)))</formula>
    </cfRule>
    <cfRule type="containsText" dxfId="6943" priority="7232" operator="containsText" text="Pendiente">
      <formula>NOT(ISERROR(SEARCH("Pendiente",Q176)))</formula>
    </cfRule>
    <cfRule type="containsText" dxfId="6942" priority="7233" operator="containsText" text="No Aplica">
      <formula>NOT(ISERROR(SEARCH("No Aplica",Q176)))</formula>
    </cfRule>
    <cfRule type="containsText" dxfId="6941" priority="7234" operator="containsText" text="Fallido">
      <formula>NOT(ISERROR(SEARCH("Fallido",Q176)))</formula>
    </cfRule>
    <cfRule type="containsText" dxfId="6940" priority="7235" operator="containsText" text="Éxitoso">
      <formula>NOT(ISERROR(SEARCH("Éxitoso",Q176)))</formula>
    </cfRule>
  </conditionalFormatting>
  <conditionalFormatting sqref="R176">
    <cfRule type="containsText" dxfId="6939" priority="7226" operator="containsText" text="No se pudo ejecutar">
      <formula>NOT(ISERROR(SEARCH("No se pudo ejecutar",R176)))</formula>
    </cfRule>
    <cfRule type="containsText" dxfId="6938" priority="7227" operator="containsText" text="Pendiente">
      <formula>NOT(ISERROR(SEARCH("Pendiente",R176)))</formula>
    </cfRule>
    <cfRule type="containsText" dxfId="6937" priority="7228" operator="containsText" text="No Aplica">
      <formula>NOT(ISERROR(SEARCH("No Aplica",R176)))</formula>
    </cfRule>
    <cfRule type="containsText" dxfId="6936" priority="7229" operator="containsText" text="Fallido">
      <formula>NOT(ISERROR(SEARCH("Fallido",R176)))</formula>
    </cfRule>
    <cfRule type="containsText" dxfId="6935" priority="7230" operator="containsText" text="Éxitoso">
      <formula>NOT(ISERROR(SEARCH("Éxitoso",R176)))</formula>
    </cfRule>
  </conditionalFormatting>
  <conditionalFormatting sqref="S176">
    <cfRule type="containsText" dxfId="6934" priority="7221" operator="containsText" text="No se pudo ejecutar">
      <formula>NOT(ISERROR(SEARCH("No se pudo ejecutar",S176)))</formula>
    </cfRule>
    <cfRule type="containsText" dxfId="6933" priority="7222" operator="containsText" text="Pendiente">
      <formula>NOT(ISERROR(SEARCH("Pendiente",S176)))</formula>
    </cfRule>
    <cfRule type="containsText" dxfId="6932" priority="7223" operator="containsText" text="No Aplica">
      <formula>NOT(ISERROR(SEARCH("No Aplica",S176)))</formula>
    </cfRule>
    <cfRule type="containsText" dxfId="6931" priority="7224" operator="containsText" text="Fallido">
      <formula>NOT(ISERROR(SEARCH("Fallido",S176)))</formula>
    </cfRule>
    <cfRule type="containsText" dxfId="6930" priority="7225" operator="containsText" text="Éxitoso">
      <formula>NOT(ISERROR(SEARCH("Éxitoso",S176)))</formula>
    </cfRule>
  </conditionalFormatting>
  <conditionalFormatting sqref="T176">
    <cfRule type="containsText" dxfId="6929" priority="7216" operator="containsText" text="No se pudo ejecutar">
      <formula>NOT(ISERROR(SEARCH("No se pudo ejecutar",T176)))</formula>
    </cfRule>
    <cfRule type="containsText" dxfId="6928" priority="7217" operator="containsText" text="Pendiente">
      <formula>NOT(ISERROR(SEARCH("Pendiente",T176)))</formula>
    </cfRule>
    <cfRule type="containsText" dxfId="6927" priority="7218" operator="containsText" text="No Aplica">
      <formula>NOT(ISERROR(SEARCH("No Aplica",T176)))</formula>
    </cfRule>
    <cfRule type="containsText" dxfId="6926" priority="7219" operator="containsText" text="Fallido">
      <formula>NOT(ISERROR(SEARCH("Fallido",T176)))</formula>
    </cfRule>
    <cfRule type="containsText" dxfId="6925" priority="7220" operator="containsText" text="Éxitoso">
      <formula>NOT(ISERROR(SEARCH("Éxitoso",T176)))</formula>
    </cfRule>
  </conditionalFormatting>
  <conditionalFormatting sqref="U176">
    <cfRule type="containsText" dxfId="6924" priority="7211" operator="containsText" text="No se pudo ejecutar">
      <formula>NOT(ISERROR(SEARCH("No se pudo ejecutar",U176)))</formula>
    </cfRule>
    <cfRule type="containsText" dxfId="6923" priority="7212" operator="containsText" text="Pendiente">
      <formula>NOT(ISERROR(SEARCH("Pendiente",U176)))</formula>
    </cfRule>
    <cfRule type="containsText" dxfId="6922" priority="7213" operator="containsText" text="No Aplica">
      <formula>NOT(ISERROR(SEARCH("No Aplica",U176)))</formula>
    </cfRule>
    <cfRule type="containsText" dxfId="6921" priority="7214" operator="containsText" text="Fallido">
      <formula>NOT(ISERROR(SEARCH("Fallido",U176)))</formula>
    </cfRule>
    <cfRule type="containsText" dxfId="6920" priority="7215" operator="containsText" text="Éxitoso">
      <formula>NOT(ISERROR(SEARCH("Éxitoso",U176)))</formula>
    </cfRule>
  </conditionalFormatting>
  <conditionalFormatting sqref="V176">
    <cfRule type="containsText" dxfId="6919" priority="7206" operator="containsText" text="No se pudo ejecutar">
      <formula>NOT(ISERROR(SEARCH("No se pudo ejecutar",V176)))</formula>
    </cfRule>
    <cfRule type="containsText" dxfId="6918" priority="7207" operator="containsText" text="Pendiente">
      <formula>NOT(ISERROR(SEARCH("Pendiente",V176)))</formula>
    </cfRule>
    <cfRule type="containsText" dxfId="6917" priority="7208" operator="containsText" text="No Aplica">
      <formula>NOT(ISERROR(SEARCH("No Aplica",V176)))</formula>
    </cfRule>
    <cfRule type="containsText" dxfId="6916" priority="7209" operator="containsText" text="Fallido">
      <formula>NOT(ISERROR(SEARCH("Fallido",V176)))</formula>
    </cfRule>
    <cfRule type="containsText" dxfId="6915" priority="7210" operator="containsText" text="Éxitoso">
      <formula>NOT(ISERROR(SEARCH("Éxitoso",V176)))</formula>
    </cfRule>
  </conditionalFormatting>
  <conditionalFormatting sqref="W176">
    <cfRule type="containsText" dxfId="6914" priority="7201" operator="containsText" text="No se pudo ejecutar">
      <formula>NOT(ISERROR(SEARCH("No se pudo ejecutar",W176)))</formula>
    </cfRule>
    <cfRule type="containsText" dxfId="6913" priority="7202" operator="containsText" text="Pendiente">
      <formula>NOT(ISERROR(SEARCH("Pendiente",W176)))</formula>
    </cfRule>
    <cfRule type="containsText" dxfId="6912" priority="7203" operator="containsText" text="No Aplica">
      <formula>NOT(ISERROR(SEARCH("No Aplica",W176)))</formula>
    </cfRule>
    <cfRule type="containsText" dxfId="6911" priority="7204" operator="containsText" text="Fallido">
      <formula>NOT(ISERROR(SEARCH("Fallido",W176)))</formula>
    </cfRule>
    <cfRule type="containsText" dxfId="6910" priority="7205" operator="containsText" text="Éxitoso">
      <formula>NOT(ISERROR(SEARCH("Éxitoso",W176)))</formula>
    </cfRule>
  </conditionalFormatting>
  <conditionalFormatting sqref="M176">
    <cfRule type="containsText" dxfId="6909" priority="7196" operator="containsText" text="No se pudo ejecutar">
      <formula>NOT(ISERROR(SEARCH("No se pudo ejecutar",M176)))</formula>
    </cfRule>
    <cfRule type="containsText" dxfId="6908" priority="7197" operator="containsText" text="Pendiente">
      <formula>NOT(ISERROR(SEARCH("Pendiente",M176)))</formula>
    </cfRule>
    <cfRule type="containsText" dxfId="6907" priority="7198" operator="containsText" text="No Aplica">
      <formula>NOT(ISERROR(SEARCH("No Aplica",M176)))</formula>
    </cfRule>
    <cfRule type="containsText" dxfId="6906" priority="7199" operator="containsText" text="Fallido">
      <formula>NOT(ISERROR(SEARCH("Fallido",M176)))</formula>
    </cfRule>
    <cfRule type="containsText" dxfId="6905" priority="7200" operator="containsText" text="Éxitoso">
      <formula>NOT(ISERROR(SEARCH("Éxitoso",M176)))</formula>
    </cfRule>
  </conditionalFormatting>
  <conditionalFormatting sqref="G176">
    <cfRule type="containsText" dxfId="6904" priority="7193" operator="containsText" text="Bajo">
      <formula>NOT(ISERROR(SEARCH("Bajo",G176)))</formula>
    </cfRule>
    <cfRule type="containsText" dxfId="6903" priority="7194" operator="containsText" text="Medio">
      <formula>NOT(ISERROR(SEARCH("Medio",G176)))</formula>
    </cfRule>
    <cfRule type="containsText" dxfId="6902" priority="7195" operator="containsText" text="Alto">
      <formula>NOT(ISERROR(SEARCH("Alto",G176)))</formula>
    </cfRule>
  </conditionalFormatting>
  <conditionalFormatting sqref="N177">
    <cfRule type="containsText" dxfId="6901" priority="7188" operator="containsText" text="No se pudo ejecutar">
      <formula>NOT(ISERROR(SEARCH("No se pudo ejecutar",N177)))</formula>
    </cfRule>
    <cfRule type="containsText" dxfId="6900" priority="7189" operator="containsText" text="Pendiente">
      <formula>NOT(ISERROR(SEARCH("Pendiente",N177)))</formula>
    </cfRule>
    <cfRule type="containsText" dxfId="6899" priority="7190" operator="containsText" text="No Aplica">
      <formula>NOT(ISERROR(SEARCH("No Aplica",N177)))</formula>
    </cfRule>
    <cfRule type="containsText" dxfId="6898" priority="7191" operator="containsText" text="Fallido">
      <formula>NOT(ISERROR(SEARCH("Fallido",N177)))</formula>
    </cfRule>
    <cfRule type="containsText" dxfId="6897" priority="7192" operator="containsText" text="Éxitoso">
      <formula>NOT(ISERROR(SEARCH("Éxitoso",N177)))</formula>
    </cfRule>
  </conditionalFormatting>
  <conditionalFormatting sqref="O177">
    <cfRule type="containsText" dxfId="6896" priority="7183" operator="containsText" text="No se pudo ejecutar">
      <formula>NOT(ISERROR(SEARCH("No se pudo ejecutar",O177)))</formula>
    </cfRule>
    <cfRule type="containsText" dxfId="6895" priority="7184" operator="containsText" text="Pendiente">
      <formula>NOT(ISERROR(SEARCH("Pendiente",O177)))</formula>
    </cfRule>
    <cfRule type="containsText" dxfId="6894" priority="7185" operator="containsText" text="No Aplica">
      <formula>NOT(ISERROR(SEARCH("No Aplica",O177)))</formula>
    </cfRule>
    <cfRule type="containsText" dxfId="6893" priority="7186" operator="containsText" text="Fallido">
      <formula>NOT(ISERROR(SEARCH("Fallido",O177)))</formula>
    </cfRule>
    <cfRule type="containsText" dxfId="6892" priority="7187" operator="containsText" text="Éxitoso">
      <formula>NOT(ISERROR(SEARCH("Éxitoso",O177)))</formula>
    </cfRule>
  </conditionalFormatting>
  <conditionalFormatting sqref="P177">
    <cfRule type="containsText" dxfId="6891" priority="7178" operator="containsText" text="No se pudo ejecutar">
      <formula>NOT(ISERROR(SEARCH("No se pudo ejecutar",P177)))</formula>
    </cfRule>
    <cfRule type="containsText" dxfId="6890" priority="7179" operator="containsText" text="Pendiente">
      <formula>NOT(ISERROR(SEARCH("Pendiente",P177)))</formula>
    </cfRule>
    <cfRule type="containsText" dxfId="6889" priority="7180" operator="containsText" text="No Aplica">
      <formula>NOT(ISERROR(SEARCH("No Aplica",P177)))</formula>
    </cfRule>
    <cfRule type="containsText" dxfId="6888" priority="7181" operator="containsText" text="Fallido">
      <formula>NOT(ISERROR(SEARCH("Fallido",P177)))</formula>
    </cfRule>
    <cfRule type="containsText" dxfId="6887" priority="7182" operator="containsText" text="Éxitoso">
      <formula>NOT(ISERROR(SEARCH("Éxitoso",P177)))</formula>
    </cfRule>
  </conditionalFormatting>
  <conditionalFormatting sqref="Q177">
    <cfRule type="containsText" dxfId="6886" priority="7173" operator="containsText" text="No se pudo ejecutar">
      <formula>NOT(ISERROR(SEARCH("No se pudo ejecutar",Q177)))</formula>
    </cfRule>
    <cfRule type="containsText" dxfId="6885" priority="7174" operator="containsText" text="Pendiente">
      <formula>NOT(ISERROR(SEARCH("Pendiente",Q177)))</formula>
    </cfRule>
    <cfRule type="containsText" dxfId="6884" priority="7175" operator="containsText" text="No Aplica">
      <formula>NOT(ISERROR(SEARCH("No Aplica",Q177)))</formula>
    </cfRule>
    <cfRule type="containsText" dxfId="6883" priority="7176" operator="containsText" text="Fallido">
      <formula>NOT(ISERROR(SEARCH("Fallido",Q177)))</formula>
    </cfRule>
    <cfRule type="containsText" dxfId="6882" priority="7177" operator="containsText" text="Éxitoso">
      <formula>NOT(ISERROR(SEARCH("Éxitoso",Q177)))</formula>
    </cfRule>
  </conditionalFormatting>
  <conditionalFormatting sqref="R177">
    <cfRule type="containsText" dxfId="6881" priority="7168" operator="containsText" text="No se pudo ejecutar">
      <formula>NOT(ISERROR(SEARCH("No se pudo ejecutar",R177)))</formula>
    </cfRule>
    <cfRule type="containsText" dxfId="6880" priority="7169" operator="containsText" text="Pendiente">
      <formula>NOT(ISERROR(SEARCH("Pendiente",R177)))</formula>
    </cfRule>
    <cfRule type="containsText" dxfId="6879" priority="7170" operator="containsText" text="No Aplica">
      <formula>NOT(ISERROR(SEARCH("No Aplica",R177)))</formula>
    </cfRule>
    <cfRule type="containsText" dxfId="6878" priority="7171" operator="containsText" text="Fallido">
      <formula>NOT(ISERROR(SEARCH("Fallido",R177)))</formula>
    </cfRule>
    <cfRule type="containsText" dxfId="6877" priority="7172" operator="containsText" text="Éxitoso">
      <formula>NOT(ISERROR(SEARCH("Éxitoso",R177)))</formula>
    </cfRule>
  </conditionalFormatting>
  <conditionalFormatting sqref="S177">
    <cfRule type="containsText" dxfId="6876" priority="7163" operator="containsText" text="No se pudo ejecutar">
      <formula>NOT(ISERROR(SEARCH("No se pudo ejecutar",S177)))</formula>
    </cfRule>
    <cfRule type="containsText" dxfId="6875" priority="7164" operator="containsText" text="Pendiente">
      <formula>NOT(ISERROR(SEARCH("Pendiente",S177)))</formula>
    </cfRule>
    <cfRule type="containsText" dxfId="6874" priority="7165" operator="containsText" text="No Aplica">
      <formula>NOT(ISERROR(SEARCH("No Aplica",S177)))</formula>
    </cfRule>
    <cfRule type="containsText" dxfId="6873" priority="7166" operator="containsText" text="Fallido">
      <formula>NOT(ISERROR(SEARCH("Fallido",S177)))</formula>
    </cfRule>
    <cfRule type="containsText" dxfId="6872" priority="7167" operator="containsText" text="Éxitoso">
      <formula>NOT(ISERROR(SEARCH("Éxitoso",S177)))</formula>
    </cfRule>
  </conditionalFormatting>
  <conditionalFormatting sqref="T177">
    <cfRule type="containsText" dxfId="6871" priority="7158" operator="containsText" text="No se pudo ejecutar">
      <formula>NOT(ISERROR(SEARCH("No se pudo ejecutar",T177)))</formula>
    </cfRule>
    <cfRule type="containsText" dxfId="6870" priority="7159" operator="containsText" text="Pendiente">
      <formula>NOT(ISERROR(SEARCH("Pendiente",T177)))</formula>
    </cfRule>
    <cfRule type="containsText" dxfId="6869" priority="7160" operator="containsText" text="No Aplica">
      <formula>NOT(ISERROR(SEARCH("No Aplica",T177)))</formula>
    </cfRule>
    <cfRule type="containsText" dxfId="6868" priority="7161" operator="containsText" text="Fallido">
      <formula>NOT(ISERROR(SEARCH("Fallido",T177)))</formula>
    </cfRule>
    <cfRule type="containsText" dxfId="6867" priority="7162" operator="containsText" text="Éxitoso">
      <formula>NOT(ISERROR(SEARCH("Éxitoso",T177)))</formula>
    </cfRule>
  </conditionalFormatting>
  <conditionalFormatting sqref="U177">
    <cfRule type="containsText" dxfId="6866" priority="7153" operator="containsText" text="No se pudo ejecutar">
      <formula>NOT(ISERROR(SEARCH("No se pudo ejecutar",U177)))</formula>
    </cfRule>
    <cfRule type="containsText" dxfId="6865" priority="7154" operator="containsText" text="Pendiente">
      <formula>NOT(ISERROR(SEARCH("Pendiente",U177)))</formula>
    </cfRule>
    <cfRule type="containsText" dxfId="6864" priority="7155" operator="containsText" text="No Aplica">
      <formula>NOT(ISERROR(SEARCH("No Aplica",U177)))</formula>
    </cfRule>
    <cfRule type="containsText" dxfId="6863" priority="7156" operator="containsText" text="Fallido">
      <formula>NOT(ISERROR(SEARCH("Fallido",U177)))</formula>
    </cfRule>
    <cfRule type="containsText" dxfId="6862" priority="7157" operator="containsText" text="Éxitoso">
      <formula>NOT(ISERROR(SEARCH("Éxitoso",U177)))</formula>
    </cfRule>
  </conditionalFormatting>
  <conditionalFormatting sqref="V177">
    <cfRule type="containsText" dxfId="6861" priority="7148" operator="containsText" text="No se pudo ejecutar">
      <formula>NOT(ISERROR(SEARCH("No se pudo ejecutar",V177)))</formula>
    </cfRule>
    <cfRule type="containsText" dxfId="6860" priority="7149" operator="containsText" text="Pendiente">
      <formula>NOT(ISERROR(SEARCH("Pendiente",V177)))</formula>
    </cfRule>
    <cfRule type="containsText" dxfId="6859" priority="7150" operator="containsText" text="No Aplica">
      <formula>NOT(ISERROR(SEARCH("No Aplica",V177)))</formula>
    </cfRule>
    <cfRule type="containsText" dxfId="6858" priority="7151" operator="containsText" text="Fallido">
      <formula>NOT(ISERROR(SEARCH("Fallido",V177)))</formula>
    </cfRule>
    <cfRule type="containsText" dxfId="6857" priority="7152" operator="containsText" text="Éxitoso">
      <formula>NOT(ISERROR(SEARCH("Éxitoso",V177)))</formula>
    </cfRule>
  </conditionalFormatting>
  <conditionalFormatting sqref="W177">
    <cfRule type="containsText" dxfId="6856" priority="7143" operator="containsText" text="No se pudo ejecutar">
      <formula>NOT(ISERROR(SEARCH("No se pudo ejecutar",W177)))</formula>
    </cfRule>
    <cfRule type="containsText" dxfId="6855" priority="7144" operator="containsText" text="Pendiente">
      <formula>NOT(ISERROR(SEARCH("Pendiente",W177)))</formula>
    </cfRule>
    <cfRule type="containsText" dxfId="6854" priority="7145" operator="containsText" text="No Aplica">
      <formula>NOT(ISERROR(SEARCH("No Aplica",W177)))</formula>
    </cfRule>
    <cfRule type="containsText" dxfId="6853" priority="7146" operator="containsText" text="Fallido">
      <formula>NOT(ISERROR(SEARCH("Fallido",W177)))</formula>
    </cfRule>
    <cfRule type="containsText" dxfId="6852" priority="7147" operator="containsText" text="Éxitoso">
      <formula>NOT(ISERROR(SEARCH("Éxitoso",W177)))</formula>
    </cfRule>
  </conditionalFormatting>
  <conditionalFormatting sqref="M177">
    <cfRule type="containsText" dxfId="6851" priority="7138" operator="containsText" text="No se pudo ejecutar">
      <formula>NOT(ISERROR(SEARCH("No se pudo ejecutar",M177)))</formula>
    </cfRule>
    <cfRule type="containsText" dxfId="6850" priority="7139" operator="containsText" text="Pendiente">
      <formula>NOT(ISERROR(SEARCH("Pendiente",M177)))</formula>
    </cfRule>
    <cfRule type="containsText" dxfId="6849" priority="7140" operator="containsText" text="No Aplica">
      <formula>NOT(ISERROR(SEARCH("No Aplica",M177)))</formula>
    </cfRule>
    <cfRule type="containsText" dxfId="6848" priority="7141" operator="containsText" text="Fallido">
      <formula>NOT(ISERROR(SEARCH("Fallido",M177)))</formula>
    </cfRule>
    <cfRule type="containsText" dxfId="6847" priority="7142" operator="containsText" text="Éxitoso">
      <formula>NOT(ISERROR(SEARCH("Éxitoso",M177)))</formula>
    </cfRule>
  </conditionalFormatting>
  <conditionalFormatting sqref="G177">
    <cfRule type="containsText" dxfId="6846" priority="7135" operator="containsText" text="Bajo">
      <formula>NOT(ISERROR(SEARCH("Bajo",G177)))</formula>
    </cfRule>
    <cfRule type="containsText" dxfId="6845" priority="7136" operator="containsText" text="Medio">
      <formula>NOT(ISERROR(SEARCH("Medio",G177)))</formula>
    </cfRule>
    <cfRule type="containsText" dxfId="6844" priority="7137" operator="containsText" text="Alto">
      <formula>NOT(ISERROR(SEARCH("Alto",G177)))</formula>
    </cfRule>
  </conditionalFormatting>
  <conditionalFormatting sqref="N178">
    <cfRule type="containsText" dxfId="6843" priority="7130" operator="containsText" text="No se pudo ejecutar">
      <formula>NOT(ISERROR(SEARCH("No se pudo ejecutar",N178)))</formula>
    </cfRule>
    <cfRule type="containsText" dxfId="6842" priority="7131" operator="containsText" text="Pendiente">
      <formula>NOT(ISERROR(SEARCH("Pendiente",N178)))</formula>
    </cfRule>
    <cfRule type="containsText" dxfId="6841" priority="7132" operator="containsText" text="No Aplica">
      <formula>NOT(ISERROR(SEARCH("No Aplica",N178)))</formula>
    </cfRule>
    <cfRule type="containsText" dxfId="6840" priority="7133" operator="containsText" text="Fallido">
      <formula>NOT(ISERROR(SEARCH("Fallido",N178)))</formula>
    </cfRule>
    <cfRule type="containsText" dxfId="6839" priority="7134" operator="containsText" text="Éxitoso">
      <formula>NOT(ISERROR(SEARCH("Éxitoso",N178)))</formula>
    </cfRule>
  </conditionalFormatting>
  <conditionalFormatting sqref="O178">
    <cfRule type="containsText" dxfId="6838" priority="7125" operator="containsText" text="No se pudo ejecutar">
      <formula>NOT(ISERROR(SEARCH("No se pudo ejecutar",O178)))</formula>
    </cfRule>
    <cfRule type="containsText" dxfId="6837" priority="7126" operator="containsText" text="Pendiente">
      <formula>NOT(ISERROR(SEARCH("Pendiente",O178)))</formula>
    </cfRule>
    <cfRule type="containsText" dxfId="6836" priority="7127" operator="containsText" text="No Aplica">
      <formula>NOT(ISERROR(SEARCH("No Aplica",O178)))</formula>
    </cfRule>
    <cfRule type="containsText" dxfId="6835" priority="7128" operator="containsText" text="Fallido">
      <formula>NOT(ISERROR(SEARCH("Fallido",O178)))</formula>
    </cfRule>
    <cfRule type="containsText" dxfId="6834" priority="7129" operator="containsText" text="Éxitoso">
      <formula>NOT(ISERROR(SEARCH("Éxitoso",O178)))</formula>
    </cfRule>
  </conditionalFormatting>
  <conditionalFormatting sqref="P178">
    <cfRule type="containsText" dxfId="6833" priority="7120" operator="containsText" text="No se pudo ejecutar">
      <formula>NOT(ISERROR(SEARCH("No se pudo ejecutar",P178)))</formula>
    </cfRule>
    <cfRule type="containsText" dxfId="6832" priority="7121" operator="containsText" text="Pendiente">
      <formula>NOT(ISERROR(SEARCH("Pendiente",P178)))</formula>
    </cfRule>
    <cfRule type="containsText" dxfId="6831" priority="7122" operator="containsText" text="No Aplica">
      <formula>NOT(ISERROR(SEARCH("No Aplica",P178)))</formula>
    </cfRule>
    <cfRule type="containsText" dxfId="6830" priority="7123" operator="containsText" text="Fallido">
      <formula>NOT(ISERROR(SEARCH("Fallido",P178)))</formula>
    </cfRule>
    <cfRule type="containsText" dxfId="6829" priority="7124" operator="containsText" text="Éxitoso">
      <formula>NOT(ISERROR(SEARCH("Éxitoso",P178)))</formula>
    </cfRule>
  </conditionalFormatting>
  <conditionalFormatting sqref="Q178">
    <cfRule type="containsText" dxfId="6828" priority="7115" operator="containsText" text="No se pudo ejecutar">
      <formula>NOT(ISERROR(SEARCH("No se pudo ejecutar",Q178)))</formula>
    </cfRule>
    <cfRule type="containsText" dxfId="6827" priority="7116" operator="containsText" text="Pendiente">
      <formula>NOT(ISERROR(SEARCH("Pendiente",Q178)))</formula>
    </cfRule>
    <cfRule type="containsText" dxfId="6826" priority="7117" operator="containsText" text="No Aplica">
      <formula>NOT(ISERROR(SEARCH("No Aplica",Q178)))</formula>
    </cfRule>
    <cfRule type="containsText" dxfId="6825" priority="7118" operator="containsText" text="Fallido">
      <formula>NOT(ISERROR(SEARCH("Fallido",Q178)))</formula>
    </cfRule>
    <cfRule type="containsText" dxfId="6824" priority="7119" operator="containsText" text="Éxitoso">
      <formula>NOT(ISERROR(SEARCH("Éxitoso",Q178)))</formula>
    </cfRule>
  </conditionalFormatting>
  <conditionalFormatting sqref="R178">
    <cfRule type="containsText" dxfId="6823" priority="7110" operator="containsText" text="No se pudo ejecutar">
      <formula>NOT(ISERROR(SEARCH("No se pudo ejecutar",R178)))</formula>
    </cfRule>
    <cfRule type="containsText" dxfId="6822" priority="7111" operator="containsText" text="Pendiente">
      <formula>NOT(ISERROR(SEARCH("Pendiente",R178)))</formula>
    </cfRule>
    <cfRule type="containsText" dxfId="6821" priority="7112" operator="containsText" text="No Aplica">
      <formula>NOT(ISERROR(SEARCH("No Aplica",R178)))</formula>
    </cfRule>
    <cfRule type="containsText" dxfId="6820" priority="7113" operator="containsText" text="Fallido">
      <formula>NOT(ISERROR(SEARCH("Fallido",R178)))</formula>
    </cfRule>
    <cfRule type="containsText" dxfId="6819" priority="7114" operator="containsText" text="Éxitoso">
      <formula>NOT(ISERROR(SEARCH("Éxitoso",R178)))</formula>
    </cfRule>
  </conditionalFormatting>
  <conditionalFormatting sqref="S178">
    <cfRule type="containsText" dxfId="6818" priority="7105" operator="containsText" text="No se pudo ejecutar">
      <formula>NOT(ISERROR(SEARCH("No se pudo ejecutar",S178)))</formula>
    </cfRule>
    <cfRule type="containsText" dxfId="6817" priority="7106" operator="containsText" text="Pendiente">
      <formula>NOT(ISERROR(SEARCH("Pendiente",S178)))</formula>
    </cfRule>
    <cfRule type="containsText" dxfId="6816" priority="7107" operator="containsText" text="No Aplica">
      <formula>NOT(ISERROR(SEARCH("No Aplica",S178)))</formula>
    </cfRule>
    <cfRule type="containsText" dxfId="6815" priority="7108" operator="containsText" text="Fallido">
      <formula>NOT(ISERROR(SEARCH("Fallido",S178)))</formula>
    </cfRule>
    <cfRule type="containsText" dxfId="6814" priority="7109" operator="containsText" text="Éxitoso">
      <formula>NOT(ISERROR(SEARCH("Éxitoso",S178)))</formula>
    </cfRule>
  </conditionalFormatting>
  <conditionalFormatting sqref="T178">
    <cfRule type="containsText" dxfId="6813" priority="7100" operator="containsText" text="No se pudo ejecutar">
      <formula>NOT(ISERROR(SEARCH("No se pudo ejecutar",T178)))</formula>
    </cfRule>
    <cfRule type="containsText" dxfId="6812" priority="7101" operator="containsText" text="Pendiente">
      <formula>NOT(ISERROR(SEARCH("Pendiente",T178)))</formula>
    </cfRule>
    <cfRule type="containsText" dxfId="6811" priority="7102" operator="containsText" text="No Aplica">
      <formula>NOT(ISERROR(SEARCH("No Aplica",T178)))</formula>
    </cfRule>
    <cfRule type="containsText" dxfId="6810" priority="7103" operator="containsText" text="Fallido">
      <formula>NOT(ISERROR(SEARCH("Fallido",T178)))</formula>
    </cfRule>
    <cfRule type="containsText" dxfId="6809" priority="7104" operator="containsText" text="Éxitoso">
      <formula>NOT(ISERROR(SEARCH("Éxitoso",T178)))</formula>
    </cfRule>
  </conditionalFormatting>
  <conditionalFormatting sqref="U178">
    <cfRule type="containsText" dxfId="6808" priority="7095" operator="containsText" text="No se pudo ejecutar">
      <formula>NOT(ISERROR(SEARCH("No se pudo ejecutar",U178)))</formula>
    </cfRule>
    <cfRule type="containsText" dxfId="6807" priority="7096" operator="containsText" text="Pendiente">
      <formula>NOT(ISERROR(SEARCH("Pendiente",U178)))</formula>
    </cfRule>
    <cfRule type="containsText" dxfId="6806" priority="7097" operator="containsText" text="No Aplica">
      <formula>NOT(ISERROR(SEARCH("No Aplica",U178)))</formula>
    </cfRule>
    <cfRule type="containsText" dxfId="6805" priority="7098" operator="containsText" text="Fallido">
      <formula>NOT(ISERROR(SEARCH("Fallido",U178)))</formula>
    </cfRule>
    <cfRule type="containsText" dxfId="6804" priority="7099" operator="containsText" text="Éxitoso">
      <formula>NOT(ISERROR(SEARCH("Éxitoso",U178)))</formula>
    </cfRule>
  </conditionalFormatting>
  <conditionalFormatting sqref="V178">
    <cfRule type="containsText" dxfId="6803" priority="7090" operator="containsText" text="No se pudo ejecutar">
      <formula>NOT(ISERROR(SEARCH("No se pudo ejecutar",V178)))</formula>
    </cfRule>
    <cfRule type="containsText" dxfId="6802" priority="7091" operator="containsText" text="Pendiente">
      <formula>NOT(ISERROR(SEARCH("Pendiente",V178)))</formula>
    </cfRule>
    <cfRule type="containsText" dxfId="6801" priority="7092" operator="containsText" text="No Aplica">
      <formula>NOT(ISERROR(SEARCH("No Aplica",V178)))</formula>
    </cfRule>
    <cfRule type="containsText" dxfId="6800" priority="7093" operator="containsText" text="Fallido">
      <formula>NOT(ISERROR(SEARCH("Fallido",V178)))</formula>
    </cfRule>
    <cfRule type="containsText" dxfId="6799" priority="7094" operator="containsText" text="Éxitoso">
      <formula>NOT(ISERROR(SEARCH("Éxitoso",V178)))</formula>
    </cfRule>
  </conditionalFormatting>
  <conditionalFormatting sqref="W178">
    <cfRule type="containsText" dxfId="6798" priority="7085" operator="containsText" text="No se pudo ejecutar">
      <formula>NOT(ISERROR(SEARCH("No se pudo ejecutar",W178)))</formula>
    </cfRule>
    <cfRule type="containsText" dxfId="6797" priority="7086" operator="containsText" text="Pendiente">
      <formula>NOT(ISERROR(SEARCH("Pendiente",W178)))</formula>
    </cfRule>
    <cfRule type="containsText" dxfId="6796" priority="7087" operator="containsText" text="No Aplica">
      <formula>NOT(ISERROR(SEARCH("No Aplica",W178)))</formula>
    </cfRule>
    <cfRule type="containsText" dxfId="6795" priority="7088" operator="containsText" text="Fallido">
      <formula>NOT(ISERROR(SEARCH("Fallido",W178)))</formula>
    </cfRule>
    <cfRule type="containsText" dxfId="6794" priority="7089" operator="containsText" text="Éxitoso">
      <formula>NOT(ISERROR(SEARCH("Éxitoso",W178)))</formula>
    </cfRule>
  </conditionalFormatting>
  <conditionalFormatting sqref="M178">
    <cfRule type="containsText" dxfId="6793" priority="7080" operator="containsText" text="No se pudo ejecutar">
      <formula>NOT(ISERROR(SEARCH("No se pudo ejecutar",M178)))</formula>
    </cfRule>
    <cfRule type="containsText" dxfId="6792" priority="7081" operator="containsText" text="Pendiente">
      <formula>NOT(ISERROR(SEARCH("Pendiente",M178)))</formula>
    </cfRule>
    <cfRule type="containsText" dxfId="6791" priority="7082" operator="containsText" text="No Aplica">
      <formula>NOT(ISERROR(SEARCH("No Aplica",M178)))</formula>
    </cfRule>
    <cfRule type="containsText" dxfId="6790" priority="7083" operator="containsText" text="Fallido">
      <formula>NOT(ISERROR(SEARCH("Fallido",M178)))</formula>
    </cfRule>
    <cfRule type="containsText" dxfId="6789" priority="7084" operator="containsText" text="Éxitoso">
      <formula>NOT(ISERROR(SEARCH("Éxitoso",M178)))</formula>
    </cfRule>
  </conditionalFormatting>
  <conditionalFormatting sqref="G178">
    <cfRule type="containsText" dxfId="6788" priority="7077" operator="containsText" text="Bajo">
      <formula>NOT(ISERROR(SEARCH("Bajo",G178)))</formula>
    </cfRule>
    <cfRule type="containsText" dxfId="6787" priority="7078" operator="containsText" text="Medio">
      <formula>NOT(ISERROR(SEARCH("Medio",G178)))</formula>
    </cfRule>
    <cfRule type="containsText" dxfId="6786" priority="7079" operator="containsText" text="Alto">
      <formula>NOT(ISERROR(SEARCH("Alto",G178)))</formula>
    </cfRule>
  </conditionalFormatting>
  <conditionalFormatting sqref="N179">
    <cfRule type="containsText" dxfId="6785" priority="7072" operator="containsText" text="No se pudo ejecutar">
      <formula>NOT(ISERROR(SEARCH("No se pudo ejecutar",N179)))</formula>
    </cfRule>
    <cfRule type="containsText" dxfId="6784" priority="7073" operator="containsText" text="Pendiente">
      <formula>NOT(ISERROR(SEARCH("Pendiente",N179)))</formula>
    </cfRule>
    <cfRule type="containsText" dxfId="6783" priority="7074" operator="containsText" text="No Aplica">
      <formula>NOT(ISERROR(SEARCH("No Aplica",N179)))</formula>
    </cfRule>
    <cfRule type="containsText" dxfId="6782" priority="7075" operator="containsText" text="Fallido">
      <formula>NOT(ISERROR(SEARCH("Fallido",N179)))</formula>
    </cfRule>
    <cfRule type="containsText" dxfId="6781" priority="7076" operator="containsText" text="Éxitoso">
      <formula>NOT(ISERROR(SEARCH("Éxitoso",N179)))</formula>
    </cfRule>
  </conditionalFormatting>
  <conditionalFormatting sqref="O179">
    <cfRule type="containsText" dxfId="6780" priority="7067" operator="containsText" text="No se pudo ejecutar">
      <formula>NOT(ISERROR(SEARCH("No se pudo ejecutar",O179)))</formula>
    </cfRule>
    <cfRule type="containsText" dxfId="6779" priority="7068" operator="containsText" text="Pendiente">
      <formula>NOT(ISERROR(SEARCH("Pendiente",O179)))</formula>
    </cfRule>
    <cfRule type="containsText" dxfId="6778" priority="7069" operator="containsText" text="No Aplica">
      <formula>NOT(ISERROR(SEARCH("No Aplica",O179)))</formula>
    </cfRule>
    <cfRule type="containsText" dxfId="6777" priority="7070" operator="containsText" text="Fallido">
      <formula>NOT(ISERROR(SEARCH("Fallido",O179)))</formula>
    </cfRule>
    <cfRule type="containsText" dxfId="6776" priority="7071" operator="containsText" text="Éxitoso">
      <formula>NOT(ISERROR(SEARCH("Éxitoso",O179)))</formula>
    </cfRule>
  </conditionalFormatting>
  <conditionalFormatting sqref="P179">
    <cfRule type="containsText" dxfId="6775" priority="7062" operator="containsText" text="No se pudo ejecutar">
      <formula>NOT(ISERROR(SEARCH("No se pudo ejecutar",P179)))</formula>
    </cfRule>
    <cfRule type="containsText" dxfId="6774" priority="7063" operator="containsText" text="Pendiente">
      <formula>NOT(ISERROR(SEARCH("Pendiente",P179)))</formula>
    </cfRule>
    <cfRule type="containsText" dxfId="6773" priority="7064" operator="containsText" text="No Aplica">
      <formula>NOT(ISERROR(SEARCH("No Aplica",P179)))</formula>
    </cfRule>
    <cfRule type="containsText" dxfId="6772" priority="7065" operator="containsText" text="Fallido">
      <formula>NOT(ISERROR(SEARCH("Fallido",P179)))</formula>
    </cfRule>
    <cfRule type="containsText" dxfId="6771" priority="7066" operator="containsText" text="Éxitoso">
      <formula>NOT(ISERROR(SEARCH("Éxitoso",P179)))</formula>
    </cfRule>
  </conditionalFormatting>
  <conditionalFormatting sqref="Q179">
    <cfRule type="containsText" dxfId="6770" priority="7057" operator="containsText" text="No se pudo ejecutar">
      <formula>NOT(ISERROR(SEARCH("No se pudo ejecutar",Q179)))</formula>
    </cfRule>
    <cfRule type="containsText" dxfId="6769" priority="7058" operator="containsText" text="Pendiente">
      <formula>NOT(ISERROR(SEARCH("Pendiente",Q179)))</formula>
    </cfRule>
    <cfRule type="containsText" dxfId="6768" priority="7059" operator="containsText" text="No Aplica">
      <formula>NOT(ISERROR(SEARCH("No Aplica",Q179)))</formula>
    </cfRule>
    <cfRule type="containsText" dxfId="6767" priority="7060" operator="containsText" text="Fallido">
      <formula>NOT(ISERROR(SEARCH("Fallido",Q179)))</formula>
    </cfRule>
    <cfRule type="containsText" dxfId="6766" priority="7061" operator="containsText" text="Éxitoso">
      <formula>NOT(ISERROR(SEARCH("Éxitoso",Q179)))</formula>
    </cfRule>
  </conditionalFormatting>
  <conditionalFormatting sqref="R179">
    <cfRule type="containsText" dxfId="6765" priority="7052" operator="containsText" text="No se pudo ejecutar">
      <formula>NOT(ISERROR(SEARCH("No se pudo ejecutar",R179)))</formula>
    </cfRule>
    <cfRule type="containsText" dxfId="6764" priority="7053" operator="containsText" text="Pendiente">
      <formula>NOT(ISERROR(SEARCH("Pendiente",R179)))</formula>
    </cfRule>
    <cfRule type="containsText" dxfId="6763" priority="7054" operator="containsText" text="No Aplica">
      <formula>NOT(ISERROR(SEARCH("No Aplica",R179)))</formula>
    </cfRule>
    <cfRule type="containsText" dxfId="6762" priority="7055" operator="containsText" text="Fallido">
      <formula>NOT(ISERROR(SEARCH("Fallido",R179)))</formula>
    </cfRule>
    <cfRule type="containsText" dxfId="6761" priority="7056" operator="containsText" text="Éxitoso">
      <formula>NOT(ISERROR(SEARCH("Éxitoso",R179)))</formula>
    </cfRule>
  </conditionalFormatting>
  <conditionalFormatting sqref="S179">
    <cfRule type="containsText" dxfId="6760" priority="7047" operator="containsText" text="No se pudo ejecutar">
      <formula>NOT(ISERROR(SEARCH("No se pudo ejecutar",S179)))</formula>
    </cfRule>
    <cfRule type="containsText" dxfId="6759" priority="7048" operator="containsText" text="Pendiente">
      <formula>NOT(ISERROR(SEARCH("Pendiente",S179)))</formula>
    </cfRule>
    <cfRule type="containsText" dxfId="6758" priority="7049" operator="containsText" text="No Aplica">
      <formula>NOT(ISERROR(SEARCH("No Aplica",S179)))</formula>
    </cfRule>
    <cfRule type="containsText" dxfId="6757" priority="7050" operator="containsText" text="Fallido">
      <formula>NOT(ISERROR(SEARCH("Fallido",S179)))</formula>
    </cfRule>
    <cfRule type="containsText" dxfId="6756" priority="7051" operator="containsText" text="Éxitoso">
      <formula>NOT(ISERROR(SEARCH("Éxitoso",S179)))</formula>
    </cfRule>
  </conditionalFormatting>
  <conditionalFormatting sqref="T179">
    <cfRule type="containsText" dxfId="6755" priority="7042" operator="containsText" text="No se pudo ejecutar">
      <formula>NOT(ISERROR(SEARCH("No se pudo ejecutar",T179)))</formula>
    </cfRule>
    <cfRule type="containsText" dxfId="6754" priority="7043" operator="containsText" text="Pendiente">
      <formula>NOT(ISERROR(SEARCH("Pendiente",T179)))</formula>
    </cfRule>
    <cfRule type="containsText" dxfId="6753" priority="7044" operator="containsText" text="No Aplica">
      <formula>NOT(ISERROR(SEARCH("No Aplica",T179)))</formula>
    </cfRule>
    <cfRule type="containsText" dxfId="6752" priority="7045" operator="containsText" text="Fallido">
      <formula>NOT(ISERROR(SEARCH("Fallido",T179)))</formula>
    </cfRule>
    <cfRule type="containsText" dxfId="6751" priority="7046" operator="containsText" text="Éxitoso">
      <formula>NOT(ISERROR(SEARCH("Éxitoso",T179)))</formula>
    </cfRule>
  </conditionalFormatting>
  <conditionalFormatting sqref="U179">
    <cfRule type="containsText" dxfId="6750" priority="7037" operator="containsText" text="No se pudo ejecutar">
      <formula>NOT(ISERROR(SEARCH("No se pudo ejecutar",U179)))</formula>
    </cfRule>
    <cfRule type="containsText" dxfId="6749" priority="7038" operator="containsText" text="Pendiente">
      <formula>NOT(ISERROR(SEARCH("Pendiente",U179)))</formula>
    </cfRule>
    <cfRule type="containsText" dxfId="6748" priority="7039" operator="containsText" text="No Aplica">
      <formula>NOT(ISERROR(SEARCH("No Aplica",U179)))</formula>
    </cfRule>
    <cfRule type="containsText" dxfId="6747" priority="7040" operator="containsText" text="Fallido">
      <formula>NOT(ISERROR(SEARCH("Fallido",U179)))</formula>
    </cfRule>
    <cfRule type="containsText" dxfId="6746" priority="7041" operator="containsText" text="Éxitoso">
      <formula>NOT(ISERROR(SEARCH("Éxitoso",U179)))</formula>
    </cfRule>
  </conditionalFormatting>
  <conditionalFormatting sqref="V179">
    <cfRule type="containsText" dxfId="6745" priority="7032" operator="containsText" text="No se pudo ejecutar">
      <formula>NOT(ISERROR(SEARCH("No se pudo ejecutar",V179)))</formula>
    </cfRule>
    <cfRule type="containsText" dxfId="6744" priority="7033" operator="containsText" text="Pendiente">
      <formula>NOT(ISERROR(SEARCH("Pendiente",V179)))</formula>
    </cfRule>
    <cfRule type="containsText" dxfId="6743" priority="7034" operator="containsText" text="No Aplica">
      <formula>NOT(ISERROR(SEARCH("No Aplica",V179)))</formula>
    </cfRule>
    <cfRule type="containsText" dxfId="6742" priority="7035" operator="containsText" text="Fallido">
      <formula>NOT(ISERROR(SEARCH("Fallido",V179)))</formula>
    </cfRule>
    <cfRule type="containsText" dxfId="6741" priority="7036" operator="containsText" text="Éxitoso">
      <formula>NOT(ISERROR(SEARCH("Éxitoso",V179)))</formula>
    </cfRule>
  </conditionalFormatting>
  <conditionalFormatting sqref="W179">
    <cfRule type="containsText" dxfId="6740" priority="7027" operator="containsText" text="No se pudo ejecutar">
      <formula>NOT(ISERROR(SEARCH("No se pudo ejecutar",W179)))</formula>
    </cfRule>
    <cfRule type="containsText" dxfId="6739" priority="7028" operator="containsText" text="Pendiente">
      <formula>NOT(ISERROR(SEARCH("Pendiente",W179)))</formula>
    </cfRule>
    <cfRule type="containsText" dxfId="6738" priority="7029" operator="containsText" text="No Aplica">
      <formula>NOT(ISERROR(SEARCH("No Aplica",W179)))</formula>
    </cfRule>
    <cfRule type="containsText" dxfId="6737" priority="7030" operator="containsText" text="Fallido">
      <formula>NOT(ISERROR(SEARCH("Fallido",W179)))</formula>
    </cfRule>
    <cfRule type="containsText" dxfId="6736" priority="7031" operator="containsText" text="Éxitoso">
      <formula>NOT(ISERROR(SEARCH("Éxitoso",W179)))</formula>
    </cfRule>
  </conditionalFormatting>
  <conditionalFormatting sqref="M179">
    <cfRule type="containsText" dxfId="6735" priority="7022" operator="containsText" text="No se pudo ejecutar">
      <formula>NOT(ISERROR(SEARCH("No se pudo ejecutar",M179)))</formula>
    </cfRule>
    <cfRule type="containsText" dxfId="6734" priority="7023" operator="containsText" text="Pendiente">
      <formula>NOT(ISERROR(SEARCH("Pendiente",M179)))</formula>
    </cfRule>
    <cfRule type="containsText" dxfId="6733" priority="7024" operator="containsText" text="No Aplica">
      <formula>NOT(ISERROR(SEARCH("No Aplica",M179)))</formula>
    </cfRule>
    <cfRule type="containsText" dxfId="6732" priority="7025" operator="containsText" text="Fallido">
      <formula>NOT(ISERROR(SEARCH("Fallido",M179)))</formula>
    </cfRule>
    <cfRule type="containsText" dxfId="6731" priority="7026" operator="containsText" text="Éxitoso">
      <formula>NOT(ISERROR(SEARCH("Éxitoso",M179)))</formula>
    </cfRule>
  </conditionalFormatting>
  <conditionalFormatting sqref="G179">
    <cfRule type="containsText" dxfId="6730" priority="7019" operator="containsText" text="Bajo">
      <formula>NOT(ISERROR(SEARCH("Bajo",G179)))</formula>
    </cfRule>
    <cfRule type="containsText" dxfId="6729" priority="7020" operator="containsText" text="Medio">
      <formula>NOT(ISERROR(SEARCH("Medio",G179)))</formula>
    </cfRule>
    <cfRule type="containsText" dxfId="6728" priority="7021" operator="containsText" text="Alto">
      <formula>NOT(ISERROR(SEARCH("Alto",G179)))</formula>
    </cfRule>
  </conditionalFormatting>
  <conditionalFormatting sqref="N180">
    <cfRule type="containsText" dxfId="6727" priority="7014" operator="containsText" text="No se pudo ejecutar">
      <formula>NOT(ISERROR(SEARCH("No se pudo ejecutar",N180)))</formula>
    </cfRule>
    <cfRule type="containsText" dxfId="6726" priority="7015" operator="containsText" text="Pendiente">
      <formula>NOT(ISERROR(SEARCH("Pendiente",N180)))</formula>
    </cfRule>
    <cfRule type="containsText" dxfId="6725" priority="7016" operator="containsText" text="No Aplica">
      <formula>NOT(ISERROR(SEARCH("No Aplica",N180)))</formula>
    </cfRule>
    <cfRule type="containsText" dxfId="6724" priority="7017" operator="containsText" text="Fallido">
      <formula>NOT(ISERROR(SEARCH("Fallido",N180)))</formula>
    </cfRule>
    <cfRule type="containsText" dxfId="6723" priority="7018" operator="containsText" text="Éxitoso">
      <formula>NOT(ISERROR(SEARCH("Éxitoso",N180)))</formula>
    </cfRule>
  </conditionalFormatting>
  <conditionalFormatting sqref="O180">
    <cfRule type="containsText" dxfId="6722" priority="7009" operator="containsText" text="No se pudo ejecutar">
      <formula>NOT(ISERROR(SEARCH("No se pudo ejecutar",O180)))</formula>
    </cfRule>
    <cfRule type="containsText" dxfId="6721" priority="7010" operator="containsText" text="Pendiente">
      <formula>NOT(ISERROR(SEARCH("Pendiente",O180)))</formula>
    </cfRule>
    <cfRule type="containsText" dxfId="6720" priority="7011" operator="containsText" text="No Aplica">
      <formula>NOT(ISERROR(SEARCH("No Aplica",O180)))</formula>
    </cfRule>
    <cfRule type="containsText" dxfId="6719" priority="7012" operator="containsText" text="Fallido">
      <formula>NOT(ISERROR(SEARCH("Fallido",O180)))</formula>
    </cfRule>
    <cfRule type="containsText" dxfId="6718" priority="7013" operator="containsText" text="Éxitoso">
      <formula>NOT(ISERROR(SEARCH("Éxitoso",O180)))</formula>
    </cfRule>
  </conditionalFormatting>
  <conditionalFormatting sqref="P180">
    <cfRule type="containsText" dxfId="6717" priority="7004" operator="containsText" text="No se pudo ejecutar">
      <formula>NOT(ISERROR(SEARCH("No se pudo ejecutar",P180)))</formula>
    </cfRule>
    <cfRule type="containsText" dxfId="6716" priority="7005" operator="containsText" text="Pendiente">
      <formula>NOT(ISERROR(SEARCH("Pendiente",P180)))</formula>
    </cfRule>
    <cfRule type="containsText" dxfId="6715" priority="7006" operator="containsText" text="No Aplica">
      <formula>NOT(ISERROR(SEARCH("No Aplica",P180)))</formula>
    </cfRule>
    <cfRule type="containsText" dxfId="6714" priority="7007" operator="containsText" text="Fallido">
      <formula>NOT(ISERROR(SEARCH("Fallido",P180)))</formula>
    </cfRule>
    <cfRule type="containsText" dxfId="6713" priority="7008" operator="containsText" text="Éxitoso">
      <formula>NOT(ISERROR(SEARCH("Éxitoso",P180)))</formula>
    </cfRule>
  </conditionalFormatting>
  <conditionalFormatting sqref="Q180">
    <cfRule type="containsText" dxfId="6712" priority="6999" operator="containsText" text="No se pudo ejecutar">
      <formula>NOT(ISERROR(SEARCH("No se pudo ejecutar",Q180)))</formula>
    </cfRule>
    <cfRule type="containsText" dxfId="6711" priority="7000" operator="containsText" text="Pendiente">
      <formula>NOT(ISERROR(SEARCH("Pendiente",Q180)))</formula>
    </cfRule>
    <cfRule type="containsText" dxfId="6710" priority="7001" operator="containsText" text="No Aplica">
      <formula>NOT(ISERROR(SEARCH("No Aplica",Q180)))</formula>
    </cfRule>
    <cfRule type="containsText" dxfId="6709" priority="7002" operator="containsText" text="Fallido">
      <formula>NOT(ISERROR(SEARCH("Fallido",Q180)))</formula>
    </cfRule>
    <cfRule type="containsText" dxfId="6708" priority="7003" operator="containsText" text="Éxitoso">
      <formula>NOT(ISERROR(SEARCH("Éxitoso",Q180)))</formula>
    </cfRule>
  </conditionalFormatting>
  <conditionalFormatting sqref="R180">
    <cfRule type="containsText" dxfId="6707" priority="6994" operator="containsText" text="No se pudo ejecutar">
      <formula>NOT(ISERROR(SEARCH("No se pudo ejecutar",R180)))</formula>
    </cfRule>
    <cfRule type="containsText" dxfId="6706" priority="6995" operator="containsText" text="Pendiente">
      <formula>NOT(ISERROR(SEARCH("Pendiente",R180)))</formula>
    </cfRule>
    <cfRule type="containsText" dxfId="6705" priority="6996" operator="containsText" text="No Aplica">
      <formula>NOT(ISERROR(SEARCH("No Aplica",R180)))</formula>
    </cfRule>
    <cfRule type="containsText" dxfId="6704" priority="6997" operator="containsText" text="Fallido">
      <formula>NOT(ISERROR(SEARCH("Fallido",R180)))</formula>
    </cfRule>
    <cfRule type="containsText" dxfId="6703" priority="6998" operator="containsText" text="Éxitoso">
      <formula>NOT(ISERROR(SEARCH("Éxitoso",R180)))</formula>
    </cfRule>
  </conditionalFormatting>
  <conditionalFormatting sqref="S180">
    <cfRule type="containsText" dxfId="6702" priority="6989" operator="containsText" text="No se pudo ejecutar">
      <formula>NOT(ISERROR(SEARCH("No se pudo ejecutar",S180)))</formula>
    </cfRule>
    <cfRule type="containsText" dxfId="6701" priority="6990" operator="containsText" text="Pendiente">
      <formula>NOT(ISERROR(SEARCH("Pendiente",S180)))</formula>
    </cfRule>
    <cfRule type="containsText" dxfId="6700" priority="6991" operator="containsText" text="No Aplica">
      <formula>NOT(ISERROR(SEARCH("No Aplica",S180)))</formula>
    </cfRule>
    <cfRule type="containsText" dxfId="6699" priority="6992" operator="containsText" text="Fallido">
      <formula>NOT(ISERROR(SEARCH("Fallido",S180)))</formula>
    </cfRule>
    <cfRule type="containsText" dxfId="6698" priority="6993" operator="containsText" text="Éxitoso">
      <formula>NOT(ISERROR(SEARCH("Éxitoso",S180)))</formula>
    </cfRule>
  </conditionalFormatting>
  <conditionalFormatting sqref="T180">
    <cfRule type="containsText" dxfId="6697" priority="6984" operator="containsText" text="No se pudo ejecutar">
      <formula>NOT(ISERROR(SEARCH("No se pudo ejecutar",T180)))</formula>
    </cfRule>
    <cfRule type="containsText" dxfId="6696" priority="6985" operator="containsText" text="Pendiente">
      <formula>NOT(ISERROR(SEARCH("Pendiente",T180)))</formula>
    </cfRule>
    <cfRule type="containsText" dxfId="6695" priority="6986" operator="containsText" text="No Aplica">
      <formula>NOT(ISERROR(SEARCH("No Aplica",T180)))</formula>
    </cfRule>
    <cfRule type="containsText" dxfId="6694" priority="6987" operator="containsText" text="Fallido">
      <formula>NOT(ISERROR(SEARCH("Fallido",T180)))</formula>
    </cfRule>
    <cfRule type="containsText" dxfId="6693" priority="6988" operator="containsText" text="Éxitoso">
      <formula>NOT(ISERROR(SEARCH("Éxitoso",T180)))</formula>
    </cfRule>
  </conditionalFormatting>
  <conditionalFormatting sqref="U180">
    <cfRule type="containsText" dxfId="6692" priority="6979" operator="containsText" text="No se pudo ejecutar">
      <formula>NOT(ISERROR(SEARCH("No se pudo ejecutar",U180)))</formula>
    </cfRule>
    <cfRule type="containsText" dxfId="6691" priority="6980" operator="containsText" text="Pendiente">
      <formula>NOT(ISERROR(SEARCH("Pendiente",U180)))</formula>
    </cfRule>
    <cfRule type="containsText" dxfId="6690" priority="6981" operator="containsText" text="No Aplica">
      <formula>NOT(ISERROR(SEARCH("No Aplica",U180)))</formula>
    </cfRule>
    <cfRule type="containsText" dxfId="6689" priority="6982" operator="containsText" text="Fallido">
      <formula>NOT(ISERROR(SEARCH("Fallido",U180)))</formula>
    </cfRule>
    <cfRule type="containsText" dxfId="6688" priority="6983" operator="containsText" text="Éxitoso">
      <formula>NOT(ISERROR(SEARCH("Éxitoso",U180)))</formula>
    </cfRule>
  </conditionalFormatting>
  <conditionalFormatting sqref="V180">
    <cfRule type="containsText" dxfId="6687" priority="6974" operator="containsText" text="No se pudo ejecutar">
      <formula>NOT(ISERROR(SEARCH("No se pudo ejecutar",V180)))</formula>
    </cfRule>
    <cfRule type="containsText" dxfId="6686" priority="6975" operator="containsText" text="Pendiente">
      <formula>NOT(ISERROR(SEARCH("Pendiente",V180)))</formula>
    </cfRule>
    <cfRule type="containsText" dxfId="6685" priority="6976" operator="containsText" text="No Aplica">
      <formula>NOT(ISERROR(SEARCH("No Aplica",V180)))</formula>
    </cfRule>
    <cfRule type="containsText" dxfId="6684" priority="6977" operator="containsText" text="Fallido">
      <formula>NOT(ISERROR(SEARCH("Fallido",V180)))</formula>
    </cfRule>
    <cfRule type="containsText" dxfId="6683" priority="6978" operator="containsText" text="Éxitoso">
      <formula>NOT(ISERROR(SEARCH("Éxitoso",V180)))</formula>
    </cfRule>
  </conditionalFormatting>
  <conditionalFormatting sqref="W180">
    <cfRule type="containsText" dxfId="6682" priority="6969" operator="containsText" text="No se pudo ejecutar">
      <formula>NOT(ISERROR(SEARCH("No se pudo ejecutar",W180)))</formula>
    </cfRule>
    <cfRule type="containsText" dxfId="6681" priority="6970" operator="containsText" text="Pendiente">
      <formula>NOT(ISERROR(SEARCH("Pendiente",W180)))</formula>
    </cfRule>
    <cfRule type="containsText" dxfId="6680" priority="6971" operator="containsText" text="No Aplica">
      <formula>NOT(ISERROR(SEARCH("No Aplica",W180)))</formula>
    </cfRule>
    <cfRule type="containsText" dxfId="6679" priority="6972" operator="containsText" text="Fallido">
      <formula>NOT(ISERROR(SEARCH("Fallido",W180)))</formula>
    </cfRule>
    <cfRule type="containsText" dxfId="6678" priority="6973" operator="containsText" text="Éxitoso">
      <formula>NOT(ISERROR(SEARCH("Éxitoso",W180)))</formula>
    </cfRule>
  </conditionalFormatting>
  <conditionalFormatting sqref="M180">
    <cfRule type="containsText" dxfId="6677" priority="6964" operator="containsText" text="No se pudo ejecutar">
      <formula>NOT(ISERROR(SEARCH("No se pudo ejecutar",M180)))</formula>
    </cfRule>
    <cfRule type="containsText" dxfId="6676" priority="6965" operator="containsText" text="Pendiente">
      <formula>NOT(ISERROR(SEARCH("Pendiente",M180)))</formula>
    </cfRule>
    <cfRule type="containsText" dxfId="6675" priority="6966" operator="containsText" text="No Aplica">
      <formula>NOT(ISERROR(SEARCH("No Aplica",M180)))</formula>
    </cfRule>
    <cfRule type="containsText" dxfId="6674" priority="6967" operator="containsText" text="Fallido">
      <formula>NOT(ISERROR(SEARCH("Fallido",M180)))</formula>
    </cfRule>
    <cfRule type="containsText" dxfId="6673" priority="6968" operator="containsText" text="Éxitoso">
      <formula>NOT(ISERROR(SEARCH("Éxitoso",M180)))</formula>
    </cfRule>
  </conditionalFormatting>
  <conditionalFormatting sqref="G180">
    <cfRule type="containsText" dxfId="6672" priority="6961" operator="containsText" text="Bajo">
      <formula>NOT(ISERROR(SEARCH("Bajo",G180)))</formula>
    </cfRule>
    <cfRule type="containsText" dxfId="6671" priority="6962" operator="containsText" text="Medio">
      <formula>NOT(ISERROR(SEARCH("Medio",G180)))</formula>
    </cfRule>
    <cfRule type="containsText" dxfId="6670" priority="6963" operator="containsText" text="Alto">
      <formula>NOT(ISERROR(SEARCH("Alto",G180)))</formula>
    </cfRule>
  </conditionalFormatting>
  <conditionalFormatting sqref="N181">
    <cfRule type="containsText" dxfId="6669" priority="6956" operator="containsText" text="No se pudo ejecutar">
      <formula>NOT(ISERROR(SEARCH("No se pudo ejecutar",N181)))</formula>
    </cfRule>
    <cfRule type="containsText" dxfId="6668" priority="6957" operator="containsText" text="Pendiente">
      <formula>NOT(ISERROR(SEARCH("Pendiente",N181)))</formula>
    </cfRule>
    <cfRule type="containsText" dxfId="6667" priority="6958" operator="containsText" text="No Aplica">
      <formula>NOT(ISERROR(SEARCH("No Aplica",N181)))</formula>
    </cfRule>
    <cfRule type="containsText" dxfId="6666" priority="6959" operator="containsText" text="Fallido">
      <formula>NOT(ISERROR(SEARCH("Fallido",N181)))</formula>
    </cfRule>
    <cfRule type="containsText" dxfId="6665" priority="6960" operator="containsText" text="Éxitoso">
      <formula>NOT(ISERROR(SEARCH("Éxitoso",N181)))</formula>
    </cfRule>
  </conditionalFormatting>
  <conditionalFormatting sqref="O181">
    <cfRule type="containsText" dxfId="6664" priority="6951" operator="containsText" text="No se pudo ejecutar">
      <formula>NOT(ISERROR(SEARCH("No se pudo ejecutar",O181)))</formula>
    </cfRule>
    <cfRule type="containsText" dxfId="6663" priority="6952" operator="containsText" text="Pendiente">
      <formula>NOT(ISERROR(SEARCH("Pendiente",O181)))</formula>
    </cfRule>
    <cfRule type="containsText" dxfId="6662" priority="6953" operator="containsText" text="No Aplica">
      <formula>NOT(ISERROR(SEARCH("No Aplica",O181)))</formula>
    </cfRule>
    <cfRule type="containsText" dxfId="6661" priority="6954" operator="containsText" text="Fallido">
      <formula>NOT(ISERROR(SEARCH("Fallido",O181)))</formula>
    </cfRule>
    <cfRule type="containsText" dxfId="6660" priority="6955" operator="containsText" text="Éxitoso">
      <formula>NOT(ISERROR(SEARCH("Éxitoso",O181)))</formula>
    </cfRule>
  </conditionalFormatting>
  <conditionalFormatting sqref="P181">
    <cfRule type="containsText" dxfId="6659" priority="6946" operator="containsText" text="No se pudo ejecutar">
      <formula>NOT(ISERROR(SEARCH("No se pudo ejecutar",P181)))</formula>
    </cfRule>
    <cfRule type="containsText" dxfId="6658" priority="6947" operator="containsText" text="Pendiente">
      <formula>NOT(ISERROR(SEARCH("Pendiente",P181)))</formula>
    </cfRule>
    <cfRule type="containsText" dxfId="6657" priority="6948" operator="containsText" text="No Aplica">
      <formula>NOT(ISERROR(SEARCH("No Aplica",P181)))</formula>
    </cfRule>
    <cfRule type="containsText" dxfId="6656" priority="6949" operator="containsText" text="Fallido">
      <formula>NOT(ISERROR(SEARCH("Fallido",P181)))</formula>
    </cfRule>
    <cfRule type="containsText" dxfId="6655" priority="6950" operator="containsText" text="Éxitoso">
      <formula>NOT(ISERROR(SEARCH("Éxitoso",P181)))</formula>
    </cfRule>
  </conditionalFormatting>
  <conditionalFormatting sqref="Q181">
    <cfRule type="containsText" dxfId="6654" priority="6941" operator="containsText" text="No se pudo ejecutar">
      <formula>NOT(ISERROR(SEARCH("No se pudo ejecutar",Q181)))</formula>
    </cfRule>
    <cfRule type="containsText" dxfId="6653" priority="6942" operator="containsText" text="Pendiente">
      <formula>NOT(ISERROR(SEARCH("Pendiente",Q181)))</formula>
    </cfRule>
    <cfRule type="containsText" dxfId="6652" priority="6943" operator="containsText" text="No Aplica">
      <formula>NOT(ISERROR(SEARCH("No Aplica",Q181)))</formula>
    </cfRule>
    <cfRule type="containsText" dxfId="6651" priority="6944" operator="containsText" text="Fallido">
      <formula>NOT(ISERROR(SEARCH("Fallido",Q181)))</formula>
    </cfRule>
    <cfRule type="containsText" dxfId="6650" priority="6945" operator="containsText" text="Éxitoso">
      <formula>NOT(ISERROR(SEARCH("Éxitoso",Q181)))</formula>
    </cfRule>
  </conditionalFormatting>
  <conditionalFormatting sqref="R181">
    <cfRule type="containsText" dxfId="6649" priority="6936" operator="containsText" text="No se pudo ejecutar">
      <formula>NOT(ISERROR(SEARCH("No se pudo ejecutar",R181)))</formula>
    </cfRule>
    <cfRule type="containsText" dxfId="6648" priority="6937" operator="containsText" text="Pendiente">
      <formula>NOT(ISERROR(SEARCH("Pendiente",R181)))</formula>
    </cfRule>
    <cfRule type="containsText" dxfId="6647" priority="6938" operator="containsText" text="No Aplica">
      <formula>NOT(ISERROR(SEARCH("No Aplica",R181)))</formula>
    </cfRule>
    <cfRule type="containsText" dxfId="6646" priority="6939" operator="containsText" text="Fallido">
      <formula>NOT(ISERROR(SEARCH("Fallido",R181)))</formula>
    </cfRule>
    <cfRule type="containsText" dxfId="6645" priority="6940" operator="containsText" text="Éxitoso">
      <formula>NOT(ISERROR(SEARCH("Éxitoso",R181)))</formula>
    </cfRule>
  </conditionalFormatting>
  <conditionalFormatting sqref="S181">
    <cfRule type="containsText" dxfId="6644" priority="6931" operator="containsText" text="No se pudo ejecutar">
      <formula>NOT(ISERROR(SEARCH("No se pudo ejecutar",S181)))</formula>
    </cfRule>
    <cfRule type="containsText" dxfId="6643" priority="6932" operator="containsText" text="Pendiente">
      <formula>NOT(ISERROR(SEARCH("Pendiente",S181)))</formula>
    </cfRule>
    <cfRule type="containsText" dxfId="6642" priority="6933" operator="containsText" text="No Aplica">
      <formula>NOT(ISERROR(SEARCH("No Aplica",S181)))</formula>
    </cfRule>
    <cfRule type="containsText" dxfId="6641" priority="6934" operator="containsText" text="Fallido">
      <formula>NOT(ISERROR(SEARCH("Fallido",S181)))</formula>
    </cfRule>
    <cfRule type="containsText" dxfId="6640" priority="6935" operator="containsText" text="Éxitoso">
      <formula>NOT(ISERROR(SEARCH("Éxitoso",S181)))</formula>
    </cfRule>
  </conditionalFormatting>
  <conditionalFormatting sqref="T181">
    <cfRule type="containsText" dxfId="6639" priority="6926" operator="containsText" text="No se pudo ejecutar">
      <formula>NOT(ISERROR(SEARCH("No se pudo ejecutar",T181)))</formula>
    </cfRule>
    <cfRule type="containsText" dxfId="6638" priority="6927" operator="containsText" text="Pendiente">
      <formula>NOT(ISERROR(SEARCH("Pendiente",T181)))</formula>
    </cfRule>
    <cfRule type="containsText" dxfId="6637" priority="6928" operator="containsText" text="No Aplica">
      <formula>NOT(ISERROR(SEARCH("No Aplica",T181)))</formula>
    </cfRule>
    <cfRule type="containsText" dxfId="6636" priority="6929" operator="containsText" text="Fallido">
      <formula>NOT(ISERROR(SEARCH("Fallido",T181)))</formula>
    </cfRule>
    <cfRule type="containsText" dxfId="6635" priority="6930" operator="containsText" text="Éxitoso">
      <formula>NOT(ISERROR(SEARCH("Éxitoso",T181)))</formula>
    </cfRule>
  </conditionalFormatting>
  <conditionalFormatting sqref="U181">
    <cfRule type="containsText" dxfId="6634" priority="6921" operator="containsText" text="No se pudo ejecutar">
      <formula>NOT(ISERROR(SEARCH("No se pudo ejecutar",U181)))</formula>
    </cfRule>
    <cfRule type="containsText" dxfId="6633" priority="6922" operator="containsText" text="Pendiente">
      <formula>NOT(ISERROR(SEARCH("Pendiente",U181)))</formula>
    </cfRule>
    <cfRule type="containsText" dxfId="6632" priority="6923" operator="containsText" text="No Aplica">
      <formula>NOT(ISERROR(SEARCH("No Aplica",U181)))</formula>
    </cfRule>
    <cfRule type="containsText" dxfId="6631" priority="6924" operator="containsText" text="Fallido">
      <formula>NOT(ISERROR(SEARCH("Fallido",U181)))</formula>
    </cfRule>
    <cfRule type="containsText" dxfId="6630" priority="6925" operator="containsText" text="Éxitoso">
      <formula>NOT(ISERROR(SEARCH("Éxitoso",U181)))</formula>
    </cfRule>
  </conditionalFormatting>
  <conditionalFormatting sqref="V181">
    <cfRule type="containsText" dxfId="6629" priority="6916" operator="containsText" text="No se pudo ejecutar">
      <formula>NOT(ISERROR(SEARCH("No se pudo ejecutar",V181)))</formula>
    </cfRule>
    <cfRule type="containsText" dxfId="6628" priority="6917" operator="containsText" text="Pendiente">
      <formula>NOT(ISERROR(SEARCH("Pendiente",V181)))</formula>
    </cfRule>
    <cfRule type="containsText" dxfId="6627" priority="6918" operator="containsText" text="No Aplica">
      <formula>NOT(ISERROR(SEARCH("No Aplica",V181)))</formula>
    </cfRule>
    <cfRule type="containsText" dxfId="6626" priority="6919" operator="containsText" text="Fallido">
      <formula>NOT(ISERROR(SEARCH("Fallido",V181)))</formula>
    </cfRule>
    <cfRule type="containsText" dxfId="6625" priority="6920" operator="containsText" text="Éxitoso">
      <formula>NOT(ISERROR(SEARCH("Éxitoso",V181)))</formula>
    </cfRule>
  </conditionalFormatting>
  <conditionalFormatting sqref="W181">
    <cfRule type="containsText" dxfId="6624" priority="6911" operator="containsText" text="No se pudo ejecutar">
      <formula>NOT(ISERROR(SEARCH("No se pudo ejecutar",W181)))</formula>
    </cfRule>
    <cfRule type="containsText" dxfId="6623" priority="6912" operator="containsText" text="Pendiente">
      <formula>NOT(ISERROR(SEARCH("Pendiente",W181)))</formula>
    </cfRule>
    <cfRule type="containsText" dxfId="6622" priority="6913" operator="containsText" text="No Aplica">
      <formula>NOT(ISERROR(SEARCH("No Aplica",W181)))</formula>
    </cfRule>
    <cfRule type="containsText" dxfId="6621" priority="6914" operator="containsText" text="Fallido">
      <formula>NOT(ISERROR(SEARCH("Fallido",W181)))</formula>
    </cfRule>
    <cfRule type="containsText" dxfId="6620" priority="6915" operator="containsText" text="Éxitoso">
      <formula>NOT(ISERROR(SEARCH("Éxitoso",W181)))</formula>
    </cfRule>
  </conditionalFormatting>
  <conditionalFormatting sqref="M181">
    <cfRule type="containsText" dxfId="6619" priority="6906" operator="containsText" text="No se pudo ejecutar">
      <formula>NOT(ISERROR(SEARCH("No se pudo ejecutar",M181)))</formula>
    </cfRule>
    <cfRule type="containsText" dxfId="6618" priority="6907" operator="containsText" text="Pendiente">
      <formula>NOT(ISERROR(SEARCH("Pendiente",M181)))</formula>
    </cfRule>
    <cfRule type="containsText" dxfId="6617" priority="6908" operator="containsText" text="No Aplica">
      <formula>NOT(ISERROR(SEARCH("No Aplica",M181)))</formula>
    </cfRule>
    <cfRule type="containsText" dxfId="6616" priority="6909" operator="containsText" text="Fallido">
      <formula>NOT(ISERROR(SEARCH("Fallido",M181)))</formula>
    </cfRule>
    <cfRule type="containsText" dxfId="6615" priority="6910" operator="containsText" text="Éxitoso">
      <formula>NOT(ISERROR(SEARCH("Éxitoso",M181)))</formula>
    </cfRule>
  </conditionalFormatting>
  <conditionalFormatting sqref="G181">
    <cfRule type="containsText" dxfId="6614" priority="6903" operator="containsText" text="Bajo">
      <formula>NOT(ISERROR(SEARCH("Bajo",G181)))</formula>
    </cfRule>
    <cfRule type="containsText" dxfId="6613" priority="6904" operator="containsText" text="Medio">
      <formula>NOT(ISERROR(SEARCH("Medio",G181)))</formula>
    </cfRule>
    <cfRule type="containsText" dxfId="6612" priority="6905" operator="containsText" text="Alto">
      <formula>NOT(ISERROR(SEARCH("Alto",G181)))</formula>
    </cfRule>
  </conditionalFormatting>
  <conditionalFormatting sqref="N182">
    <cfRule type="containsText" dxfId="6611" priority="6898" operator="containsText" text="No se pudo ejecutar">
      <formula>NOT(ISERROR(SEARCH("No se pudo ejecutar",N182)))</formula>
    </cfRule>
    <cfRule type="containsText" dxfId="6610" priority="6899" operator="containsText" text="Pendiente">
      <formula>NOT(ISERROR(SEARCH("Pendiente",N182)))</formula>
    </cfRule>
    <cfRule type="containsText" dxfId="6609" priority="6900" operator="containsText" text="No Aplica">
      <formula>NOT(ISERROR(SEARCH("No Aplica",N182)))</formula>
    </cfRule>
    <cfRule type="containsText" dxfId="6608" priority="6901" operator="containsText" text="Fallido">
      <formula>NOT(ISERROR(SEARCH("Fallido",N182)))</formula>
    </cfRule>
    <cfRule type="containsText" dxfId="6607" priority="6902" operator="containsText" text="Éxitoso">
      <formula>NOT(ISERROR(SEARCH("Éxitoso",N182)))</formula>
    </cfRule>
  </conditionalFormatting>
  <conditionalFormatting sqref="O182">
    <cfRule type="containsText" dxfId="6606" priority="6893" operator="containsText" text="No se pudo ejecutar">
      <formula>NOT(ISERROR(SEARCH("No se pudo ejecutar",O182)))</formula>
    </cfRule>
    <cfRule type="containsText" dxfId="6605" priority="6894" operator="containsText" text="Pendiente">
      <formula>NOT(ISERROR(SEARCH("Pendiente",O182)))</formula>
    </cfRule>
    <cfRule type="containsText" dxfId="6604" priority="6895" operator="containsText" text="No Aplica">
      <formula>NOT(ISERROR(SEARCH("No Aplica",O182)))</formula>
    </cfRule>
    <cfRule type="containsText" dxfId="6603" priority="6896" operator="containsText" text="Fallido">
      <formula>NOT(ISERROR(SEARCH("Fallido",O182)))</formula>
    </cfRule>
    <cfRule type="containsText" dxfId="6602" priority="6897" operator="containsText" text="Éxitoso">
      <formula>NOT(ISERROR(SEARCH("Éxitoso",O182)))</formula>
    </cfRule>
  </conditionalFormatting>
  <conditionalFormatting sqref="P182">
    <cfRule type="containsText" dxfId="6601" priority="6888" operator="containsText" text="No se pudo ejecutar">
      <formula>NOT(ISERROR(SEARCH("No se pudo ejecutar",P182)))</formula>
    </cfRule>
    <cfRule type="containsText" dxfId="6600" priority="6889" operator="containsText" text="Pendiente">
      <formula>NOT(ISERROR(SEARCH("Pendiente",P182)))</formula>
    </cfRule>
    <cfRule type="containsText" dxfId="6599" priority="6890" operator="containsText" text="No Aplica">
      <formula>NOT(ISERROR(SEARCH("No Aplica",P182)))</formula>
    </cfRule>
    <cfRule type="containsText" dxfId="6598" priority="6891" operator="containsText" text="Fallido">
      <formula>NOT(ISERROR(SEARCH("Fallido",P182)))</formula>
    </cfRule>
    <cfRule type="containsText" dxfId="6597" priority="6892" operator="containsText" text="Éxitoso">
      <formula>NOT(ISERROR(SEARCH("Éxitoso",P182)))</formula>
    </cfRule>
  </conditionalFormatting>
  <conditionalFormatting sqref="Q182">
    <cfRule type="containsText" dxfId="6596" priority="6883" operator="containsText" text="No se pudo ejecutar">
      <formula>NOT(ISERROR(SEARCH("No se pudo ejecutar",Q182)))</formula>
    </cfRule>
    <cfRule type="containsText" dxfId="6595" priority="6884" operator="containsText" text="Pendiente">
      <formula>NOT(ISERROR(SEARCH("Pendiente",Q182)))</formula>
    </cfRule>
    <cfRule type="containsText" dxfId="6594" priority="6885" operator="containsText" text="No Aplica">
      <formula>NOT(ISERROR(SEARCH("No Aplica",Q182)))</formula>
    </cfRule>
    <cfRule type="containsText" dxfId="6593" priority="6886" operator="containsText" text="Fallido">
      <formula>NOT(ISERROR(SEARCH("Fallido",Q182)))</formula>
    </cfRule>
    <cfRule type="containsText" dxfId="6592" priority="6887" operator="containsText" text="Éxitoso">
      <formula>NOT(ISERROR(SEARCH("Éxitoso",Q182)))</formula>
    </cfRule>
  </conditionalFormatting>
  <conditionalFormatting sqref="R182">
    <cfRule type="containsText" dxfId="6591" priority="6878" operator="containsText" text="No se pudo ejecutar">
      <formula>NOT(ISERROR(SEARCH("No se pudo ejecutar",R182)))</formula>
    </cfRule>
    <cfRule type="containsText" dxfId="6590" priority="6879" operator="containsText" text="Pendiente">
      <formula>NOT(ISERROR(SEARCH("Pendiente",R182)))</formula>
    </cfRule>
    <cfRule type="containsText" dxfId="6589" priority="6880" operator="containsText" text="No Aplica">
      <formula>NOT(ISERROR(SEARCH("No Aplica",R182)))</formula>
    </cfRule>
    <cfRule type="containsText" dxfId="6588" priority="6881" operator="containsText" text="Fallido">
      <formula>NOT(ISERROR(SEARCH("Fallido",R182)))</formula>
    </cfRule>
    <cfRule type="containsText" dxfId="6587" priority="6882" operator="containsText" text="Éxitoso">
      <formula>NOT(ISERROR(SEARCH("Éxitoso",R182)))</formula>
    </cfRule>
  </conditionalFormatting>
  <conditionalFormatting sqref="S182">
    <cfRule type="containsText" dxfId="6586" priority="6873" operator="containsText" text="No se pudo ejecutar">
      <formula>NOT(ISERROR(SEARCH("No se pudo ejecutar",S182)))</formula>
    </cfRule>
    <cfRule type="containsText" dxfId="6585" priority="6874" operator="containsText" text="Pendiente">
      <formula>NOT(ISERROR(SEARCH("Pendiente",S182)))</formula>
    </cfRule>
    <cfRule type="containsText" dxfId="6584" priority="6875" operator="containsText" text="No Aplica">
      <formula>NOT(ISERROR(SEARCH("No Aplica",S182)))</formula>
    </cfRule>
    <cfRule type="containsText" dxfId="6583" priority="6876" operator="containsText" text="Fallido">
      <formula>NOT(ISERROR(SEARCH("Fallido",S182)))</formula>
    </cfRule>
    <cfRule type="containsText" dxfId="6582" priority="6877" operator="containsText" text="Éxitoso">
      <formula>NOT(ISERROR(SEARCH("Éxitoso",S182)))</formula>
    </cfRule>
  </conditionalFormatting>
  <conditionalFormatting sqref="T182">
    <cfRule type="containsText" dxfId="6581" priority="6868" operator="containsText" text="No se pudo ejecutar">
      <formula>NOT(ISERROR(SEARCH("No se pudo ejecutar",T182)))</formula>
    </cfRule>
    <cfRule type="containsText" dxfId="6580" priority="6869" operator="containsText" text="Pendiente">
      <formula>NOT(ISERROR(SEARCH("Pendiente",T182)))</formula>
    </cfRule>
    <cfRule type="containsText" dxfId="6579" priority="6870" operator="containsText" text="No Aplica">
      <formula>NOT(ISERROR(SEARCH("No Aplica",T182)))</formula>
    </cfRule>
    <cfRule type="containsText" dxfId="6578" priority="6871" operator="containsText" text="Fallido">
      <formula>NOT(ISERROR(SEARCH("Fallido",T182)))</formula>
    </cfRule>
    <cfRule type="containsText" dxfId="6577" priority="6872" operator="containsText" text="Éxitoso">
      <formula>NOT(ISERROR(SEARCH("Éxitoso",T182)))</formula>
    </cfRule>
  </conditionalFormatting>
  <conditionalFormatting sqref="U182">
    <cfRule type="containsText" dxfId="6576" priority="6863" operator="containsText" text="No se pudo ejecutar">
      <formula>NOT(ISERROR(SEARCH("No se pudo ejecutar",U182)))</formula>
    </cfRule>
    <cfRule type="containsText" dxfId="6575" priority="6864" operator="containsText" text="Pendiente">
      <formula>NOT(ISERROR(SEARCH("Pendiente",U182)))</formula>
    </cfRule>
    <cfRule type="containsText" dxfId="6574" priority="6865" operator="containsText" text="No Aplica">
      <formula>NOT(ISERROR(SEARCH("No Aplica",U182)))</formula>
    </cfRule>
    <cfRule type="containsText" dxfId="6573" priority="6866" operator="containsText" text="Fallido">
      <formula>NOT(ISERROR(SEARCH("Fallido",U182)))</formula>
    </cfRule>
    <cfRule type="containsText" dxfId="6572" priority="6867" operator="containsText" text="Éxitoso">
      <formula>NOT(ISERROR(SEARCH("Éxitoso",U182)))</formula>
    </cfRule>
  </conditionalFormatting>
  <conditionalFormatting sqref="V182">
    <cfRule type="containsText" dxfId="6571" priority="6858" operator="containsText" text="No se pudo ejecutar">
      <formula>NOT(ISERROR(SEARCH("No se pudo ejecutar",V182)))</formula>
    </cfRule>
    <cfRule type="containsText" dxfId="6570" priority="6859" operator="containsText" text="Pendiente">
      <formula>NOT(ISERROR(SEARCH("Pendiente",V182)))</formula>
    </cfRule>
    <cfRule type="containsText" dxfId="6569" priority="6860" operator="containsText" text="No Aplica">
      <formula>NOT(ISERROR(SEARCH("No Aplica",V182)))</formula>
    </cfRule>
    <cfRule type="containsText" dxfId="6568" priority="6861" operator="containsText" text="Fallido">
      <formula>NOT(ISERROR(SEARCH("Fallido",V182)))</formula>
    </cfRule>
    <cfRule type="containsText" dxfId="6567" priority="6862" operator="containsText" text="Éxitoso">
      <formula>NOT(ISERROR(SEARCH("Éxitoso",V182)))</formula>
    </cfRule>
  </conditionalFormatting>
  <conditionalFormatting sqref="W182">
    <cfRule type="containsText" dxfId="6566" priority="6853" operator="containsText" text="No se pudo ejecutar">
      <formula>NOT(ISERROR(SEARCH("No se pudo ejecutar",W182)))</formula>
    </cfRule>
    <cfRule type="containsText" dxfId="6565" priority="6854" operator="containsText" text="Pendiente">
      <formula>NOT(ISERROR(SEARCH("Pendiente",W182)))</formula>
    </cfRule>
    <cfRule type="containsText" dxfId="6564" priority="6855" operator="containsText" text="No Aplica">
      <formula>NOT(ISERROR(SEARCH("No Aplica",W182)))</formula>
    </cfRule>
    <cfRule type="containsText" dxfId="6563" priority="6856" operator="containsText" text="Fallido">
      <formula>NOT(ISERROR(SEARCH("Fallido",W182)))</formula>
    </cfRule>
    <cfRule type="containsText" dxfId="6562" priority="6857" operator="containsText" text="Éxitoso">
      <formula>NOT(ISERROR(SEARCH("Éxitoso",W182)))</formula>
    </cfRule>
  </conditionalFormatting>
  <conditionalFormatting sqref="M182">
    <cfRule type="containsText" dxfId="6561" priority="6848" operator="containsText" text="No se pudo ejecutar">
      <formula>NOT(ISERROR(SEARCH("No se pudo ejecutar",M182)))</formula>
    </cfRule>
    <cfRule type="containsText" dxfId="6560" priority="6849" operator="containsText" text="Pendiente">
      <formula>NOT(ISERROR(SEARCH("Pendiente",M182)))</formula>
    </cfRule>
    <cfRule type="containsText" dxfId="6559" priority="6850" operator="containsText" text="No Aplica">
      <formula>NOT(ISERROR(SEARCH("No Aplica",M182)))</formula>
    </cfRule>
    <cfRule type="containsText" dxfId="6558" priority="6851" operator="containsText" text="Fallido">
      <formula>NOT(ISERROR(SEARCH("Fallido",M182)))</formula>
    </cfRule>
    <cfRule type="containsText" dxfId="6557" priority="6852" operator="containsText" text="Éxitoso">
      <formula>NOT(ISERROR(SEARCH("Éxitoso",M182)))</formula>
    </cfRule>
  </conditionalFormatting>
  <conditionalFormatting sqref="G182">
    <cfRule type="containsText" dxfId="6556" priority="6845" operator="containsText" text="Bajo">
      <formula>NOT(ISERROR(SEARCH("Bajo",G182)))</formula>
    </cfRule>
    <cfRule type="containsText" dxfId="6555" priority="6846" operator="containsText" text="Medio">
      <formula>NOT(ISERROR(SEARCH("Medio",G182)))</formula>
    </cfRule>
    <cfRule type="containsText" dxfId="6554" priority="6847" operator="containsText" text="Alto">
      <formula>NOT(ISERROR(SEARCH("Alto",G182)))</formula>
    </cfRule>
  </conditionalFormatting>
  <conditionalFormatting sqref="N183">
    <cfRule type="containsText" dxfId="6553" priority="6840" operator="containsText" text="No se pudo ejecutar">
      <formula>NOT(ISERROR(SEARCH("No se pudo ejecutar",N183)))</formula>
    </cfRule>
    <cfRule type="containsText" dxfId="6552" priority="6841" operator="containsText" text="Pendiente">
      <formula>NOT(ISERROR(SEARCH("Pendiente",N183)))</formula>
    </cfRule>
    <cfRule type="containsText" dxfId="6551" priority="6842" operator="containsText" text="No Aplica">
      <formula>NOT(ISERROR(SEARCH("No Aplica",N183)))</formula>
    </cfRule>
    <cfRule type="containsText" dxfId="6550" priority="6843" operator="containsText" text="Fallido">
      <formula>NOT(ISERROR(SEARCH("Fallido",N183)))</formula>
    </cfRule>
    <cfRule type="containsText" dxfId="6549" priority="6844" operator="containsText" text="Éxitoso">
      <formula>NOT(ISERROR(SEARCH("Éxitoso",N183)))</formula>
    </cfRule>
  </conditionalFormatting>
  <conditionalFormatting sqref="O183">
    <cfRule type="containsText" dxfId="6548" priority="6835" operator="containsText" text="No se pudo ejecutar">
      <formula>NOT(ISERROR(SEARCH("No se pudo ejecutar",O183)))</formula>
    </cfRule>
    <cfRule type="containsText" dxfId="6547" priority="6836" operator="containsText" text="Pendiente">
      <formula>NOT(ISERROR(SEARCH("Pendiente",O183)))</formula>
    </cfRule>
    <cfRule type="containsText" dxfId="6546" priority="6837" operator="containsText" text="No Aplica">
      <formula>NOT(ISERROR(SEARCH("No Aplica",O183)))</formula>
    </cfRule>
    <cfRule type="containsText" dxfId="6545" priority="6838" operator="containsText" text="Fallido">
      <formula>NOT(ISERROR(SEARCH("Fallido",O183)))</formula>
    </cfRule>
    <cfRule type="containsText" dxfId="6544" priority="6839" operator="containsText" text="Éxitoso">
      <formula>NOT(ISERROR(SEARCH("Éxitoso",O183)))</formula>
    </cfRule>
  </conditionalFormatting>
  <conditionalFormatting sqref="P183">
    <cfRule type="containsText" dxfId="6543" priority="6830" operator="containsText" text="No se pudo ejecutar">
      <formula>NOT(ISERROR(SEARCH("No se pudo ejecutar",P183)))</formula>
    </cfRule>
    <cfRule type="containsText" dxfId="6542" priority="6831" operator="containsText" text="Pendiente">
      <formula>NOT(ISERROR(SEARCH("Pendiente",P183)))</formula>
    </cfRule>
    <cfRule type="containsText" dxfId="6541" priority="6832" operator="containsText" text="No Aplica">
      <formula>NOT(ISERROR(SEARCH("No Aplica",P183)))</formula>
    </cfRule>
    <cfRule type="containsText" dxfId="6540" priority="6833" operator="containsText" text="Fallido">
      <formula>NOT(ISERROR(SEARCH("Fallido",P183)))</formula>
    </cfRule>
    <cfRule type="containsText" dxfId="6539" priority="6834" operator="containsText" text="Éxitoso">
      <formula>NOT(ISERROR(SEARCH("Éxitoso",P183)))</formula>
    </cfRule>
  </conditionalFormatting>
  <conditionalFormatting sqref="Q183">
    <cfRule type="containsText" dxfId="6538" priority="6825" operator="containsText" text="No se pudo ejecutar">
      <formula>NOT(ISERROR(SEARCH("No se pudo ejecutar",Q183)))</formula>
    </cfRule>
    <cfRule type="containsText" dxfId="6537" priority="6826" operator="containsText" text="Pendiente">
      <formula>NOT(ISERROR(SEARCH("Pendiente",Q183)))</formula>
    </cfRule>
    <cfRule type="containsText" dxfId="6536" priority="6827" operator="containsText" text="No Aplica">
      <formula>NOT(ISERROR(SEARCH("No Aplica",Q183)))</formula>
    </cfRule>
    <cfRule type="containsText" dxfId="6535" priority="6828" operator="containsText" text="Fallido">
      <formula>NOT(ISERROR(SEARCH("Fallido",Q183)))</formula>
    </cfRule>
    <cfRule type="containsText" dxfId="6534" priority="6829" operator="containsText" text="Éxitoso">
      <formula>NOT(ISERROR(SEARCH("Éxitoso",Q183)))</formula>
    </cfRule>
  </conditionalFormatting>
  <conditionalFormatting sqref="R183">
    <cfRule type="containsText" dxfId="6533" priority="6820" operator="containsText" text="No se pudo ejecutar">
      <formula>NOT(ISERROR(SEARCH("No se pudo ejecutar",R183)))</formula>
    </cfRule>
    <cfRule type="containsText" dxfId="6532" priority="6821" operator="containsText" text="Pendiente">
      <formula>NOT(ISERROR(SEARCH("Pendiente",R183)))</formula>
    </cfRule>
    <cfRule type="containsText" dxfId="6531" priority="6822" operator="containsText" text="No Aplica">
      <formula>NOT(ISERROR(SEARCH("No Aplica",R183)))</formula>
    </cfRule>
    <cfRule type="containsText" dxfId="6530" priority="6823" operator="containsText" text="Fallido">
      <formula>NOT(ISERROR(SEARCH("Fallido",R183)))</formula>
    </cfRule>
    <cfRule type="containsText" dxfId="6529" priority="6824" operator="containsText" text="Éxitoso">
      <formula>NOT(ISERROR(SEARCH("Éxitoso",R183)))</formula>
    </cfRule>
  </conditionalFormatting>
  <conditionalFormatting sqref="S183">
    <cfRule type="containsText" dxfId="6528" priority="6815" operator="containsText" text="No se pudo ejecutar">
      <formula>NOT(ISERROR(SEARCH("No se pudo ejecutar",S183)))</formula>
    </cfRule>
    <cfRule type="containsText" dxfId="6527" priority="6816" operator="containsText" text="Pendiente">
      <formula>NOT(ISERROR(SEARCH("Pendiente",S183)))</formula>
    </cfRule>
    <cfRule type="containsText" dxfId="6526" priority="6817" operator="containsText" text="No Aplica">
      <formula>NOT(ISERROR(SEARCH("No Aplica",S183)))</formula>
    </cfRule>
    <cfRule type="containsText" dxfId="6525" priority="6818" operator="containsText" text="Fallido">
      <formula>NOT(ISERROR(SEARCH("Fallido",S183)))</formula>
    </cfRule>
    <cfRule type="containsText" dxfId="6524" priority="6819" operator="containsText" text="Éxitoso">
      <formula>NOT(ISERROR(SEARCH("Éxitoso",S183)))</formula>
    </cfRule>
  </conditionalFormatting>
  <conditionalFormatting sqref="T183">
    <cfRule type="containsText" dxfId="6523" priority="6810" operator="containsText" text="No se pudo ejecutar">
      <formula>NOT(ISERROR(SEARCH("No se pudo ejecutar",T183)))</formula>
    </cfRule>
    <cfRule type="containsText" dxfId="6522" priority="6811" operator="containsText" text="Pendiente">
      <formula>NOT(ISERROR(SEARCH("Pendiente",T183)))</formula>
    </cfRule>
    <cfRule type="containsText" dxfId="6521" priority="6812" operator="containsText" text="No Aplica">
      <formula>NOT(ISERROR(SEARCH("No Aplica",T183)))</formula>
    </cfRule>
    <cfRule type="containsText" dxfId="6520" priority="6813" operator="containsText" text="Fallido">
      <formula>NOT(ISERROR(SEARCH("Fallido",T183)))</formula>
    </cfRule>
    <cfRule type="containsText" dxfId="6519" priority="6814" operator="containsText" text="Éxitoso">
      <formula>NOT(ISERROR(SEARCH("Éxitoso",T183)))</formula>
    </cfRule>
  </conditionalFormatting>
  <conditionalFormatting sqref="U183">
    <cfRule type="containsText" dxfId="6518" priority="6805" operator="containsText" text="No se pudo ejecutar">
      <formula>NOT(ISERROR(SEARCH("No se pudo ejecutar",U183)))</formula>
    </cfRule>
    <cfRule type="containsText" dxfId="6517" priority="6806" operator="containsText" text="Pendiente">
      <formula>NOT(ISERROR(SEARCH("Pendiente",U183)))</formula>
    </cfRule>
    <cfRule type="containsText" dxfId="6516" priority="6807" operator="containsText" text="No Aplica">
      <formula>NOT(ISERROR(SEARCH("No Aplica",U183)))</formula>
    </cfRule>
    <cfRule type="containsText" dxfId="6515" priority="6808" operator="containsText" text="Fallido">
      <formula>NOT(ISERROR(SEARCH("Fallido",U183)))</formula>
    </cfRule>
    <cfRule type="containsText" dxfId="6514" priority="6809" operator="containsText" text="Éxitoso">
      <formula>NOT(ISERROR(SEARCH("Éxitoso",U183)))</formula>
    </cfRule>
  </conditionalFormatting>
  <conditionalFormatting sqref="V183">
    <cfRule type="containsText" dxfId="6513" priority="6800" operator="containsText" text="No se pudo ejecutar">
      <formula>NOT(ISERROR(SEARCH("No se pudo ejecutar",V183)))</formula>
    </cfRule>
    <cfRule type="containsText" dxfId="6512" priority="6801" operator="containsText" text="Pendiente">
      <formula>NOT(ISERROR(SEARCH("Pendiente",V183)))</formula>
    </cfRule>
    <cfRule type="containsText" dxfId="6511" priority="6802" operator="containsText" text="No Aplica">
      <formula>NOT(ISERROR(SEARCH("No Aplica",V183)))</formula>
    </cfRule>
    <cfRule type="containsText" dxfId="6510" priority="6803" operator="containsText" text="Fallido">
      <formula>NOT(ISERROR(SEARCH("Fallido",V183)))</formula>
    </cfRule>
    <cfRule type="containsText" dxfId="6509" priority="6804" operator="containsText" text="Éxitoso">
      <formula>NOT(ISERROR(SEARCH("Éxitoso",V183)))</formula>
    </cfRule>
  </conditionalFormatting>
  <conditionalFormatting sqref="W183">
    <cfRule type="containsText" dxfId="6508" priority="6795" operator="containsText" text="No se pudo ejecutar">
      <formula>NOT(ISERROR(SEARCH("No se pudo ejecutar",W183)))</formula>
    </cfRule>
    <cfRule type="containsText" dxfId="6507" priority="6796" operator="containsText" text="Pendiente">
      <formula>NOT(ISERROR(SEARCH("Pendiente",W183)))</formula>
    </cfRule>
    <cfRule type="containsText" dxfId="6506" priority="6797" operator="containsText" text="No Aplica">
      <formula>NOT(ISERROR(SEARCH("No Aplica",W183)))</formula>
    </cfRule>
    <cfRule type="containsText" dxfId="6505" priority="6798" operator="containsText" text="Fallido">
      <formula>NOT(ISERROR(SEARCH("Fallido",W183)))</formula>
    </cfRule>
    <cfRule type="containsText" dxfId="6504" priority="6799" operator="containsText" text="Éxitoso">
      <formula>NOT(ISERROR(SEARCH("Éxitoso",W183)))</formula>
    </cfRule>
  </conditionalFormatting>
  <conditionalFormatting sqref="M183">
    <cfRule type="containsText" dxfId="6503" priority="6790" operator="containsText" text="No se pudo ejecutar">
      <formula>NOT(ISERROR(SEARCH("No se pudo ejecutar",M183)))</formula>
    </cfRule>
    <cfRule type="containsText" dxfId="6502" priority="6791" operator="containsText" text="Pendiente">
      <formula>NOT(ISERROR(SEARCH("Pendiente",M183)))</formula>
    </cfRule>
    <cfRule type="containsText" dxfId="6501" priority="6792" operator="containsText" text="No Aplica">
      <formula>NOT(ISERROR(SEARCH("No Aplica",M183)))</formula>
    </cfRule>
    <cfRule type="containsText" dxfId="6500" priority="6793" operator="containsText" text="Fallido">
      <formula>NOT(ISERROR(SEARCH("Fallido",M183)))</formula>
    </cfRule>
    <cfRule type="containsText" dxfId="6499" priority="6794" operator="containsText" text="Éxitoso">
      <formula>NOT(ISERROR(SEARCH("Éxitoso",M183)))</formula>
    </cfRule>
  </conditionalFormatting>
  <conditionalFormatting sqref="G183">
    <cfRule type="containsText" dxfId="6498" priority="6787" operator="containsText" text="Bajo">
      <formula>NOT(ISERROR(SEARCH("Bajo",G183)))</formula>
    </cfRule>
    <cfRule type="containsText" dxfId="6497" priority="6788" operator="containsText" text="Medio">
      <formula>NOT(ISERROR(SEARCH("Medio",G183)))</formula>
    </cfRule>
    <cfRule type="containsText" dxfId="6496" priority="6789" operator="containsText" text="Alto">
      <formula>NOT(ISERROR(SEARCH("Alto",G183)))</formula>
    </cfRule>
  </conditionalFormatting>
  <conditionalFormatting sqref="N184">
    <cfRule type="containsText" dxfId="6495" priority="6782" operator="containsText" text="No se pudo ejecutar">
      <formula>NOT(ISERROR(SEARCH("No se pudo ejecutar",N184)))</formula>
    </cfRule>
    <cfRule type="containsText" dxfId="6494" priority="6783" operator="containsText" text="Pendiente">
      <formula>NOT(ISERROR(SEARCH("Pendiente",N184)))</formula>
    </cfRule>
    <cfRule type="containsText" dxfId="6493" priority="6784" operator="containsText" text="No Aplica">
      <formula>NOT(ISERROR(SEARCH("No Aplica",N184)))</formula>
    </cfRule>
    <cfRule type="containsText" dxfId="6492" priority="6785" operator="containsText" text="Fallido">
      <formula>NOT(ISERROR(SEARCH("Fallido",N184)))</formula>
    </cfRule>
    <cfRule type="containsText" dxfId="6491" priority="6786" operator="containsText" text="Éxitoso">
      <formula>NOT(ISERROR(SEARCH("Éxitoso",N184)))</formula>
    </cfRule>
  </conditionalFormatting>
  <conditionalFormatting sqref="O184">
    <cfRule type="containsText" dxfId="6490" priority="6777" operator="containsText" text="No se pudo ejecutar">
      <formula>NOT(ISERROR(SEARCH("No se pudo ejecutar",O184)))</formula>
    </cfRule>
    <cfRule type="containsText" dxfId="6489" priority="6778" operator="containsText" text="Pendiente">
      <formula>NOT(ISERROR(SEARCH("Pendiente",O184)))</formula>
    </cfRule>
    <cfRule type="containsText" dxfId="6488" priority="6779" operator="containsText" text="No Aplica">
      <formula>NOT(ISERROR(SEARCH("No Aplica",O184)))</formula>
    </cfRule>
    <cfRule type="containsText" dxfId="6487" priority="6780" operator="containsText" text="Fallido">
      <formula>NOT(ISERROR(SEARCH("Fallido",O184)))</formula>
    </cfRule>
    <cfRule type="containsText" dxfId="6486" priority="6781" operator="containsText" text="Éxitoso">
      <formula>NOT(ISERROR(SEARCH("Éxitoso",O184)))</formula>
    </cfRule>
  </conditionalFormatting>
  <conditionalFormatting sqref="P184">
    <cfRule type="containsText" dxfId="6485" priority="6772" operator="containsText" text="No se pudo ejecutar">
      <formula>NOT(ISERROR(SEARCH("No se pudo ejecutar",P184)))</formula>
    </cfRule>
    <cfRule type="containsText" dxfId="6484" priority="6773" operator="containsText" text="Pendiente">
      <formula>NOT(ISERROR(SEARCH("Pendiente",P184)))</formula>
    </cfRule>
    <cfRule type="containsText" dxfId="6483" priority="6774" operator="containsText" text="No Aplica">
      <formula>NOT(ISERROR(SEARCH("No Aplica",P184)))</formula>
    </cfRule>
    <cfRule type="containsText" dxfId="6482" priority="6775" operator="containsText" text="Fallido">
      <formula>NOT(ISERROR(SEARCH("Fallido",P184)))</formula>
    </cfRule>
    <cfRule type="containsText" dxfId="6481" priority="6776" operator="containsText" text="Éxitoso">
      <formula>NOT(ISERROR(SEARCH("Éxitoso",P184)))</formula>
    </cfRule>
  </conditionalFormatting>
  <conditionalFormatting sqref="Q184">
    <cfRule type="containsText" dxfId="6480" priority="6767" operator="containsText" text="No se pudo ejecutar">
      <formula>NOT(ISERROR(SEARCH("No se pudo ejecutar",Q184)))</formula>
    </cfRule>
    <cfRule type="containsText" dxfId="6479" priority="6768" operator="containsText" text="Pendiente">
      <formula>NOT(ISERROR(SEARCH("Pendiente",Q184)))</formula>
    </cfRule>
    <cfRule type="containsText" dxfId="6478" priority="6769" operator="containsText" text="No Aplica">
      <formula>NOT(ISERROR(SEARCH("No Aplica",Q184)))</formula>
    </cfRule>
    <cfRule type="containsText" dxfId="6477" priority="6770" operator="containsText" text="Fallido">
      <formula>NOT(ISERROR(SEARCH("Fallido",Q184)))</formula>
    </cfRule>
    <cfRule type="containsText" dxfId="6476" priority="6771" operator="containsText" text="Éxitoso">
      <formula>NOT(ISERROR(SEARCH("Éxitoso",Q184)))</formula>
    </cfRule>
  </conditionalFormatting>
  <conditionalFormatting sqref="R184">
    <cfRule type="containsText" dxfId="6475" priority="6762" operator="containsText" text="No se pudo ejecutar">
      <formula>NOT(ISERROR(SEARCH("No se pudo ejecutar",R184)))</formula>
    </cfRule>
    <cfRule type="containsText" dxfId="6474" priority="6763" operator="containsText" text="Pendiente">
      <formula>NOT(ISERROR(SEARCH("Pendiente",R184)))</formula>
    </cfRule>
    <cfRule type="containsText" dxfId="6473" priority="6764" operator="containsText" text="No Aplica">
      <formula>NOT(ISERROR(SEARCH("No Aplica",R184)))</formula>
    </cfRule>
    <cfRule type="containsText" dxfId="6472" priority="6765" operator="containsText" text="Fallido">
      <formula>NOT(ISERROR(SEARCH("Fallido",R184)))</formula>
    </cfRule>
    <cfRule type="containsText" dxfId="6471" priority="6766" operator="containsText" text="Éxitoso">
      <formula>NOT(ISERROR(SEARCH("Éxitoso",R184)))</formula>
    </cfRule>
  </conditionalFormatting>
  <conditionalFormatting sqref="S184">
    <cfRule type="containsText" dxfId="6470" priority="6757" operator="containsText" text="No se pudo ejecutar">
      <formula>NOT(ISERROR(SEARCH("No se pudo ejecutar",S184)))</formula>
    </cfRule>
    <cfRule type="containsText" dxfId="6469" priority="6758" operator="containsText" text="Pendiente">
      <formula>NOT(ISERROR(SEARCH("Pendiente",S184)))</formula>
    </cfRule>
    <cfRule type="containsText" dxfId="6468" priority="6759" operator="containsText" text="No Aplica">
      <formula>NOT(ISERROR(SEARCH("No Aplica",S184)))</formula>
    </cfRule>
    <cfRule type="containsText" dxfId="6467" priority="6760" operator="containsText" text="Fallido">
      <formula>NOT(ISERROR(SEARCH("Fallido",S184)))</formula>
    </cfRule>
    <cfRule type="containsText" dxfId="6466" priority="6761" operator="containsText" text="Éxitoso">
      <formula>NOT(ISERROR(SEARCH("Éxitoso",S184)))</formula>
    </cfRule>
  </conditionalFormatting>
  <conditionalFormatting sqref="T184">
    <cfRule type="containsText" dxfId="6465" priority="6752" operator="containsText" text="No se pudo ejecutar">
      <formula>NOT(ISERROR(SEARCH("No se pudo ejecutar",T184)))</formula>
    </cfRule>
    <cfRule type="containsText" dxfId="6464" priority="6753" operator="containsText" text="Pendiente">
      <formula>NOT(ISERROR(SEARCH("Pendiente",T184)))</formula>
    </cfRule>
    <cfRule type="containsText" dxfId="6463" priority="6754" operator="containsText" text="No Aplica">
      <formula>NOT(ISERROR(SEARCH("No Aplica",T184)))</formula>
    </cfRule>
    <cfRule type="containsText" dxfId="6462" priority="6755" operator="containsText" text="Fallido">
      <formula>NOT(ISERROR(SEARCH("Fallido",T184)))</formula>
    </cfRule>
    <cfRule type="containsText" dxfId="6461" priority="6756" operator="containsText" text="Éxitoso">
      <formula>NOT(ISERROR(SEARCH("Éxitoso",T184)))</formula>
    </cfRule>
  </conditionalFormatting>
  <conditionalFormatting sqref="U184">
    <cfRule type="containsText" dxfId="6460" priority="6747" operator="containsText" text="No se pudo ejecutar">
      <formula>NOT(ISERROR(SEARCH("No se pudo ejecutar",U184)))</formula>
    </cfRule>
    <cfRule type="containsText" dxfId="6459" priority="6748" operator="containsText" text="Pendiente">
      <formula>NOT(ISERROR(SEARCH("Pendiente",U184)))</formula>
    </cfRule>
    <cfRule type="containsText" dxfId="6458" priority="6749" operator="containsText" text="No Aplica">
      <formula>NOT(ISERROR(SEARCH("No Aplica",U184)))</formula>
    </cfRule>
    <cfRule type="containsText" dxfId="6457" priority="6750" operator="containsText" text="Fallido">
      <formula>NOT(ISERROR(SEARCH("Fallido",U184)))</formula>
    </cfRule>
    <cfRule type="containsText" dxfId="6456" priority="6751" operator="containsText" text="Éxitoso">
      <formula>NOT(ISERROR(SEARCH("Éxitoso",U184)))</formula>
    </cfRule>
  </conditionalFormatting>
  <conditionalFormatting sqref="V184">
    <cfRule type="containsText" dxfId="6455" priority="6742" operator="containsText" text="No se pudo ejecutar">
      <formula>NOT(ISERROR(SEARCH("No se pudo ejecutar",V184)))</formula>
    </cfRule>
    <cfRule type="containsText" dxfId="6454" priority="6743" operator="containsText" text="Pendiente">
      <formula>NOT(ISERROR(SEARCH("Pendiente",V184)))</formula>
    </cfRule>
    <cfRule type="containsText" dxfId="6453" priority="6744" operator="containsText" text="No Aplica">
      <formula>NOT(ISERROR(SEARCH("No Aplica",V184)))</formula>
    </cfRule>
    <cfRule type="containsText" dxfId="6452" priority="6745" operator="containsText" text="Fallido">
      <formula>NOT(ISERROR(SEARCH("Fallido",V184)))</formula>
    </cfRule>
    <cfRule type="containsText" dxfId="6451" priority="6746" operator="containsText" text="Éxitoso">
      <formula>NOT(ISERROR(SEARCH("Éxitoso",V184)))</formula>
    </cfRule>
  </conditionalFormatting>
  <conditionalFormatting sqref="W184">
    <cfRule type="containsText" dxfId="6450" priority="6737" operator="containsText" text="No se pudo ejecutar">
      <formula>NOT(ISERROR(SEARCH("No se pudo ejecutar",W184)))</formula>
    </cfRule>
    <cfRule type="containsText" dxfId="6449" priority="6738" operator="containsText" text="Pendiente">
      <formula>NOT(ISERROR(SEARCH("Pendiente",W184)))</formula>
    </cfRule>
    <cfRule type="containsText" dxfId="6448" priority="6739" operator="containsText" text="No Aplica">
      <formula>NOT(ISERROR(SEARCH("No Aplica",W184)))</formula>
    </cfRule>
    <cfRule type="containsText" dxfId="6447" priority="6740" operator="containsText" text="Fallido">
      <formula>NOT(ISERROR(SEARCH("Fallido",W184)))</formula>
    </cfRule>
    <cfRule type="containsText" dxfId="6446" priority="6741" operator="containsText" text="Éxitoso">
      <formula>NOT(ISERROR(SEARCH("Éxitoso",W184)))</formula>
    </cfRule>
  </conditionalFormatting>
  <conditionalFormatting sqref="M184">
    <cfRule type="containsText" dxfId="6445" priority="6732" operator="containsText" text="No se pudo ejecutar">
      <formula>NOT(ISERROR(SEARCH("No se pudo ejecutar",M184)))</formula>
    </cfRule>
    <cfRule type="containsText" dxfId="6444" priority="6733" operator="containsText" text="Pendiente">
      <formula>NOT(ISERROR(SEARCH("Pendiente",M184)))</formula>
    </cfRule>
    <cfRule type="containsText" dxfId="6443" priority="6734" operator="containsText" text="No Aplica">
      <formula>NOT(ISERROR(SEARCH("No Aplica",M184)))</formula>
    </cfRule>
    <cfRule type="containsText" dxfId="6442" priority="6735" operator="containsText" text="Fallido">
      <formula>NOT(ISERROR(SEARCH("Fallido",M184)))</formula>
    </cfRule>
    <cfRule type="containsText" dxfId="6441" priority="6736" operator="containsText" text="Éxitoso">
      <formula>NOT(ISERROR(SEARCH("Éxitoso",M184)))</formula>
    </cfRule>
  </conditionalFormatting>
  <conditionalFormatting sqref="G184">
    <cfRule type="containsText" dxfId="6440" priority="6729" operator="containsText" text="Bajo">
      <formula>NOT(ISERROR(SEARCH("Bajo",G184)))</formula>
    </cfRule>
    <cfRule type="containsText" dxfId="6439" priority="6730" operator="containsText" text="Medio">
      <formula>NOT(ISERROR(SEARCH("Medio",G184)))</formula>
    </cfRule>
    <cfRule type="containsText" dxfId="6438" priority="6731" operator="containsText" text="Alto">
      <formula>NOT(ISERROR(SEARCH("Alto",G184)))</formula>
    </cfRule>
  </conditionalFormatting>
  <conditionalFormatting sqref="N185">
    <cfRule type="containsText" dxfId="6437" priority="6724" operator="containsText" text="No se pudo ejecutar">
      <formula>NOT(ISERROR(SEARCH("No se pudo ejecutar",N185)))</formula>
    </cfRule>
    <cfRule type="containsText" dxfId="6436" priority="6725" operator="containsText" text="Pendiente">
      <formula>NOT(ISERROR(SEARCH("Pendiente",N185)))</formula>
    </cfRule>
    <cfRule type="containsText" dxfId="6435" priority="6726" operator="containsText" text="No Aplica">
      <formula>NOT(ISERROR(SEARCH("No Aplica",N185)))</formula>
    </cfRule>
    <cfRule type="containsText" dxfId="6434" priority="6727" operator="containsText" text="Fallido">
      <formula>NOT(ISERROR(SEARCH("Fallido",N185)))</formula>
    </cfRule>
    <cfRule type="containsText" dxfId="6433" priority="6728" operator="containsText" text="Éxitoso">
      <formula>NOT(ISERROR(SEARCH("Éxitoso",N185)))</formula>
    </cfRule>
  </conditionalFormatting>
  <conditionalFormatting sqref="O185">
    <cfRule type="containsText" dxfId="6432" priority="6719" operator="containsText" text="No se pudo ejecutar">
      <formula>NOT(ISERROR(SEARCH("No se pudo ejecutar",O185)))</formula>
    </cfRule>
    <cfRule type="containsText" dxfId="6431" priority="6720" operator="containsText" text="Pendiente">
      <formula>NOT(ISERROR(SEARCH("Pendiente",O185)))</formula>
    </cfRule>
    <cfRule type="containsText" dxfId="6430" priority="6721" operator="containsText" text="No Aplica">
      <formula>NOT(ISERROR(SEARCH("No Aplica",O185)))</formula>
    </cfRule>
    <cfRule type="containsText" dxfId="6429" priority="6722" operator="containsText" text="Fallido">
      <formula>NOT(ISERROR(SEARCH("Fallido",O185)))</formula>
    </cfRule>
    <cfRule type="containsText" dxfId="6428" priority="6723" operator="containsText" text="Éxitoso">
      <formula>NOT(ISERROR(SEARCH("Éxitoso",O185)))</formula>
    </cfRule>
  </conditionalFormatting>
  <conditionalFormatting sqref="P185">
    <cfRule type="containsText" dxfId="6427" priority="6714" operator="containsText" text="No se pudo ejecutar">
      <formula>NOT(ISERROR(SEARCH("No se pudo ejecutar",P185)))</formula>
    </cfRule>
    <cfRule type="containsText" dxfId="6426" priority="6715" operator="containsText" text="Pendiente">
      <formula>NOT(ISERROR(SEARCH("Pendiente",P185)))</formula>
    </cfRule>
    <cfRule type="containsText" dxfId="6425" priority="6716" operator="containsText" text="No Aplica">
      <formula>NOT(ISERROR(SEARCH("No Aplica",P185)))</formula>
    </cfRule>
    <cfRule type="containsText" dxfId="6424" priority="6717" operator="containsText" text="Fallido">
      <formula>NOT(ISERROR(SEARCH("Fallido",P185)))</formula>
    </cfRule>
    <cfRule type="containsText" dxfId="6423" priority="6718" operator="containsText" text="Éxitoso">
      <formula>NOT(ISERROR(SEARCH("Éxitoso",P185)))</formula>
    </cfRule>
  </conditionalFormatting>
  <conditionalFormatting sqref="Q185">
    <cfRule type="containsText" dxfId="6422" priority="6709" operator="containsText" text="No se pudo ejecutar">
      <formula>NOT(ISERROR(SEARCH("No se pudo ejecutar",Q185)))</formula>
    </cfRule>
    <cfRule type="containsText" dxfId="6421" priority="6710" operator="containsText" text="Pendiente">
      <formula>NOT(ISERROR(SEARCH("Pendiente",Q185)))</formula>
    </cfRule>
    <cfRule type="containsText" dxfId="6420" priority="6711" operator="containsText" text="No Aplica">
      <formula>NOT(ISERROR(SEARCH("No Aplica",Q185)))</formula>
    </cfRule>
    <cfRule type="containsText" dxfId="6419" priority="6712" operator="containsText" text="Fallido">
      <formula>NOT(ISERROR(SEARCH("Fallido",Q185)))</formula>
    </cfRule>
    <cfRule type="containsText" dxfId="6418" priority="6713" operator="containsText" text="Éxitoso">
      <formula>NOT(ISERROR(SEARCH("Éxitoso",Q185)))</formula>
    </cfRule>
  </conditionalFormatting>
  <conditionalFormatting sqref="R185">
    <cfRule type="containsText" dxfId="6417" priority="6704" operator="containsText" text="No se pudo ejecutar">
      <formula>NOT(ISERROR(SEARCH("No se pudo ejecutar",R185)))</formula>
    </cfRule>
    <cfRule type="containsText" dxfId="6416" priority="6705" operator="containsText" text="Pendiente">
      <formula>NOT(ISERROR(SEARCH("Pendiente",R185)))</formula>
    </cfRule>
    <cfRule type="containsText" dxfId="6415" priority="6706" operator="containsText" text="No Aplica">
      <formula>NOT(ISERROR(SEARCH("No Aplica",R185)))</formula>
    </cfRule>
    <cfRule type="containsText" dxfId="6414" priority="6707" operator="containsText" text="Fallido">
      <formula>NOT(ISERROR(SEARCH("Fallido",R185)))</formula>
    </cfRule>
    <cfRule type="containsText" dxfId="6413" priority="6708" operator="containsText" text="Éxitoso">
      <formula>NOT(ISERROR(SEARCH("Éxitoso",R185)))</formula>
    </cfRule>
  </conditionalFormatting>
  <conditionalFormatting sqref="S185">
    <cfRule type="containsText" dxfId="6412" priority="6699" operator="containsText" text="No se pudo ejecutar">
      <formula>NOT(ISERROR(SEARCH("No se pudo ejecutar",S185)))</formula>
    </cfRule>
    <cfRule type="containsText" dxfId="6411" priority="6700" operator="containsText" text="Pendiente">
      <formula>NOT(ISERROR(SEARCH("Pendiente",S185)))</formula>
    </cfRule>
    <cfRule type="containsText" dxfId="6410" priority="6701" operator="containsText" text="No Aplica">
      <formula>NOT(ISERROR(SEARCH("No Aplica",S185)))</formula>
    </cfRule>
    <cfRule type="containsText" dxfId="6409" priority="6702" operator="containsText" text="Fallido">
      <formula>NOT(ISERROR(SEARCH("Fallido",S185)))</formula>
    </cfRule>
    <cfRule type="containsText" dxfId="6408" priority="6703" operator="containsText" text="Éxitoso">
      <formula>NOT(ISERROR(SEARCH("Éxitoso",S185)))</formula>
    </cfRule>
  </conditionalFormatting>
  <conditionalFormatting sqref="T185">
    <cfRule type="containsText" dxfId="6407" priority="6694" operator="containsText" text="No se pudo ejecutar">
      <formula>NOT(ISERROR(SEARCH("No se pudo ejecutar",T185)))</formula>
    </cfRule>
    <cfRule type="containsText" dxfId="6406" priority="6695" operator="containsText" text="Pendiente">
      <formula>NOT(ISERROR(SEARCH("Pendiente",T185)))</formula>
    </cfRule>
    <cfRule type="containsText" dxfId="6405" priority="6696" operator="containsText" text="No Aplica">
      <formula>NOT(ISERROR(SEARCH("No Aplica",T185)))</formula>
    </cfRule>
    <cfRule type="containsText" dxfId="6404" priority="6697" operator="containsText" text="Fallido">
      <formula>NOT(ISERROR(SEARCH("Fallido",T185)))</formula>
    </cfRule>
    <cfRule type="containsText" dxfId="6403" priority="6698" operator="containsText" text="Éxitoso">
      <formula>NOT(ISERROR(SEARCH("Éxitoso",T185)))</formula>
    </cfRule>
  </conditionalFormatting>
  <conditionalFormatting sqref="U185">
    <cfRule type="containsText" dxfId="6402" priority="6689" operator="containsText" text="No se pudo ejecutar">
      <formula>NOT(ISERROR(SEARCH("No se pudo ejecutar",U185)))</formula>
    </cfRule>
    <cfRule type="containsText" dxfId="6401" priority="6690" operator="containsText" text="Pendiente">
      <formula>NOT(ISERROR(SEARCH("Pendiente",U185)))</formula>
    </cfRule>
    <cfRule type="containsText" dxfId="6400" priority="6691" operator="containsText" text="No Aplica">
      <formula>NOT(ISERROR(SEARCH("No Aplica",U185)))</formula>
    </cfRule>
    <cfRule type="containsText" dxfId="6399" priority="6692" operator="containsText" text="Fallido">
      <formula>NOT(ISERROR(SEARCH("Fallido",U185)))</formula>
    </cfRule>
    <cfRule type="containsText" dxfId="6398" priority="6693" operator="containsText" text="Éxitoso">
      <formula>NOT(ISERROR(SEARCH("Éxitoso",U185)))</formula>
    </cfRule>
  </conditionalFormatting>
  <conditionalFormatting sqref="V185">
    <cfRule type="containsText" dxfId="6397" priority="6684" operator="containsText" text="No se pudo ejecutar">
      <formula>NOT(ISERROR(SEARCH("No se pudo ejecutar",V185)))</formula>
    </cfRule>
    <cfRule type="containsText" dxfId="6396" priority="6685" operator="containsText" text="Pendiente">
      <formula>NOT(ISERROR(SEARCH("Pendiente",V185)))</formula>
    </cfRule>
    <cfRule type="containsText" dxfId="6395" priority="6686" operator="containsText" text="No Aplica">
      <formula>NOT(ISERROR(SEARCH("No Aplica",V185)))</formula>
    </cfRule>
    <cfRule type="containsText" dxfId="6394" priority="6687" operator="containsText" text="Fallido">
      <formula>NOT(ISERROR(SEARCH("Fallido",V185)))</formula>
    </cfRule>
    <cfRule type="containsText" dxfId="6393" priority="6688" operator="containsText" text="Éxitoso">
      <formula>NOT(ISERROR(SEARCH("Éxitoso",V185)))</formula>
    </cfRule>
  </conditionalFormatting>
  <conditionalFormatting sqref="W185">
    <cfRule type="containsText" dxfId="6392" priority="6679" operator="containsText" text="No se pudo ejecutar">
      <formula>NOT(ISERROR(SEARCH("No se pudo ejecutar",W185)))</formula>
    </cfRule>
    <cfRule type="containsText" dxfId="6391" priority="6680" operator="containsText" text="Pendiente">
      <formula>NOT(ISERROR(SEARCH("Pendiente",W185)))</formula>
    </cfRule>
    <cfRule type="containsText" dxfId="6390" priority="6681" operator="containsText" text="No Aplica">
      <formula>NOT(ISERROR(SEARCH("No Aplica",W185)))</formula>
    </cfRule>
    <cfRule type="containsText" dxfId="6389" priority="6682" operator="containsText" text="Fallido">
      <formula>NOT(ISERROR(SEARCH("Fallido",W185)))</formula>
    </cfRule>
    <cfRule type="containsText" dxfId="6388" priority="6683" operator="containsText" text="Éxitoso">
      <formula>NOT(ISERROR(SEARCH("Éxitoso",W185)))</formula>
    </cfRule>
  </conditionalFormatting>
  <conditionalFormatting sqref="M185">
    <cfRule type="containsText" dxfId="6387" priority="6674" operator="containsText" text="No se pudo ejecutar">
      <formula>NOT(ISERROR(SEARCH("No se pudo ejecutar",M185)))</formula>
    </cfRule>
    <cfRule type="containsText" dxfId="6386" priority="6675" operator="containsText" text="Pendiente">
      <formula>NOT(ISERROR(SEARCH("Pendiente",M185)))</formula>
    </cfRule>
    <cfRule type="containsText" dxfId="6385" priority="6676" operator="containsText" text="No Aplica">
      <formula>NOT(ISERROR(SEARCH("No Aplica",M185)))</formula>
    </cfRule>
    <cfRule type="containsText" dxfId="6384" priority="6677" operator="containsText" text="Fallido">
      <formula>NOT(ISERROR(SEARCH("Fallido",M185)))</formula>
    </cfRule>
    <cfRule type="containsText" dxfId="6383" priority="6678" operator="containsText" text="Éxitoso">
      <formula>NOT(ISERROR(SEARCH("Éxitoso",M185)))</formula>
    </cfRule>
  </conditionalFormatting>
  <conditionalFormatting sqref="G185">
    <cfRule type="containsText" dxfId="6382" priority="6671" operator="containsText" text="Bajo">
      <formula>NOT(ISERROR(SEARCH("Bajo",G185)))</formula>
    </cfRule>
    <cfRule type="containsText" dxfId="6381" priority="6672" operator="containsText" text="Medio">
      <formula>NOT(ISERROR(SEARCH("Medio",G185)))</formula>
    </cfRule>
    <cfRule type="containsText" dxfId="6380" priority="6673" operator="containsText" text="Alto">
      <formula>NOT(ISERROR(SEARCH("Alto",G185)))</formula>
    </cfRule>
  </conditionalFormatting>
  <conditionalFormatting sqref="N186">
    <cfRule type="containsText" dxfId="6379" priority="6666" operator="containsText" text="No se pudo ejecutar">
      <formula>NOT(ISERROR(SEARCH("No se pudo ejecutar",N186)))</formula>
    </cfRule>
    <cfRule type="containsText" dxfId="6378" priority="6667" operator="containsText" text="Pendiente">
      <formula>NOT(ISERROR(SEARCH("Pendiente",N186)))</formula>
    </cfRule>
    <cfRule type="containsText" dxfId="6377" priority="6668" operator="containsText" text="No Aplica">
      <formula>NOT(ISERROR(SEARCH("No Aplica",N186)))</formula>
    </cfRule>
    <cfRule type="containsText" dxfId="6376" priority="6669" operator="containsText" text="Fallido">
      <formula>NOT(ISERROR(SEARCH("Fallido",N186)))</formula>
    </cfRule>
    <cfRule type="containsText" dxfId="6375" priority="6670" operator="containsText" text="Éxitoso">
      <formula>NOT(ISERROR(SEARCH("Éxitoso",N186)))</formula>
    </cfRule>
  </conditionalFormatting>
  <conditionalFormatting sqref="O186">
    <cfRule type="containsText" dxfId="6374" priority="6661" operator="containsText" text="No se pudo ejecutar">
      <formula>NOT(ISERROR(SEARCH("No se pudo ejecutar",O186)))</formula>
    </cfRule>
    <cfRule type="containsText" dxfId="6373" priority="6662" operator="containsText" text="Pendiente">
      <formula>NOT(ISERROR(SEARCH("Pendiente",O186)))</formula>
    </cfRule>
    <cfRule type="containsText" dxfId="6372" priority="6663" operator="containsText" text="No Aplica">
      <formula>NOT(ISERROR(SEARCH("No Aplica",O186)))</formula>
    </cfRule>
    <cfRule type="containsText" dxfId="6371" priority="6664" operator="containsText" text="Fallido">
      <formula>NOT(ISERROR(SEARCH("Fallido",O186)))</formula>
    </cfRule>
    <cfRule type="containsText" dxfId="6370" priority="6665" operator="containsText" text="Éxitoso">
      <formula>NOT(ISERROR(SEARCH("Éxitoso",O186)))</formula>
    </cfRule>
  </conditionalFormatting>
  <conditionalFormatting sqref="P186">
    <cfRule type="containsText" dxfId="6369" priority="6656" operator="containsText" text="No se pudo ejecutar">
      <formula>NOT(ISERROR(SEARCH("No se pudo ejecutar",P186)))</formula>
    </cfRule>
    <cfRule type="containsText" dxfId="6368" priority="6657" operator="containsText" text="Pendiente">
      <formula>NOT(ISERROR(SEARCH("Pendiente",P186)))</formula>
    </cfRule>
    <cfRule type="containsText" dxfId="6367" priority="6658" operator="containsText" text="No Aplica">
      <formula>NOT(ISERROR(SEARCH("No Aplica",P186)))</formula>
    </cfRule>
    <cfRule type="containsText" dxfId="6366" priority="6659" operator="containsText" text="Fallido">
      <formula>NOT(ISERROR(SEARCH("Fallido",P186)))</formula>
    </cfRule>
    <cfRule type="containsText" dxfId="6365" priority="6660" operator="containsText" text="Éxitoso">
      <formula>NOT(ISERROR(SEARCH("Éxitoso",P186)))</formula>
    </cfRule>
  </conditionalFormatting>
  <conditionalFormatting sqref="Q186">
    <cfRule type="containsText" dxfId="6364" priority="6651" operator="containsText" text="No se pudo ejecutar">
      <formula>NOT(ISERROR(SEARCH("No se pudo ejecutar",Q186)))</formula>
    </cfRule>
    <cfRule type="containsText" dxfId="6363" priority="6652" operator="containsText" text="Pendiente">
      <formula>NOT(ISERROR(SEARCH("Pendiente",Q186)))</formula>
    </cfRule>
    <cfRule type="containsText" dxfId="6362" priority="6653" operator="containsText" text="No Aplica">
      <formula>NOT(ISERROR(SEARCH("No Aplica",Q186)))</formula>
    </cfRule>
    <cfRule type="containsText" dxfId="6361" priority="6654" operator="containsText" text="Fallido">
      <formula>NOT(ISERROR(SEARCH("Fallido",Q186)))</formula>
    </cfRule>
    <cfRule type="containsText" dxfId="6360" priority="6655" operator="containsText" text="Éxitoso">
      <formula>NOT(ISERROR(SEARCH("Éxitoso",Q186)))</formula>
    </cfRule>
  </conditionalFormatting>
  <conditionalFormatting sqref="R186">
    <cfRule type="containsText" dxfId="6359" priority="6646" operator="containsText" text="No se pudo ejecutar">
      <formula>NOT(ISERROR(SEARCH("No se pudo ejecutar",R186)))</formula>
    </cfRule>
    <cfRule type="containsText" dxfId="6358" priority="6647" operator="containsText" text="Pendiente">
      <formula>NOT(ISERROR(SEARCH("Pendiente",R186)))</formula>
    </cfRule>
    <cfRule type="containsText" dxfId="6357" priority="6648" operator="containsText" text="No Aplica">
      <formula>NOT(ISERROR(SEARCH("No Aplica",R186)))</formula>
    </cfRule>
    <cfRule type="containsText" dxfId="6356" priority="6649" operator="containsText" text="Fallido">
      <formula>NOT(ISERROR(SEARCH("Fallido",R186)))</formula>
    </cfRule>
    <cfRule type="containsText" dxfId="6355" priority="6650" operator="containsText" text="Éxitoso">
      <formula>NOT(ISERROR(SEARCH("Éxitoso",R186)))</formula>
    </cfRule>
  </conditionalFormatting>
  <conditionalFormatting sqref="S186">
    <cfRule type="containsText" dxfId="6354" priority="6641" operator="containsText" text="No se pudo ejecutar">
      <formula>NOT(ISERROR(SEARCH("No se pudo ejecutar",S186)))</formula>
    </cfRule>
    <cfRule type="containsText" dxfId="6353" priority="6642" operator="containsText" text="Pendiente">
      <formula>NOT(ISERROR(SEARCH("Pendiente",S186)))</formula>
    </cfRule>
    <cfRule type="containsText" dxfId="6352" priority="6643" operator="containsText" text="No Aplica">
      <formula>NOT(ISERROR(SEARCH("No Aplica",S186)))</formula>
    </cfRule>
    <cfRule type="containsText" dxfId="6351" priority="6644" operator="containsText" text="Fallido">
      <formula>NOT(ISERROR(SEARCH("Fallido",S186)))</formula>
    </cfRule>
    <cfRule type="containsText" dxfId="6350" priority="6645" operator="containsText" text="Éxitoso">
      <formula>NOT(ISERROR(SEARCH("Éxitoso",S186)))</formula>
    </cfRule>
  </conditionalFormatting>
  <conditionalFormatting sqref="T186">
    <cfRule type="containsText" dxfId="6349" priority="6636" operator="containsText" text="No se pudo ejecutar">
      <formula>NOT(ISERROR(SEARCH("No se pudo ejecutar",T186)))</formula>
    </cfRule>
    <cfRule type="containsText" dxfId="6348" priority="6637" operator="containsText" text="Pendiente">
      <formula>NOT(ISERROR(SEARCH("Pendiente",T186)))</formula>
    </cfRule>
    <cfRule type="containsText" dxfId="6347" priority="6638" operator="containsText" text="No Aplica">
      <formula>NOT(ISERROR(SEARCH("No Aplica",T186)))</formula>
    </cfRule>
    <cfRule type="containsText" dxfId="6346" priority="6639" operator="containsText" text="Fallido">
      <formula>NOT(ISERROR(SEARCH("Fallido",T186)))</formula>
    </cfRule>
    <cfRule type="containsText" dxfId="6345" priority="6640" operator="containsText" text="Éxitoso">
      <formula>NOT(ISERROR(SEARCH("Éxitoso",T186)))</formula>
    </cfRule>
  </conditionalFormatting>
  <conditionalFormatting sqref="U186">
    <cfRule type="containsText" dxfId="6344" priority="6631" operator="containsText" text="No se pudo ejecutar">
      <formula>NOT(ISERROR(SEARCH("No se pudo ejecutar",U186)))</formula>
    </cfRule>
    <cfRule type="containsText" dxfId="6343" priority="6632" operator="containsText" text="Pendiente">
      <formula>NOT(ISERROR(SEARCH("Pendiente",U186)))</formula>
    </cfRule>
    <cfRule type="containsText" dxfId="6342" priority="6633" operator="containsText" text="No Aplica">
      <formula>NOT(ISERROR(SEARCH("No Aplica",U186)))</formula>
    </cfRule>
    <cfRule type="containsText" dxfId="6341" priority="6634" operator="containsText" text="Fallido">
      <formula>NOT(ISERROR(SEARCH("Fallido",U186)))</formula>
    </cfRule>
    <cfRule type="containsText" dxfId="6340" priority="6635" operator="containsText" text="Éxitoso">
      <formula>NOT(ISERROR(SEARCH("Éxitoso",U186)))</formula>
    </cfRule>
  </conditionalFormatting>
  <conditionalFormatting sqref="V186">
    <cfRule type="containsText" dxfId="6339" priority="6626" operator="containsText" text="No se pudo ejecutar">
      <formula>NOT(ISERROR(SEARCH("No se pudo ejecutar",V186)))</formula>
    </cfRule>
    <cfRule type="containsText" dxfId="6338" priority="6627" operator="containsText" text="Pendiente">
      <formula>NOT(ISERROR(SEARCH("Pendiente",V186)))</formula>
    </cfRule>
    <cfRule type="containsText" dxfId="6337" priority="6628" operator="containsText" text="No Aplica">
      <formula>NOT(ISERROR(SEARCH("No Aplica",V186)))</formula>
    </cfRule>
    <cfRule type="containsText" dxfId="6336" priority="6629" operator="containsText" text="Fallido">
      <formula>NOT(ISERROR(SEARCH("Fallido",V186)))</formula>
    </cfRule>
    <cfRule type="containsText" dxfId="6335" priority="6630" operator="containsText" text="Éxitoso">
      <formula>NOT(ISERROR(SEARCH("Éxitoso",V186)))</formula>
    </cfRule>
  </conditionalFormatting>
  <conditionalFormatting sqref="W186">
    <cfRule type="containsText" dxfId="6334" priority="6621" operator="containsText" text="No se pudo ejecutar">
      <formula>NOT(ISERROR(SEARCH("No se pudo ejecutar",W186)))</formula>
    </cfRule>
    <cfRule type="containsText" dxfId="6333" priority="6622" operator="containsText" text="Pendiente">
      <formula>NOT(ISERROR(SEARCH("Pendiente",W186)))</formula>
    </cfRule>
    <cfRule type="containsText" dxfId="6332" priority="6623" operator="containsText" text="No Aplica">
      <formula>NOT(ISERROR(SEARCH("No Aplica",W186)))</formula>
    </cfRule>
    <cfRule type="containsText" dxfId="6331" priority="6624" operator="containsText" text="Fallido">
      <formula>NOT(ISERROR(SEARCH("Fallido",W186)))</formula>
    </cfRule>
    <cfRule type="containsText" dxfId="6330" priority="6625" operator="containsText" text="Éxitoso">
      <formula>NOT(ISERROR(SEARCH("Éxitoso",W186)))</formula>
    </cfRule>
  </conditionalFormatting>
  <conditionalFormatting sqref="M186">
    <cfRule type="containsText" dxfId="6329" priority="6616" operator="containsText" text="No se pudo ejecutar">
      <formula>NOT(ISERROR(SEARCH("No se pudo ejecutar",M186)))</formula>
    </cfRule>
    <cfRule type="containsText" dxfId="6328" priority="6617" operator="containsText" text="Pendiente">
      <formula>NOT(ISERROR(SEARCH("Pendiente",M186)))</formula>
    </cfRule>
    <cfRule type="containsText" dxfId="6327" priority="6618" operator="containsText" text="No Aplica">
      <formula>NOT(ISERROR(SEARCH("No Aplica",M186)))</formula>
    </cfRule>
    <cfRule type="containsText" dxfId="6326" priority="6619" operator="containsText" text="Fallido">
      <formula>NOT(ISERROR(SEARCH("Fallido",M186)))</formula>
    </cfRule>
    <cfRule type="containsText" dxfId="6325" priority="6620" operator="containsText" text="Éxitoso">
      <formula>NOT(ISERROR(SEARCH("Éxitoso",M186)))</formula>
    </cfRule>
  </conditionalFormatting>
  <conditionalFormatting sqref="G186">
    <cfRule type="containsText" dxfId="6324" priority="6613" operator="containsText" text="Bajo">
      <formula>NOT(ISERROR(SEARCH("Bajo",G186)))</formula>
    </cfRule>
    <cfRule type="containsText" dxfId="6323" priority="6614" operator="containsText" text="Medio">
      <formula>NOT(ISERROR(SEARCH("Medio",G186)))</formula>
    </cfRule>
    <cfRule type="containsText" dxfId="6322" priority="6615" operator="containsText" text="Alto">
      <formula>NOT(ISERROR(SEARCH("Alto",G186)))</formula>
    </cfRule>
  </conditionalFormatting>
  <conditionalFormatting sqref="N187">
    <cfRule type="containsText" dxfId="6321" priority="6608" operator="containsText" text="No se pudo ejecutar">
      <formula>NOT(ISERROR(SEARCH("No se pudo ejecutar",N187)))</formula>
    </cfRule>
    <cfRule type="containsText" dxfId="6320" priority="6609" operator="containsText" text="Pendiente">
      <formula>NOT(ISERROR(SEARCH("Pendiente",N187)))</formula>
    </cfRule>
    <cfRule type="containsText" dxfId="6319" priority="6610" operator="containsText" text="No Aplica">
      <formula>NOT(ISERROR(SEARCH("No Aplica",N187)))</formula>
    </cfRule>
    <cfRule type="containsText" dxfId="6318" priority="6611" operator="containsText" text="Fallido">
      <formula>NOT(ISERROR(SEARCH("Fallido",N187)))</formula>
    </cfRule>
    <cfRule type="containsText" dxfId="6317" priority="6612" operator="containsText" text="Éxitoso">
      <formula>NOT(ISERROR(SEARCH("Éxitoso",N187)))</formula>
    </cfRule>
  </conditionalFormatting>
  <conditionalFormatting sqref="O187">
    <cfRule type="containsText" dxfId="6316" priority="6603" operator="containsText" text="No se pudo ejecutar">
      <formula>NOT(ISERROR(SEARCH("No se pudo ejecutar",O187)))</formula>
    </cfRule>
    <cfRule type="containsText" dxfId="6315" priority="6604" operator="containsText" text="Pendiente">
      <formula>NOT(ISERROR(SEARCH("Pendiente",O187)))</formula>
    </cfRule>
    <cfRule type="containsText" dxfId="6314" priority="6605" operator="containsText" text="No Aplica">
      <formula>NOT(ISERROR(SEARCH("No Aplica",O187)))</formula>
    </cfRule>
    <cfRule type="containsText" dxfId="6313" priority="6606" operator="containsText" text="Fallido">
      <formula>NOT(ISERROR(SEARCH("Fallido",O187)))</formula>
    </cfRule>
    <cfRule type="containsText" dxfId="6312" priority="6607" operator="containsText" text="Éxitoso">
      <formula>NOT(ISERROR(SEARCH("Éxitoso",O187)))</formula>
    </cfRule>
  </conditionalFormatting>
  <conditionalFormatting sqref="P187">
    <cfRule type="containsText" dxfId="6311" priority="6598" operator="containsText" text="No se pudo ejecutar">
      <formula>NOT(ISERROR(SEARCH("No se pudo ejecutar",P187)))</formula>
    </cfRule>
    <cfRule type="containsText" dxfId="6310" priority="6599" operator="containsText" text="Pendiente">
      <formula>NOT(ISERROR(SEARCH("Pendiente",P187)))</formula>
    </cfRule>
    <cfRule type="containsText" dxfId="6309" priority="6600" operator="containsText" text="No Aplica">
      <formula>NOT(ISERROR(SEARCH("No Aplica",P187)))</formula>
    </cfRule>
    <cfRule type="containsText" dxfId="6308" priority="6601" operator="containsText" text="Fallido">
      <formula>NOT(ISERROR(SEARCH("Fallido",P187)))</formula>
    </cfRule>
    <cfRule type="containsText" dxfId="6307" priority="6602" operator="containsText" text="Éxitoso">
      <formula>NOT(ISERROR(SEARCH("Éxitoso",P187)))</formula>
    </cfRule>
  </conditionalFormatting>
  <conditionalFormatting sqref="Q187">
    <cfRule type="containsText" dxfId="6306" priority="6593" operator="containsText" text="No se pudo ejecutar">
      <formula>NOT(ISERROR(SEARCH("No se pudo ejecutar",Q187)))</formula>
    </cfRule>
    <cfRule type="containsText" dxfId="6305" priority="6594" operator="containsText" text="Pendiente">
      <formula>NOT(ISERROR(SEARCH("Pendiente",Q187)))</formula>
    </cfRule>
    <cfRule type="containsText" dxfId="6304" priority="6595" operator="containsText" text="No Aplica">
      <formula>NOT(ISERROR(SEARCH("No Aplica",Q187)))</formula>
    </cfRule>
    <cfRule type="containsText" dxfId="6303" priority="6596" operator="containsText" text="Fallido">
      <formula>NOT(ISERROR(SEARCH("Fallido",Q187)))</formula>
    </cfRule>
    <cfRule type="containsText" dxfId="6302" priority="6597" operator="containsText" text="Éxitoso">
      <formula>NOT(ISERROR(SEARCH("Éxitoso",Q187)))</formula>
    </cfRule>
  </conditionalFormatting>
  <conditionalFormatting sqref="R187">
    <cfRule type="containsText" dxfId="6301" priority="6588" operator="containsText" text="No se pudo ejecutar">
      <formula>NOT(ISERROR(SEARCH("No se pudo ejecutar",R187)))</formula>
    </cfRule>
    <cfRule type="containsText" dxfId="6300" priority="6589" operator="containsText" text="Pendiente">
      <formula>NOT(ISERROR(SEARCH("Pendiente",R187)))</formula>
    </cfRule>
    <cfRule type="containsText" dxfId="6299" priority="6590" operator="containsText" text="No Aplica">
      <formula>NOT(ISERROR(SEARCH("No Aplica",R187)))</formula>
    </cfRule>
    <cfRule type="containsText" dxfId="6298" priority="6591" operator="containsText" text="Fallido">
      <formula>NOT(ISERROR(SEARCH("Fallido",R187)))</formula>
    </cfRule>
    <cfRule type="containsText" dxfId="6297" priority="6592" operator="containsText" text="Éxitoso">
      <formula>NOT(ISERROR(SEARCH("Éxitoso",R187)))</formula>
    </cfRule>
  </conditionalFormatting>
  <conditionalFormatting sqref="S187">
    <cfRule type="containsText" dxfId="6296" priority="6583" operator="containsText" text="No se pudo ejecutar">
      <formula>NOT(ISERROR(SEARCH("No se pudo ejecutar",S187)))</formula>
    </cfRule>
    <cfRule type="containsText" dxfId="6295" priority="6584" operator="containsText" text="Pendiente">
      <formula>NOT(ISERROR(SEARCH("Pendiente",S187)))</formula>
    </cfRule>
    <cfRule type="containsText" dxfId="6294" priority="6585" operator="containsText" text="No Aplica">
      <formula>NOT(ISERROR(SEARCH("No Aplica",S187)))</formula>
    </cfRule>
    <cfRule type="containsText" dxfId="6293" priority="6586" operator="containsText" text="Fallido">
      <formula>NOT(ISERROR(SEARCH("Fallido",S187)))</formula>
    </cfRule>
    <cfRule type="containsText" dxfId="6292" priority="6587" operator="containsText" text="Éxitoso">
      <formula>NOT(ISERROR(SEARCH("Éxitoso",S187)))</formula>
    </cfRule>
  </conditionalFormatting>
  <conditionalFormatting sqref="T187">
    <cfRule type="containsText" dxfId="6291" priority="6578" operator="containsText" text="No se pudo ejecutar">
      <formula>NOT(ISERROR(SEARCH("No se pudo ejecutar",T187)))</formula>
    </cfRule>
    <cfRule type="containsText" dxfId="6290" priority="6579" operator="containsText" text="Pendiente">
      <formula>NOT(ISERROR(SEARCH("Pendiente",T187)))</formula>
    </cfRule>
    <cfRule type="containsText" dxfId="6289" priority="6580" operator="containsText" text="No Aplica">
      <formula>NOT(ISERROR(SEARCH("No Aplica",T187)))</formula>
    </cfRule>
    <cfRule type="containsText" dxfId="6288" priority="6581" operator="containsText" text="Fallido">
      <formula>NOT(ISERROR(SEARCH("Fallido",T187)))</formula>
    </cfRule>
    <cfRule type="containsText" dxfId="6287" priority="6582" operator="containsText" text="Éxitoso">
      <formula>NOT(ISERROR(SEARCH("Éxitoso",T187)))</formula>
    </cfRule>
  </conditionalFormatting>
  <conditionalFormatting sqref="U187">
    <cfRule type="containsText" dxfId="6286" priority="6573" operator="containsText" text="No se pudo ejecutar">
      <formula>NOT(ISERROR(SEARCH("No se pudo ejecutar",U187)))</formula>
    </cfRule>
    <cfRule type="containsText" dxfId="6285" priority="6574" operator="containsText" text="Pendiente">
      <formula>NOT(ISERROR(SEARCH("Pendiente",U187)))</formula>
    </cfRule>
    <cfRule type="containsText" dxfId="6284" priority="6575" operator="containsText" text="No Aplica">
      <formula>NOT(ISERROR(SEARCH("No Aplica",U187)))</formula>
    </cfRule>
    <cfRule type="containsText" dxfId="6283" priority="6576" operator="containsText" text="Fallido">
      <formula>NOT(ISERROR(SEARCH("Fallido",U187)))</formula>
    </cfRule>
    <cfRule type="containsText" dxfId="6282" priority="6577" operator="containsText" text="Éxitoso">
      <formula>NOT(ISERROR(SEARCH("Éxitoso",U187)))</formula>
    </cfRule>
  </conditionalFormatting>
  <conditionalFormatting sqref="V187">
    <cfRule type="containsText" dxfId="6281" priority="6568" operator="containsText" text="No se pudo ejecutar">
      <formula>NOT(ISERROR(SEARCH("No se pudo ejecutar",V187)))</formula>
    </cfRule>
    <cfRule type="containsText" dxfId="6280" priority="6569" operator="containsText" text="Pendiente">
      <formula>NOT(ISERROR(SEARCH("Pendiente",V187)))</formula>
    </cfRule>
    <cfRule type="containsText" dxfId="6279" priority="6570" operator="containsText" text="No Aplica">
      <formula>NOT(ISERROR(SEARCH("No Aplica",V187)))</formula>
    </cfRule>
    <cfRule type="containsText" dxfId="6278" priority="6571" operator="containsText" text="Fallido">
      <formula>NOT(ISERROR(SEARCH("Fallido",V187)))</formula>
    </cfRule>
    <cfRule type="containsText" dxfId="6277" priority="6572" operator="containsText" text="Éxitoso">
      <formula>NOT(ISERROR(SEARCH("Éxitoso",V187)))</formula>
    </cfRule>
  </conditionalFormatting>
  <conditionalFormatting sqref="W187">
    <cfRule type="containsText" dxfId="6276" priority="6563" operator="containsText" text="No se pudo ejecutar">
      <formula>NOT(ISERROR(SEARCH("No se pudo ejecutar",W187)))</formula>
    </cfRule>
    <cfRule type="containsText" dxfId="6275" priority="6564" operator="containsText" text="Pendiente">
      <formula>NOT(ISERROR(SEARCH("Pendiente",W187)))</formula>
    </cfRule>
    <cfRule type="containsText" dxfId="6274" priority="6565" operator="containsText" text="No Aplica">
      <formula>NOT(ISERROR(SEARCH("No Aplica",W187)))</formula>
    </cfRule>
    <cfRule type="containsText" dxfId="6273" priority="6566" operator="containsText" text="Fallido">
      <formula>NOT(ISERROR(SEARCH("Fallido",W187)))</formula>
    </cfRule>
    <cfRule type="containsText" dxfId="6272" priority="6567" operator="containsText" text="Éxitoso">
      <formula>NOT(ISERROR(SEARCH("Éxitoso",W187)))</formula>
    </cfRule>
  </conditionalFormatting>
  <conditionalFormatting sqref="M187">
    <cfRule type="containsText" dxfId="6271" priority="6558" operator="containsText" text="No se pudo ejecutar">
      <formula>NOT(ISERROR(SEARCH("No se pudo ejecutar",M187)))</formula>
    </cfRule>
    <cfRule type="containsText" dxfId="6270" priority="6559" operator="containsText" text="Pendiente">
      <formula>NOT(ISERROR(SEARCH("Pendiente",M187)))</formula>
    </cfRule>
    <cfRule type="containsText" dxfId="6269" priority="6560" operator="containsText" text="No Aplica">
      <formula>NOT(ISERROR(SEARCH("No Aplica",M187)))</formula>
    </cfRule>
    <cfRule type="containsText" dxfId="6268" priority="6561" operator="containsText" text="Fallido">
      <formula>NOT(ISERROR(SEARCH("Fallido",M187)))</formula>
    </cfRule>
    <cfRule type="containsText" dxfId="6267" priority="6562" operator="containsText" text="Éxitoso">
      <formula>NOT(ISERROR(SEARCH("Éxitoso",M187)))</formula>
    </cfRule>
  </conditionalFormatting>
  <conditionalFormatting sqref="G187">
    <cfRule type="containsText" dxfId="6266" priority="6555" operator="containsText" text="Bajo">
      <formula>NOT(ISERROR(SEARCH("Bajo",G187)))</formula>
    </cfRule>
    <cfRule type="containsText" dxfId="6265" priority="6556" operator="containsText" text="Medio">
      <formula>NOT(ISERROR(SEARCH("Medio",G187)))</formula>
    </cfRule>
    <cfRule type="containsText" dxfId="6264" priority="6557" operator="containsText" text="Alto">
      <formula>NOT(ISERROR(SEARCH("Alto",G187)))</formula>
    </cfRule>
  </conditionalFormatting>
  <conditionalFormatting sqref="N188">
    <cfRule type="containsText" dxfId="6263" priority="6550" operator="containsText" text="No se pudo ejecutar">
      <formula>NOT(ISERROR(SEARCH("No se pudo ejecutar",N188)))</formula>
    </cfRule>
    <cfRule type="containsText" dxfId="6262" priority="6551" operator="containsText" text="Pendiente">
      <formula>NOT(ISERROR(SEARCH("Pendiente",N188)))</formula>
    </cfRule>
    <cfRule type="containsText" dxfId="6261" priority="6552" operator="containsText" text="No Aplica">
      <formula>NOT(ISERROR(SEARCH("No Aplica",N188)))</formula>
    </cfRule>
    <cfRule type="containsText" dxfId="6260" priority="6553" operator="containsText" text="Fallido">
      <formula>NOT(ISERROR(SEARCH("Fallido",N188)))</formula>
    </cfRule>
    <cfRule type="containsText" dxfId="6259" priority="6554" operator="containsText" text="Éxitoso">
      <formula>NOT(ISERROR(SEARCH("Éxitoso",N188)))</formula>
    </cfRule>
  </conditionalFormatting>
  <conditionalFormatting sqref="O188">
    <cfRule type="containsText" dxfId="6258" priority="6545" operator="containsText" text="No se pudo ejecutar">
      <formula>NOT(ISERROR(SEARCH("No se pudo ejecutar",O188)))</formula>
    </cfRule>
    <cfRule type="containsText" dxfId="6257" priority="6546" operator="containsText" text="Pendiente">
      <formula>NOT(ISERROR(SEARCH("Pendiente",O188)))</formula>
    </cfRule>
    <cfRule type="containsText" dxfId="6256" priority="6547" operator="containsText" text="No Aplica">
      <formula>NOT(ISERROR(SEARCH("No Aplica",O188)))</formula>
    </cfRule>
    <cfRule type="containsText" dxfId="6255" priority="6548" operator="containsText" text="Fallido">
      <formula>NOT(ISERROR(SEARCH("Fallido",O188)))</formula>
    </cfRule>
    <cfRule type="containsText" dxfId="6254" priority="6549" operator="containsText" text="Éxitoso">
      <formula>NOT(ISERROR(SEARCH("Éxitoso",O188)))</formula>
    </cfRule>
  </conditionalFormatting>
  <conditionalFormatting sqref="P188">
    <cfRule type="containsText" dxfId="6253" priority="6540" operator="containsText" text="No se pudo ejecutar">
      <formula>NOT(ISERROR(SEARCH("No se pudo ejecutar",P188)))</formula>
    </cfRule>
    <cfRule type="containsText" dxfId="6252" priority="6541" operator="containsText" text="Pendiente">
      <formula>NOT(ISERROR(SEARCH("Pendiente",P188)))</formula>
    </cfRule>
    <cfRule type="containsText" dxfId="6251" priority="6542" operator="containsText" text="No Aplica">
      <formula>NOT(ISERROR(SEARCH("No Aplica",P188)))</formula>
    </cfRule>
    <cfRule type="containsText" dxfId="6250" priority="6543" operator="containsText" text="Fallido">
      <formula>NOT(ISERROR(SEARCH("Fallido",P188)))</formula>
    </cfRule>
    <cfRule type="containsText" dxfId="6249" priority="6544" operator="containsText" text="Éxitoso">
      <formula>NOT(ISERROR(SEARCH("Éxitoso",P188)))</formula>
    </cfRule>
  </conditionalFormatting>
  <conditionalFormatting sqref="Q188">
    <cfRule type="containsText" dxfId="6248" priority="6535" operator="containsText" text="No se pudo ejecutar">
      <formula>NOT(ISERROR(SEARCH("No se pudo ejecutar",Q188)))</formula>
    </cfRule>
    <cfRule type="containsText" dxfId="6247" priority="6536" operator="containsText" text="Pendiente">
      <formula>NOT(ISERROR(SEARCH("Pendiente",Q188)))</formula>
    </cfRule>
    <cfRule type="containsText" dxfId="6246" priority="6537" operator="containsText" text="No Aplica">
      <formula>NOT(ISERROR(SEARCH("No Aplica",Q188)))</formula>
    </cfRule>
    <cfRule type="containsText" dxfId="6245" priority="6538" operator="containsText" text="Fallido">
      <formula>NOT(ISERROR(SEARCH("Fallido",Q188)))</formula>
    </cfRule>
    <cfRule type="containsText" dxfId="6244" priority="6539" operator="containsText" text="Éxitoso">
      <formula>NOT(ISERROR(SEARCH("Éxitoso",Q188)))</formula>
    </cfRule>
  </conditionalFormatting>
  <conditionalFormatting sqref="R188">
    <cfRule type="containsText" dxfId="6243" priority="6530" operator="containsText" text="No se pudo ejecutar">
      <formula>NOT(ISERROR(SEARCH("No se pudo ejecutar",R188)))</formula>
    </cfRule>
    <cfRule type="containsText" dxfId="6242" priority="6531" operator="containsText" text="Pendiente">
      <formula>NOT(ISERROR(SEARCH("Pendiente",R188)))</formula>
    </cfRule>
    <cfRule type="containsText" dxfId="6241" priority="6532" operator="containsText" text="No Aplica">
      <formula>NOT(ISERROR(SEARCH("No Aplica",R188)))</formula>
    </cfRule>
    <cfRule type="containsText" dxfId="6240" priority="6533" operator="containsText" text="Fallido">
      <formula>NOT(ISERROR(SEARCH("Fallido",R188)))</formula>
    </cfRule>
    <cfRule type="containsText" dxfId="6239" priority="6534" operator="containsText" text="Éxitoso">
      <formula>NOT(ISERROR(SEARCH("Éxitoso",R188)))</formula>
    </cfRule>
  </conditionalFormatting>
  <conditionalFormatting sqref="S188">
    <cfRule type="containsText" dxfId="6238" priority="6525" operator="containsText" text="No se pudo ejecutar">
      <formula>NOT(ISERROR(SEARCH("No se pudo ejecutar",S188)))</formula>
    </cfRule>
    <cfRule type="containsText" dxfId="6237" priority="6526" operator="containsText" text="Pendiente">
      <formula>NOT(ISERROR(SEARCH("Pendiente",S188)))</formula>
    </cfRule>
    <cfRule type="containsText" dxfId="6236" priority="6527" operator="containsText" text="No Aplica">
      <formula>NOT(ISERROR(SEARCH("No Aplica",S188)))</formula>
    </cfRule>
    <cfRule type="containsText" dxfId="6235" priority="6528" operator="containsText" text="Fallido">
      <formula>NOT(ISERROR(SEARCH("Fallido",S188)))</formula>
    </cfRule>
    <cfRule type="containsText" dxfId="6234" priority="6529" operator="containsText" text="Éxitoso">
      <formula>NOT(ISERROR(SEARCH("Éxitoso",S188)))</formula>
    </cfRule>
  </conditionalFormatting>
  <conditionalFormatting sqref="T188">
    <cfRule type="containsText" dxfId="6233" priority="6520" operator="containsText" text="No se pudo ejecutar">
      <formula>NOT(ISERROR(SEARCH("No se pudo ejecutar",T188)))</formula>
    </cfRule>
    <cfRule type="containsText" dxfId="6232" priority="6521" operator="containsText" text="Pendiente">
      <formula>NOT(ISERROR(SEARCH("Pendiente",T188)))</formula>
    </cfRule>
    <cfRule type="containsText" dxfId="6231" priority="6522" operator="containsText" text="No Aplica">
      <formula>NOT(ISERROR(SEARCH("No Aplica",T188)))</formula>
    </cfRule>
    <cfRule type="containsText" dxfId="6230" priority="6523" operator="containsText" text="Fallido">
      <formula>NOT(ISERROR(SEARCH("Fallido",T188)))</formula>
    </cfRule>
    <cfRule type="containsText" dxfId="6229" priority="6524" operator="containsText" text="Éxitoso">
      <formula>NOT(ISERROR(SEARCH("Éxitoso",T188)))</formula>
    </cfRule>
  </conditionalFormatting>
  <conditionalFormatting sqref="U188">
    <cfRule type="containsText" dxfId="6228" priority="6515" operator="containsText" text="No se pudo ejecutar">
      <formula>NOT(ISERROR(SEARCH("No se pudo ejecutar",U188)))</formula>
    </cfRule>
    <cfRule type="containsText" dxfId="6227" priority="6516" operator="containsText" text="Pendiente">
      <formula>NOT(ISERROR(SEARCH("Pendiente",U188)))</formula>
    </cfRule>
    <cfRule type="containsText" dxfId="6226" priority="6517" operator="containsText" text="No Aplica">
      <formula>NOT(ISERROR(SEARCH("No Aplica",U188)))</formula>
    </cfRule>
    <cfRule type="containsText" dxfId="6225" priority="6518" operator="containsText" text="Fallido">
      <formula>NOT(ISERROR(SEARCH("Fallido",U188)))</formula>
    </cfRule>
    <cfRule type="containsText" dxfId="6224" priority="6519" operator="containsText" text="Éxitoso">
      <formula>NOT(ISERROR(SEARCH("Éxitoso",U188)))</formula>
    </cfRule>
  </conditionalFormatting>
  <conditionalFormatting sqref="V188">
    <cfRule type="containsText" dxfId="6223" priority="6510" operator="containsText" text="No se pudo ejecutar">
      <formula>NOT(ISERROR(SEARCH("No se pudo ejecutar",V188)))</formula>
    </cfRule>
    <cfRule type="containsText" dxfId="6222" priority="6511" operator="containsText" text="Pendiente">
      <formula>NOT(ISERROR(SEARCH("Pendiente",V188)))</formula>
    </cfRule>
    <cfRule type="containsText" dxfId="6221" priority="6512" operator="containsText" text="No Aplica">
      <formula>NOT(ISERROR(SEARCH("No Aplica",V188)))</formula>
    </cfRule>
    <cfRule type="containsText" dxfId="6220" priority="6513" operator="containsText" text="Fallido">
      <formula>NOT(ISERROR(SEARCH("Fallido",V188)))</formula>
    </cfRule>
    <cfRule type="containsText" dxfId="6219" priority="6514" operator="containsText" text="Éxitoso">
      <formula>NOT(ISERROR(SEARCH("Éxitoso",V188)))</formula>
    </cfRule>
  </conditionalFormatting>
  <conditionalFormatting sqref="W188">
    <cfRule type="containsText" dxfId="6218" priority="6505" operator="containsText" text="No se pudo ejecutar">
      <formula>NOT(ISERROR(SEARCH("No se pudo ejecutar",W188)))</formula>
    </cfRule>
    <cfRule type="containsText" dxfId="6217" priority="6506" operator="containsText" text="Pendiente">
      <formula>NOT(ISERROR(SEARCH("Pendiente",W188)))</formula>
    </cfRule>
    <cfRule type="containsText" dxfId="6216" priority="6507" operator="containsText" text="No Aplica">
      <formula>NOT(ISERROR(SEARCH("No Aplica",W188)))</formula>
    </cfRule>
    <cfRule type="containsText" dxfId="6215" priority="6508" operator="containsText" text="Fallido">
      <formula>NOT(ISERROR(SEARCH("Fallido",W188)))</formula>
    </cfRule>
    <cfRule type="containsText" dxfId="6214" priority="6509" operator="containsText" text="Éxitoso">
      <formula>NOT(ISERROR(SEARCH("Éxitoso",W188)))</formula>
    </cfRule>
  </conditionalFormatting>
  <conditionalFormatting sqref="M188">
    <cfRule type="containsText" dxfId="6213" priority="6500" operator="containsText" text="No se pudo ejecutar">
      <formula>NOT(ISERROR(SEARCH("No se pudo ejecutar",M188)))</formula>
    </cfRule>
    <cfRule type="containsText" dxfId="6212" priority="6501" operator="containsText" text="Pendiente">
      <formula>NOT(ISERROR(SEARCH("Pendiente",M188)))</formula>
    </cfRule>
    <cfRule type="containsText" dxfId="6211" priority="6502" operator="containsText" text="No Aplica">
      <formula>NOT(ISERROR(SEARCH("No Aplica",M188)))</formula>
    </cfRule>
    <cfRule type="containsText" dxfId="6210" priority="6503" operator="containsText" text="Fallido">
      <formula>NOT(ISERROR(SEARCH("Fallido",M188)))</formula>
    </cfRule>
    <cfRule type="containsText" dxfId="6209" priority="6504" operator="containsText" text="Éxitoso">
      <formula>NOT(ISERROR(SEARCH("Éxitoso",M188)))</formula>
    </cfRule>
  </conditionalFormatting>
  <conditionalFormatting sqref="G188">
    <cfRule type="containsText" dxfId="6208" priority="6497" operator="containsText" text="Bajo">
      <formula>NOT(ISERROR(SEARCH("Bajo",G188)))</formula>
    </cfRule>
    <cfRule type="containsText" dxfId="6207" priority="6498" operator="containsText" text="Medio">
      <formula>NOT(ISERROR(SEARCH("Medio",G188)))</formula>
    </cfRule>
    <cfRule type="containsText" dxfId="6206" priority="6499" operator="containsText" text="Alto">
      <formula>NOT(ISERROR(SEARCH("Alto",G188)))</formula>
    </cfRule>
  </conditionalFormatting>
  <conditionalFormatting sqref="N189">
    <cfRule type="containsText" dxfId="6205" priority="6492" operator="containsText" text="No se pudo ejecutar">
      <formula>NOT(ISERROR(SEARCH("No se pudo ejecutar",N189)))</formula>
    </cfRule>
    <cfRule type="containsText" dxfId="6204" priority="6493" operator="containsText" text="Pendiente">
      <formula>NOT(ISERROR(SEARCH("Pendiente",N189)))</formula>
    </cfRule>
    <cfRule type="containsText" dxfId="6203" priority="6494" operator="containsText" text="No Aplica">
      <formula>NOT(ISERROR(SEARCH("No Aplica",N189)))</formula>
    </cfRule>
    <cfRule type="containsText" dxfId="6202" priority="6495" operator="containsText" text="Fallido">
      <formula>NOT(ISERROR(SEARCH("Fallido",N189)))</formula>
    </cfRule>
    <cfRule type="containsText" dxfId="6201" priority="6496" operator="containsText" text="Éxitoso">
      <formula>NOT(ISERROR(SEARCH("Éxitoso",N189)))</formula>
    </cfRule>
  </conditionalFormatting>
  <conditionalFormatting sqref="O189">
    <cfRule type="containsText" dxfId="6200" priority="6487" operator="containsText" text="No se pudo ejecutar">
      <formula>NOT(ISERROR(SEARCH("No se pudo ejecutar",O189)))</formula>
    </cfRule>
    <cfRule type="containsText" dxfId="6199" priority="6488" operator="containsText" text="Pendiente">
      <formula>NOT(ISERROR(SEARCH("Pendiente",O189)))</formula>
    </cfRule>
    <cfRule type="containsText" dxfId="6198" priority="6489" operator="containsText" text="No Aplica">
      <formula>NOT(ISERROR(SEARCH("No Aplica",O189)))</formula>
    </cfRule>
    <cfRule type="containsText" dxfId="6197" priority="6490" operator="containsText" text="Fallido">
      <formula>NOT(ISERROR(SEARCH("Fallido",O189)))</formula>
    </cfRule>
    <cfRule type="containsText" dxfId="6196" priority="6491" operator="containsText" text="Éxitoso">
      <formula>NOT(ISERROR(SEARCH("Éxitoso",O189)))</formula>
    </cfRule>
  </conditionalFormatting>
  <conditionalFormatting sqref="P189">
    <cfRule type="containsText" dxfId="6195" priority="6482" operator="containsText" text="No se pudo ejecutar">
      <formula>NOT(ISERROR(SEARCH("No se pudo ejecutar",P189)))</formula>
    </cfRule>
    <cfRule type="containsText" dxfId="6194" priority="6483" operator="containsText" text="Pendiente">
      <formula>NOT(ISERROR(SEARCH("Pendiente",P189)))</formula>
    </cfRule>
    <cfRule type="containsText" dxfId="6193" priority="6484" operator="containsText" text="No Aplica">
      <formula>NOT(ISERROR(SEARCH("No Aplica",P189)))</formula>
    </cfRule>
    <cfRule type="containsText" dxfId="6192" priority="6485" operator="containsText" text="Fallido">
      <formula>NOT(ISERROR(SEARCH("Fallido",P189)))</formula>
    </cfRule>
    <cfRule type="containsText" dxfId="6191" priority="6486" operator="containsText" text="Éxitoso">
      <formula>NOT(ISERROR(SEARCH("Éxitoso",P189)))</formula>
    </cfRule>
  </conditionalFormatting>
  <conditionalFormatting sqref="Q189">
    <cfRule type="containsText" dxfId="6190" priority="6477" operator="containsText" text="No se pudo ejecutar">
      <formula>NOT(ISERROR(SEARCH("No se pudo ejecutar",Q189)))</formula>
    </cfRule>
    <cfRule type="containsText" dxfId="6189" priority="6478" operator="containsText" text="Pendiente">
      <formula>NOT(ISERROR(SEARCH("Pendiente",Q189)))</formula>
    </cfRule>
    <cfRule type="containsText" dxfId="6188" priority="6479" operator="containsText" text="No Aplica">
      <formula>NOT(ISERROR(SEARCH("No Aplica",Q189)))</formula>
    </cfRule>
    <cfRule type="containsText" dxfId="6187" priority="6480" operator="containsText" text="Fallido">
      <formula>NOT(ISERROR(SEARCH("Fallido",Q189)))</formula>
    </cfRule>
    <cfRule type="containsText" dxfId="6186" priority="6481" operator="containsText" text="Éxitoso">
      <formula>NOT(ISERROR(SEARCH("Éxitoso",Q189)))</formula>
    </cfRule>
  </conditionalFormatting>
  <conditionalFormatting sqref="R189">
    <cfRule type="containsText" dxfId="6185" priority="6472" operator="containsText" text="No se pudo ejecutar">
      <formula>NOT(ISERROR(SEARCH("No se pudo ejecutar",R189)))</formula>
    </cfRule>
    <cfRule type="containsText" dxfId="6184" priority="6473" operator="containsText" text="Pendiente">
      <formula>NOT(ISERROR(SEARCH("Pendiente",R189)))</formula>
    </cfRule>
    <cfRule type="containsText" dxfId="6183" priority="6474" operator="containsText" text="No Aplica">
      <formula>NOT(ISERROR(SEARCH("No Aplica",R189)))</formula>
    </cfRule>
    <cfRule type="containsText" dxfId="6182" priority="6475" operator="containsText" text="Fallido">
      <formula>NOT(ISERROR(SEARCH("Fallido",R189)))</formula>
    </cfRule>
    <cfRule type="containsText" dxfId="6181" priority="6476" operator="containsText" text="Éxitoso">
      <formula>NOT(ISERROR(SEARCH("Éxitoso",R189)))</formula>
    </cfRule>
  </conditionalFormatting>
  <conditionalFormatting sqref="S189">
    <cfRule type="containsText" dxfId="6180" priority="6467" operator="containsText" text="No se pudo ejecutar">
      <formula>NOT(ISERROR(SEARCH("No se pudo ejecutar",S189)))</formula>
    </cfRule>
    <cfRule type="containsText" dxfId="6179" priority="6468" operator="containsText" text="Pendiente">
      <formula>NOT(ISERROR(SEARCH("Pendiente",S189)))</formula>
    </cfRule>
    <cfRule type="containsText" dxfId="6178" priority="6469" operator="containsText" text="No Aplica">
      <formula>NOT(ISERROR(SEARCH("No Aplica",S189)))</formula>
    </cfRule>
    <cfRule type="containsText" dxfId="6177" priority="6470" operator="containsText" text="Fallido">
      <formula>NOT(ISERROR(SEARCH("Fallido",S189)))</formula>
    </cfRule>
    <cfRule type="containsText" dxfId="6176" priority="6471" operator="containsText" text="Éxitoso">
      <formula>NOT(ISERROR(SEARCH("Éxitoso",S189)))</formula>
    </cfRule>
  </conditionalFormatting>
  <conditionalFormatting sqref="T189">
    <cfRule type="containsText" dxfId="6175" priority="6462" operator="containsText" text="No se pudo ejecutar">
      <formula>NOT(ISERROR(SEARCH("No se pudo ejecutar",T189)))</formula>
    </cfRule>
    <cfRule type="containsText" dxfId="6174" priority="6463" operator="containsText" text="Pendiente">
      <formula>NOT(ISERROR(SEARCH("Pendiente",T189)))</formula>
    </cfRule>
    <cfRule type="containsText" dxfId="6173" priority="6464" operator="containsText" text="No Aplica">
      <formula>NOT(ISERROR(SEARCH("No Aplica",T189)))</formula>
    </cfRule>
    <cfRule type="containsText" dxfId="6172" priority="6465" operator="containsText" text="Fallido">
      <formula>NOT(ISERROR(SEARCH("Fallido",T189)))</formula>
    </cfRule>
    <cfRule type="containsText" dxfId="6171" priority="6466" operator="containsText" text="Éxitoso">
      <formula>NOT(ISERROR(SEARCH("Éxitoso",T189)))</formula>
    </cfRule>
  </conditionalFormatting>
  <conditionalFormatting sqref="U189">
    <cfRule type="containsText" dxfId="6170" priority="6457" operator="containsText" text="No se pudo ejecutar">
      <formula>NOT(ISERROR(SEARCH("No se pudo ejecutar",U189)))</formula>
    </cfRule>
    <cfRule type="containsText" dxfId="6169" priority="6458" operator="containsText" text="Pendiente">
      <formula>NOT(ISERROR(SEARCH("Pendiente",U189)))</formula>
    </cfRule>
    <cfRule type="containsText" dxfId="6168" priority="6459" operator="containsText" text="No Aplica">
      <formula>NOT(ISERROR(SEARCH("No Aplica",U189)))</formula>
    </cfRule>
    <cfRule type="containsText" dxfId="6167" priority="6460" operator="containsText" text="Fallido">
      <formula>NOT(ISERROR(SEARCH("Fallido",U189)))</formula>
    </cfRule>
    <cfRule type="containsText" dxfId="6166" priority="6461" operator="containsText" text="Éxitoso">
      <formula>NOT(ISERROR(SEARCH("Éxitoso",U189)))</formula>
    </cfRule>
  </conditionalFormatting>
  <conditionalFormatting sqref="V189">
    <cfRule type="containsText" dxfId="6165" priority="6452" operator="containsText" text="No se pudo ejecutar">
      <formula>NOT(ISERROR(SEARCH("No se pudo ejecutar",V189)))</formula>
    </cfRule>
    <cfRule type="containsText" dxfId="6164" priority="6453" operator="containsText" text="Pendiente">
      <formula>NOT(ISERROR(SEARCH("Pendiente",V189)))</formula>
    </cfRule>
    <cfRule type="containsText" dxfId="6163" priority="6454" operator="containsText" text="No Aplica">
      <formula>NOT(ISERROR(SEARCH("No Aplica",V189)))</formula>
    </cfRule>
    <cfRule type="containsText" dxfId="6162" priority="6455" operator="containsText" text="Fallido">
      <formula>NOT(ISERROR(SEARCH("Fallido",V189)))</formula>
    </cfRule>
    <cfRule type="containsText" dxfId="6161" priority="6456" operator="containsText" text="Éxitoso">
      <formula>NOT(ISERROR(SEARCH("Éxitoso",V189)))</formula>
    </cfRule>
  </conditionalFormatting>
  <conditionalFormatting sqref="W189">
    <cfRule type="containsText" dxfId="6160" priority="6447" operator="containsText" text="No se pudo ejecutar">
      <formula>NOT(ISERROR(SEARCH("No se pudo ejecutar",W189)))</formula>
    </cfRule>
    <cfRule type="containsText" dxfId="6159" priority="6448" operator="containsText" text="Pendiente">
      <formula>NOT(ISERROR(SEARCH("Pendiente",W189)))</formula>
    </cfRule>
    <cfRule type="containsText" dxfId="6158" priority="6449" operator="containsText" text="No Aplica">
      <formula>NOT(ISERROR(SEARCH("No Aplica",W189)))</formula>
    </cfRule>
    <cfRule type="containsText" dxfId="6157" priority="6450" operator="containsText" text="Fallido">
      <formula>NOT(ISERROR(SEARCH("Fallido",W189)))</formula>
    </cfRule>
    <cfRule type="containsText" dxfId="6156" priority="6451" operator="containsText" text="Éxitoso">
      <formula>NOT(ISERROR(SEARCH("Éxitoso",W189)))</formula>
    </cfRule>
  </conditionalFormatting>
  <conditionalFormatting sqref="M189">
    <cfRule type="containsText" dxfId="6155" priority="6442" operator="containsText" text="No se pudo ejecutar">
      <formula>NOT(ISERROR(SEARCH("No se pudo ejecutar",M189)))</formula>
    </cfRule>
    <cfRule type="containsText" dxfId="6154" priority="6443" operator="containsText" text="Pendiente">
      <formula>NOT(ISERROR(SEARCH("Pendiente",M189)))</formula>
    </cfRule>
    <cfRule type="containsText" dxfId="6153" priority="6444" operator="containsText" text="No Aplica">
      <formula>NOT(ISERROR(SEARCH("No Aplica",M189)))</formula>
    </cfRule>
    <cfRule type="containsText" dxfId="6152" priority="6445" operator="containsText" text="Fallido">
      <formula>NOT(ISERROR(SEARCH("Fallido",M189)))</formula>
    </cfRule>
    <cfRule type="containsText" dxfId="6151" priority="6446" operator="containsText" text="Éxitoso">
      <formula>NOT(ISERROR(SEARCH("Éxitoso",M189)))</formula>
    </cfRule>
  </conditionalFormatting>
  <conditionalFormatting sqref="G189">
    <cfRule type="containsText" dxfId="6150" priority="6439" operator="containsText" text="Bajo">
      <formula>NOT(ISERROR(SEARCH("Bajo",G189)))</formula>
    </cfRule>
    <cfRule type="containsText" dxfId="6149" priority="6440" operator="containsText" text="Medio">
      <formula>NOT(ISERROR(SEARCH("Medio",G189)))</formula>
    </cfRule>
    <cfRule type="containsText" dxfId="6148" priority="6441" operator="containsText" text="Alto">
      <formula>NOT(ISERROR(SEARCH("Alto",G189)))</formula>
    </cfRule>
  </conditionalFormatting>
  <conditionalFormatting sqref="N190">
    <cfRule type="containsText" dxfId="6147" priority="6434" operator="containsText" text="No se pudo ejecutar">
      <formula>NOT(ISERROR(SEARCH("No se pudo ejecutar",N190)))</formula>
    </cfRule>
    <cfRule type="containsText" dxfId="6146" priority="6435" operator="containsText" text="Pendiente">
      <formula>NOT(ISERROR(SEARCH("Pendiente",N190)))</formula>
    </cfRule>
    <cfRule type="containsText" dxfId="6145" priority="6436" operator="containsText" text="No Aplica">
      <formula>NOT(ISERROR(SEARCH("No Aplica",N190)))</formula>
    </cfRule>
    <cfRule type="containsText" dxfId="6144" priority="6437" operator="containsText" text="Fallido">
      <formula>NOT(ISERROR(SEARCH("Fallido",N190)))</formula>
    </cfRule>
    <cfRule type="containsText" dxfId="6143" priority="6438" operator="containsText" text="Éxitoso">
      <formula>NOT(ISERROR(SEARCH("Éxitoso",N190)))</formula>
    </cfRule>
  </conditionalFormatting>
  <conditionalFormatting sqref="O190">
    <cfRule type="containsText" dxfId="6142" priority="6429" operator="containsText" text="No se pudo ejecutar">
      <formula>NOT(ISERROR(SEARCH("No se pudo ejecutar",O190)))</formula>
    </cfRule>
    <cfRule type="containsText" dxfId="6141" priority="6430" operator="containsText" text="Pendiente">
      <formula>NOT(ISERROR(SEARCH("Pendiente",O190)))</formula>
    </cfRule>
    <cfRule type="containsText" dxfId="6140" priority="6431" operator="containsText" text="No Aplica">
      <formula>NOT(ISERROR(SEARCH("No Aplica",O190)))</formula>
    </cfRule>
    <cfRule type="containsText" dxfId="6139" priority="6432" operator="containsText" text="Fallido">
      <formula>NOT(ISERROR(SEARCH("Fallido",O190)))</formula>
    </cfRule>
    <cfRule type="containsText" dxfId="6138" priority="6433" operator="containsText" text="Éxitoso">
      <formula>NOT(ISERROR(SEARCH("Éxitoso",O190)))</formula>
    </cfRule>
  </conditionalFormatting>
  <conditionalFormatting sqref="P190">
    <cfRule type="containsText" dxfId="6137" priority="6424" operator="containsText" text="No se pudo ejecutar">
      <formula>NOT(ISERROR(SEARCH("No se pudo ejecutar",P190)))</formula>
    </cfRule>
    <cfRule type="containsText" dxfId="6136" priority="6425" operator="containsText" text="Pendiente">
      <formula>NOT(ISERROR(SEARCH("Pendiente",P190)))</formula>
    </cfRule>
    <cfRule type="containsText" dxfId="6135" priority="6426" operator="containsText" text="No Aplica">
      <formula>NOT(ISERROR(SEARCH("No Aplica",P190)))</formula>
    </cfRule>
    <cfRule type="containsText" dxfId="6134" priority="6427" operator="containsText" text="Fallido">
      <formula>NOT(ISERROR(SEARCH("Fallido",P190)))</formula>
    </cfRule>
    <cfRule type="containsText" dxfId="6133" priority="6428" operator="containsText" text="Éxitoso">
      <formula>NOT(ISERROR(SEARCH("Éxitoso",P190)))</formula>
    </cfRule>
  </conditionalFormatting>
  <conditionalFormatting sqref="Q190">
    <cfRule type="containsText" dxfId="6132" priority="6419" operator="containsText" text="No se pudo ejecutar">
      <formula>NOT(ISERROR(SEARCH("No se pudo ejecutar",Q190)))</formula>
    </cfRule>
    <cfRule type="containsText" dxfId="6131" priority="6420" operator="containsText" text="Pendiente">
      <formula>NOT(ISERROR(SEARCH("Pendiente",Q190)))</formula>
    </cfRule>
    <cfRule type="containsText" dxfId="6130" priority="6421" operator="containsText" text="No Aplica">
      <formula>NOT(ISERROR(SEARCH("No Aplica",Q190)))</formula>
    </cfRule>
    <cfRule type="containsText" dxfId="6129" priority="6422" operator="containsText" text="Fallido">
      <formula>NOT(ISERROR(SEARCH("Fallido",Q190)))</formula>
    </cfRule>
    <cfRule type="containsText" dxfId="6128" priority="6423" operator="containsText" text="Éxitoso">
      <formula>NOT(ISERROR(SEARCH("Éxitoso",Q190)))</formula>
    </cfRule>
  </conditionalFormatting>
  <conditionalFormatting sqref="R190">
    <cfRule type="containsText" dxfId="6127" priority="6414" operator="containsText" text="No se pudo ejecutar">
      <formula>NOT(ISERROR(SEARCH("No se pudo ejecutar",R190)))</formula>
    </cfRule>
    <cfRule type="containsText" dxfId="6126" priority="6415" operator="containsText" text="Pendiente">
      <formula>NOT(ISERROR(SEARCH("Pendiente",R190)))</formula>
    </cfRule>
    <cfRule type="containsText" dxfId="6125" priority="6416" operator="containsText" text="No Aplica">
      <formula>NOT(ISERROR(SEARCH("No Aplica",R190)))</formula>
    </cfRule>
    <cfRule type="containsText" dxfId="6124" priority="6417" operator="containsText" text="Fallido">
      <formula>NOT(ISERROR(SEARCH("Fallido",R190)))</formula>
    </cfRule>
    <cfRule type="containsText" dxfId="6123" priority="6418" operator="containsText" text="Éxitoso">
      <formula>NOT(ISERROR(SEARCH("Éxitoso",R190)))</formula>
    </cfRule>
  </conditionalFormatting>
  <conditionalFormatting sqref="S190">
    <cfRule type="containsText" dxfId="6122" priority="6409" operator="containsText" text="No se pudo ejecutar">
      <formula>NOT(ISERROR(SEARCH("No se pudo ejecutar",S190)))</formula>
    </cfRule>
    <cfRule type="containsText" dxfId="6121" priority="6410" operator="containsText" text="Pendiente">
      <formula>NOT(ISERROR(SEARCH("Pendiente",S190)))</formula>
    </cfRule>
    <cfRule type="containsText" dxfId="6120" priority="6411" operator="containsText" text="No Aplica">
      <formula>NOT(ISERROR(SEARCH("No Aplica",S190)))</formula>
    </cfRule>
    <cfRule type="containsText" dxfId="6119" priority="6412" operator="containsText" text="Fallido">
      <formula>NOT(ISERROR(SEARCH("Fallido",S190)))</formula>
    </cfRule>
    <cfRule type="containsText" dxfId="6118" priority="6413" operator="containsText" text="Éxitoso">
      <formula>NOT(ISERROR(SEARCH("Éxitoso",S190)))</formula>
    </cfRule>
  </conditionalFormatting>
  <conditionalFormatting sqref="T190">
    <cfRule type="containsText" dxfId="6117" priority="6404" operator="containsText" text="No se pudo ejecutar">
      <formula>NOT(ISERROR(SEARCH("No se pudo ejecutar",T190)))</formula>
    </cfRule>
    <cfRule type="containsText" dxfId="6116" priority="6405" operator="containsText" text="Pendiente">
      <formula>NOT(ISERROR(SEARCH("Pendiente",T190)))</formula>
    </cfRule>
    <cfRule type="containsText" dxfId="6115" priority="6406" operator="containsText" text="No Aplica">
      <formula>NOT(ISERROR(SEARCH("No Aplica",T190)))</formula>
    </cfRule>
    <cfRule type="containsText" dxfId="6114" priority="6407" operator="containsText" text="Fallido">
      <formula>NOT(ISERROR(SEARCH("Fallido",T190)))</formula>
    </cfRule>
    <cfRule type="containsText" dxfId="6113" priority="6408" operator="containsText" text="Éxitoso">
      <formula>NOT(ISERROR(SEARCH("Éxitoso",T190)))</formula>
    </cfRule>
  </conditionalFormatting>
  <conditionalFormatting sqref="U190">
    <cfRule type="containsText" dxfId="6112" priority="6399" operator="containsText" text="No se pudo ejecutar">
      <formula>NOT(ISERROR(SEARCH("No se pudo ejecutar",U190)))</formula>
    </cfRule>
    <cfRule type="containsText" dxfId="6111" priority="6400" operator="containsText" text="Pendiente">
      <formula>NOT(ISERROR(SEARCH("Pendiente",U190)))</formula>
    </cfRule>
    <cfRule type="containsText" dxfId="6110" priority="6401" operator="containsText" text="No Aplica">
      <formula>NOT(ISERROR(SEARCH("No Aplica",U190)))</formula>
    </cfRule>
    <cfRule type="containsText" dxfId="6109" priority="6402" operator="containsText" text="Fallido">
      <formula>NOT(ISERROR(SEARCH("Fallido",U190)))</formula>
    </cfRule>
    <cfRule type="containsText" dxfId="6108" priority="6403" operator="containsText" text="Éxitoso">
      <formula>NOT(ISERROR(SEARCH("Éxitoso",U190)))</formula>
    </cfRule>
  </conditionalFormatting>
  <conditionalFormatting sqref="V190">
    <cfRule type="containsText" dxfId="6107" priority="6394" operator="containsText" text="No se pudo ejecutar">
      <formula>NOT(ISERROR(SEARCH("No se pudo ejecutar",V190)))</formula>
    </cfRule>
    <cfRule type="containsText" dxfId="6106" priority="6395" operator="containsText" text="Pendiente">
      <formula>NOT(ISERROR(SEARCH("Pendiente",V190)))</formula>
    </cfRule>
    <cfRule type="containsText" dxfId="6105" priority="6396" operator="containsText" text="No Aplica">
      <formula>NOT(ISERROR(SEARCH("No Aplica",V190)))</formula>
    </cfRule>
    <cfRule type="containsText" dxfId="6104" priority="6397" operator="containsText" text="Fallido">
      <formula>NOT(ISERROR(SEARCH("Fallido",V190)))</formula>
    </cfRule>
    <cfRule type="containsText" dxfId="6103" priority="6398" operator="containsText" text="Éxitoso">
      <formula>NOT(ISERROR(SEARCH("Éxitoso",V190)))</formula>
    </cfRule>
  </conditionalFormatting>
  <conditionalFormatting sqref="W190">
    <cfRule type="containsText" dxfId="6102" priority="6389" operator="containsText" text="No se pudo ejecutar">
      <formula>NOT(ISERROR(SEARCH("No se pudo ejecutar",W190)))</formula>
    </cfRule>
    <cfRule type="containsText" dxfId="6101" priority="6390" operator="containsText" text="Pendiente">
      <formula>NOT(ISERROR(SEARCH("Pendiente",W190)))</formula>
    </cfRule>
    <cfRule type="containsText" dxfId="6100" priority="6391" operator="containsText" text="No Aplica">
      <formula>NOT(ISERROR(SEARCH("No Aplica",W190)))</formula>
    </cfRule>
    <cfRule type="containsText" dxfId="6099" priority="6392" operator="containsText" text="Fallido">
      <formula>NOT(ISERROR(SEARCH("Fallido",W190)))</formula>
    </cfRule>
    <cfRule type="containsText" dxfId="6098" priority="6393" operator="containsText" text="Éxitoso">
      <formula>NOT(ISERROR(SEARCH("Éxitoso",W190)))</formula>
    </cfRule>
  </conditionalFormatting>
  <conditionalFormatting sqref="M190">
    <cfRule type="containsText" dxfId="6097" priority="6384" operator="containsText" text="No se pudo ejecutar">
      <formula>NOT(ISERROR(SEARCH("No se pudo ejecutar",M190)))</formula>
    </cfRule>
    <cfRule type="containsText" dxfId="6096" priority="6385" operator="containsText" text="Pendiente">
      <formula>NOT(ISERROR(SEARCH("Pendiente",M190)))</formula>
    </cfRule>
    <cfRule type="containsText" dxfId="6095" priority="6386" operator="containsText" text="No Aplica">
      <formula>NOT(ISERROR(SEARCH("No Aplica",M190)))</formula>
    </cfRule>
    <cfRule type="containsText" dxfId="6094" priority="6387" operator="containsText" text="Fallido">
      <formula>NOT(ISERROR(SEARCH("Fallido",M190)))</formula>
    </cfRule>
    <cfRule type="containsText" dxfId="6093" priority="6388" operator="containsText" text="Éxitoso">
      <formula>NOT(ISERROR(SEARCH("Éxitoso",M190)))</formula>
    </cfRule>
  </conditionalFormatting>
  <conditionalFormatting sqref="G190">
    <cfRule type="containsText" dxfId="6092" priority="6381" operator="containsText" text="Bajo">
      <formula>NOT(ISERROR(SEARCH("Bajo",G190)))</formula>
    </cfRule>
    <cfRule type="containsText" dxfId="6091" priority="6382" operator="containsText" text="Medio">
      <formula>NOT(ISERROR(SEARCH("Medio",G190)))</formula>
    </cfRule>
    <cfRule type="containsText" dxfId="6090" priority="6383" operator="containsText" text="Alto">
      <formula>NOT(ISERROR(SEARCH("Alto",G190)))</formula>
    </cfRule>
  </conditionalFormatting>
  <conditionalFormatting sqref="N191">
    <cfRule type="containsText" dxfId="6089" priority="6376" operator="containsText" text="No se pudo ejecutar">
      <formula>NOT(ISERROR(SEARCH("No se pudo ejecutar",N191)))</formula>
    </cfRule>
    <cfRule type="containsText" dxfId="6088" priority="6377" operator="containsText" text="Pendiente">
      <formula>NOT(ISERROR(SEARCH("Pendiente",N191)))</formula>
    </cfRule>
    <cfRule type="containsText" dxfId="6087" priority="6378" operator="containsText" text="No Aplica">
      <formula>NOT(ISERROR(SEARCH("No Aplica",N191)))</formula>
    </cfRule>
    <cfRule type="containsText" dxfId="6086" priority="6379" operator="containsText" text="Fallido">
      <formula>NOT(ISERROR(SEARCH("Fallido",N191)))</formula>
    </cfRule>
    <cfRule type="containsText" dxfId="6085" priority="6380" operator="containsText" text="Éxitoso">
      <formula>NOT(ISERROR(SEARCH("Éxitoso",N191)))</formula>
    </cfRule>
  </conditionalFormatting>
  <conditionalFormatting sqref="O191">
    <cfRule type="containsText" dxfId="6084" priority="6371" operator="containsText" text="No se pudo ejecutar">
      <formula>NOT(ISERROR(SEARCH("No se pudo ejecutar",O191)))</formula>
    </cfRule>
    <cfRule type="containsText" dxfId="6083" priority="6372" operator="containsText" text="Pendiente">
      <formula>NOT(ISERROR(SEARCH("Pendiente",O191)))</formula>
    </cfRule>
    <cfRule type="containsText" dxfId="6082" priority="6373" operator="containsText" text="No Aplica">
      <formula>NOT(ISERROR(SEARCH("No Aplica",O191)))</formula>
    </cfRule>
    <cfRule type="containsText" dxfId="6081" priority="6374" operator="containsText" text="Fallido">
      <formula>NOT(ISERROR(SEARCH("Fallido",O191)))</formula>
    </cfRule>
    <cfRule type="containsText" dxfId="6080" priority="6375" operator="containsText" text="Éxitoso">
      <formula>NOT(ISERROR(SEARCH("Éxitoso",O191)))</formula>
    </cfRule>
  </conditionalFormatting>
  <conditionalFormatting sqref="P191">
    <cfRule type="containsText" dxfId="6079" priority="6366" operator="containsText" text="No se pudo ejecutar">
      <formula>NOT(ISERROR(SEARCH("No se pudo ejecutar",P191)))</formula>
    </cfRule>
    <cfRule type="containsText" dxfId="6078" priority="6367" operator="containsText" text="Pendiente">
      <formula>NOT(ISERROR(SEARCH("Pendiente",P191)))</formula>
    </cfRule>
    <cfRule type="containsText" dxfId="6077" priority="6368" operator="containsText" text="No Aplica">
      <formula>NOT(ISERROR(SEARCH("No Aplica",P191)))</formula>
    </cfRule>
    <cfRule type="containsText" dxfId="6076" priority="6369" operator="containsText" text="Fallido">
      <formula>NOT(ISERROR(SEARCH("Fallido",P191)))</formula>
    </cfRule>
    <cfRule type="containsText" dxfId="6075" priority="6370" operator="containsText" text="Éxitoso">
      <formula>NOT(ISERROR(SEARCH("Éxitoso",P191)))</formula>
    </cfRule>
  </conditionalFormatting>
  <conditionalFormatting sqref="Q191">
    <cfRule type="containsText" dxfId="6074" priority="6361" operator="containsText" text="No se pudo ejecutar">
      <formula>NOT(ISERROR(SEARCH("No se pudo ejecutar",Q191)))</formula>
    </cfRule>
    <cfRule type="containsText" dxfId="6073" priority="6362" operator="containsText" text="Pendiente">
      <formula>NOT(ISERROR(SEARCH("Pendiente",Q191)))</formula>
    </cfRule>
    <cfRule type="containsText" dxfId="6072" priority="6363" operator="containsText" text="No Aplica">
      <formula>NOT(ISERROR(SEARCH("No Aplica",Q191)))</formula>
    </cfRule>
    <cfRule type="containsText" dxfId="6071" priority="6364" operator="containsText" text="Fallido">
      <formula>NOT(ISERROR(SEARCH("Fallido",Q191)))</formula>
    </cfRule>
    <cfRule type="containsText" dxfId="6070" priority="6365" operator="containsText" text="Éxitoso">
      <formula>NOT(ISERROR(SEARCH("Éxitoso",Q191)))</formula>
    </cfRule>
  </conditionalFormatting>
  <conditionalFormatting sqref="R191">
    <cfRule type="containsText" dxfId="6069" priority="6356" operator="containsText" text="No se pudo ejecutar">
      <formula>NOT(ISERROR(SEARCH("No se pudo ejecutar",R191)))</formula>
    </cfRule>
    <cfRule type="containsText" dxfId="6068" priority="6357" operator="containsText" text="Pendiente">
      <formula>NOT(ISERROR(SEARCH("Pendiente",R191)))</formula>
    </cfRule>
    <cfRule type="containsText" dxfId="6067" priority="6358" operator="containsText" text="No Aplica">
      <formula>NOT(ISERROR(SEARCH("No Aplica",R191)))</formula>
    </cfRule>
    <cfRule type="containsText" dxfId="6066" priority="6359" operator="containsText" text="Fallido">
      <formula>NOT(ISERROR(SEARCH("Fallido",R191)))</formula>
    </cfRule>
    <cfRule type="containsText" dxfId="6065" priority="6360" operator="containsText" text="Éxitoso">
      <formula>NOT(ISERROR(SEARCH("Éxitoso",R191)))</formula>
    </cfRule>
  </conditionalFormatting>
  <conditionalFormatting sqref="S191">
    <cfRule type="containsText" dxfId="6064" priority="6351" operator="containsText" text="No se pudo ejecutar">
      <formula>NOT(ISERROR(SEARCH("No se pudo ejecutar",S191)))</formula>
    </cfRule>
    <cfRule type="containsText" dxfId="6063" priority="6352" operator="containsText" text="Pendiente">
      <formula>NOT(ISERROR(SEARCH("Pendiente",S191)))</formula>
    </cfRule>
    <cfRule type="containsText" dxfId="6062" priority="6353" operator="containsText" text="No Aplica">
      <formula>NOT(ISERROR(SEARCH("No Aplica",S191)))</formula>
    </cfRule>
    <cfRule type="containsText" dxfId="6061" priority="6354" operator="containsText" text="Fallido">
      <formula>NOT(ISERROR(SEARCH("Fallido",S191)))</formula>
    </cfRule>
    <cfRule type="containsText" dxfId="6060" priority="6355" operator="containsText" text="Éxitoso">
      <formula>NOT(ISERROR(SEARCH("Éxitoso",S191)))</formula>
    </cfRule>
  </conditionalFormatting>
  <conditionalFormatting sqref="T191">
    <cfRule type="containsText" dxfId="6059" priority="6346" operator="containsText" text="No se pudo ejecutar">
      <formula>NOT(ISERROR(SEARCH("No se pudo ejecutar",T191)))</formula>
    </cfRule>
    <cfRule type="containsText" dxfId="6058" priority="6347" operator="containsText" text="Pendiente">
      <formula>NOT(ISERROR(SEARCH("Pendiente",T191)))</formula>
    </cfRule>
    <cfRule type="containsText" dxfId="6057" priority="6348" operator="containsText" text="No Aplica">
      <formula>NOT(ISERROR(SEARCH("No Aplica",T191)))</formula>
    </cfRule>
    <cfRule type="containsText" dxfId="6056" priority="6349" operator="containsText" text="Fallido">
      <formula>NOT(ISERROR(SEARCH("Fallido",T191)))</formula>
    </cfRule>
    <cfRule type="containsText" dxfId="6055" priority="6350" operator="containsText" text="Éxitoso">
      <formula>NOT(ISERROR(SEARCH("Éxitoso",T191)))</formula>
    </cfRule>
  </conditionalFormatting>
  <conditionalFormatting sqref="U191">
    <cfRule type="containsText" dxfId="6054" priority="6341" operator="containsText" text="No se pudo ejecutar">
      <formula>NOT(ISERROR(SEARCH("No se pudo ejecutar",U191)))</formula>
    </cfRule>
    <cfRule type="containsText" dxfId="6053" priority="6342" operator="containsText" text="Pendiente">
      <formula>NOT(ISERROR(SEARCH("Pendiente",U191)))</formula>
    </cfRule>
    <cfRule type="containsText" dxfId="6052" priority="6343" operator="containsText" text="No Aplica">
      <formula>NOT(ISERROR(SEARCH("No Aplica",U191)))</formula>
    </cfRule>
    <cfRule type="containsText" dxfId="6051" priority="6344" operator="containsText" text="Fallido">
      <formula>NOT(ISERROR(SEARCH("Fallido",U191)))</formula>
    </cfRule>
    <cfRule type="containsText" dxfId="6050" priority="6345" operator="containsText" text="Éxitoso">
      <formula>NOT(ISERROR(SEARCH("Éxitoso",U191)))</formula>
    </cfRule>
  </conditionalFormatting>
  <conditionalFormatting sqref="V191">
    <cfRule type="containsText" dxfId="6049" priority="6336" operator="containsText" text="No se pudo ejecutar">
      <formula>NOT(ISERROR(SEARCH("No se pudo ejecutar",V191)))</formula>
    </cfRule>
    <cfRule type="containsText" dxfId="6048" priority="6337" operator="containsText" text="Pendiente">
      <formula>NOT(ISERROR(SEARCH("Pendiente",V191)))</formula>
    </cfRule>
    <cfRule type="containsText" dxfId="6047" priority="6338" operator="containsText" text="No Aplica">
      <formula>NOT(ISERROR(SEARCH("No Aplica",V191)))</formula>
    </cfRule>
    <cfRule type="containsText" dxfId="6046" priority="6339" operator="containsText" text="Fallido">
      <formula>NOT(ISERROR(SEARCH("Fallido",V191)))</formula>
    </cfRule>
    <cfRule type="containsText" dxfId="6045" priority="6340" operator="containsText" text="Éxitoso">
      <formula>NOT(ISERROR(SEARCH("Éxitoso",V191)))</formula>
    </cfRule>
  </conditionalFormatting>
  <conditionalFormatting sqref="W191">
    <cfRule type="containsText" dxfId="6044" priority="6331" operator="containsText" text="No se pudo ejecutar">
      <formula>NOT(ISERROR(SEARCH("No se pudo ejecutar",W191)))</formula>
    </cfRule>
    <cfRule type="containsText" dxfId="6043" priority="6332" operator="containsText" text="Pendiente">
      <formula>NOT(ISERROR(SEARCH("Pendiente",W191)))</formula>
    </cfRule>
    <cfRule type="containsText" dxfId="6042" priority="6333" operator="containsText" text="No Aplica">
      <formula>NOT(ISERROR(SEARCH("No Aplica",W191)))</formula>
    </cfRule>
    <cfRule type="containsText" dxfId="6041" priority="6334" operator="containsText" text="Fallido">
      <formula>NOT(ISERROR(SEARCH("Fallido",W191)))</formula>
    </cfRule>
    <cfRule type="containsText" dxfId="6040" priority="6335" operator="containsText" text="Éxitoso">
      <formula>NOT(ISERROR(SEARCH("Éxitoso",W191)))</formula>
    </cfRule>
  </conditionalFormatting>
  <conditionalFormatting sqref="M191">
    <cfRule type="containsText" dxfId="6039" priority="6326" operator="containsText" text="No se pudo ejecutar">
      <formula>NOT(ISERROR(SEARCH("No se pudo ejecutar",M191)))</formula>
    </cfRule>
    <cfRule type="containsText" dxfId="6038" priority="6327" operator="containsText" text="Pendiente">
      <formula>NOT(ISERROR(SEARCH("Pendiente",M191)))</formula>
    </cfRule>
    <cfRule type="containsText" dxfId="6037" priority="6328" operator="containsText" text="No Aplica">
      <formula>NOT(ISERROR(SEARCH("No Aplica",M191)))</formula>
    </cfRule>
    <cfRule type="containsText" dxfId="6036" priority="6329" operator="containsText" text="Fallido">
      <formula>NOT(ISERROR(SEARCH("Fallido",M191)))</formula>
    </cfRule>
    <cfRule type="containsText" dxfId="6035" priority="6330" operator="containsText" text="Éxitoso">
      <formula>NOT(ISERROR(SEARCH("Éxitoso",M191)))</formula>
    </cfRule>
  </conditionalFormatting>
  <conditionalFormatting sqref="G191">
    <cfRule type="containsText" dxfId="6034" priority="6323" operator="containsText" text="Bajo">
      <formula>NOT(ISERROR(SEARCH("Bajo",G191)))</formula>
    </cfRule>
    <cfRule type="containsText" dxfId="6033" priority="6324" operator="containsText" text="Medio">
      <formula>NOT(ISERROR(SEARCH("Medio",G191)))</formula>
    </cfRule>
    <cfRule type="containsText" dxfId="6032" priority="6325" operator="containsText" text="Alto">
      <formula>NOT(ISERROR(SEARCH("Alto",G191)))</formula>
    </cfRule>
  </conditionalFormatting>
  <conditionalFormatting sqref="N192">
    <cfRule type="containsText" dxfId="6031" priority="6318" operator="containsText" text="No se pudo ejecutar">
      <formula>NOT(ISERROR(SEARCH("No se pudo ejecutar",N192)))</formula>
    </cfRule>
    <cfRule type="containsText" dxfId="6030" priority="6319" operator="containsText" text="Pendiente">
      <formula>NOT(ISERROR(SEARCH("Pendiente",N192)))</formula>
    </cfRule>
    <cfRule type="containsText" dxfId="6029" priority="6320" operator="containsText" text="No Aplica">
      <formula>NOT(ISERROR(SEARCH("No Aplica",N192)))</formula>
    </cfRule>
    <cfRule type="containsText" dxfId="6028" priority="6321" operator="containsText" text="Fallido">
      <formula>NOT(ISERROR(SEARCH("Fallido",N192)))</formula>
    </cfRule>
    <cfRule type="containsText" dxfId="6027" priority="6322" operator="containsText" text="Éxitoso">
      <formula>NOT(ISERROR(SEARCH("Éxitoso",N192)))</formula>
    </cfRule>
  </conditionalFormatting>
  <conditionalFormatting sqref="O192">
    <cfRule type="containsText" dxfId="6026" priority="6313" operator="containsText" text="No se pudo ejecutar">
      <formula>NOT(ISERROR(SEARCH("No se pudo ejecutar",O192)))</formula>
    </cfRule>
    <cfRule type="containsText" dxfId="6025" priority="6314" operator="containsText" text="Pendiente">
      <formula>NOT(ISERROR(SEARCH("Pendiente",O192)))</formula>
    </cfRule>
    <cfRule type="containsText" dxfId="6024" priority="6315" operator="containsText" text="No Aplica">
      <formula>NOT(ISERROR(SEARCH("No Aplica",O192)))</formula>
    </cfRule>
    <cfRule type="containsText" dxfId="6023" priority="6316" operator="containsText" text="Fallido">
      <formula>NOT(ISERROR(SEARCH("Fallido",O192)))</formula>
    </cfRule>
    <cfRule type="containsText" dxfId="6022" priority="6317" operator="containsText" text="Éxitoso">
      <formula>NOT(ISERROR(SEARCH("Éxitoso",O192)))</formula>
    </cfRule>
  </conditionalFormatting>
  <conditionalFormatting sqref="P192">
    <cfRule type="containsText" dxfId="6021" priority="6308" operator="containsText" text="No se pudo ejecutar">
      <formula>NOT(ISERROR(SEARCH("No se pudo ejecutar",P192)))</formula>
    </cfRule>
    <cfRule type="containsText" dxfId="6020" priority="6309" operator="containsText" text="Pendiente">
      <formula>NOT(ISERROR(SEARCH("Pendiente",P192)))</formula>
    </cfRule>
    <cfRule type="containsText" dxfId="6019" priority="6310" operator="containsText" text="No Aplica">
      <formula>NOT(ISERROR(SEARCH("No Aplica",P192)))</formula>
    </cfRule>
    <cfRule type="containsText" dxfId="6018" priority="6311" operator="containsText" text="Fallido">
      <formula>NOT(ISERROR(SEARCH("Fallido",P192)))</formula>
    </cfRule>
    <cfRule type="containsText" dxfId="6017" priority="6312" operator="containsText" text="Éxitoso">
      <formula>NOT(ISERROR(SEARCH("Éxitoso",P192)))</formula>
    </cfRule>
  </conditionalFormatting>
  <conditionalFormatting sqref="Q192">
    <cfRule type="containsText" dxfId="6016" priority="6303" operator="containsText" text="No se pudo ejecutar">
      <formula>NOT(ISERROR(SEARCH("No se pudo ejecutar",Q192)))</formula>
    </cfRule>
    <cfRule type="containsText" dxfId="6015" priority="6304" operator="containsText" text="Pendiente">
      <formula>NOT(ISERROR(SEARCH("Pendiente",Q192)))</formula>
    </cfRule>
    <cfRule type="containsText" dxfId="6014" priority="6305" operator="containsText" text="No Aplica">
      <formula>NOT(ISERROR(SEARCH("No Aplica",Q192)))</formula>
    </cfRule>
    <cfRule type="containsText" dxfId="6013" priority="6306" operator="containsText" text="Fallido">
      <formula>NOT(ISERROR(SEARCH("Fallido",Q192)))</formula>
    </cfRule>
    <cfRule type="containsText" dxfId="6012" priority="6307" operator="containsText" text="Éxitoso">
      <formula>NOT(ISERROR(SEARCH("Éxitoso",Q192)))</formula>
    </cfRule>
  </conditionalFormatting>
  <conditionalFormatting sqref="R192">
    <cfRule type="containsText" dxfId="6011" priority="6298" operator="containsText" text="No se pudo ejecutar">
      <formula>NOT(ISERROR(SEARCH("No se pudo ejecutar",R192)))</formula>
    </cfRule>
    <cfRule type="containsText" dxfId="6010" priority="6299" operator="containsText" text="Pendiente">
      <formula>NOT(ISERROR(SEARCH("Pendiente",R192)))</formula>
    </cfRule>
    <cfRule type="containsText" dxfId="6009" priority="6300" operator="containsText" text="No Aplica">
      <formula>NOT(ISERROR(SEARCH("No Aplica",R192)))</formula>
    </cfRule>
    <cfRule type="containsText" dxfId="6008" priority="6301" operator="containsText" text="Fallido">
      <formula>NOT(ISERROR(SEARCH("Fallido",R192)))</formula>
    </cfRule>
    <cfRule type="containsText" dxfId="6007" priority="6302" operator="containsText" text="Éxitoso">
      <formula>NOT(ISERROR(SEARCH("Éxitoso",R192)))</formula>
    </cfRule>
  </conditionalFormatting>
  <conditionalFormatting sqref="S192">
    <cfRule type="containsText" dxfId="6006" priority="6293" operator="containsText" text="No se pudo ejecutar">
      <formula>NOT(ISERROR(SEARCH("No se pudo ejecutar",S192)))</formula>
    </cfRule>
    <cfRule type="containsText" dxfId="6005" priority="6294" operator="containsText" text="Pendiente">
      <formula>NOT(ISERROR(SEARCH("Pendiente",S192)))</formula>
    </cfRule>
    <cfRule type="containsText" dxfId="6004" priority="6295" operator="containsText" text="No Aplica">
      <formula>NOT(ISERROR(SEARCH("No Aplica",S192)))</formula>
    </cfRule>
    <cfRule type="containsText" dxfId="6003" priority="6296" operator="containsText" text="Fallido">
      <formula>NOT(ISERROR(SEARCH("Fallido",S192)))</formula>
    </cfRule>
    <cfRule type="containsText" dxfId="6002" priority="6297" operator="containsText" text="Éxitoso">
      <formula>NOT(ISERROR(SEARCH("Éxitoso",S192)))</formula>
    </cfRule>
  </conditionalFormatting>
  <conditionalFormatting sqref="T192">
    <cfRule type="containsText" dxfId="6001" priority="6288" operator="containsText" text="No se pudo ejecutar">
      <formula>NOT(ISERROR(SEARCH("No se pudo ejecutar",T192)))</formula>
    </cfRule>
    <cfRule type="containsText" dxfId="6000" priority="6289" operator="containsText" text="Pendiente">
      <formula>NOT(ISERROR(SEARCH("Pendiente",T192)))</formula>
    </cfRule>
    <cfRule type="containsText" dxfId="5999" priority="6290" operator="containsText" text="No Aplica">
      <formula>NOT(ISERROR(SEARCH("No Aplica",T192)))</formula>
    </cfRule>
    <cfRule type="containsText" dxfId="5998" priority="6291" operator="containsText" text="Fallido">
      <formula>NOT(ISERROR(SEARCH("Fallido",T192)))</formula>
    </cfRule>
    <cfRule type="containsText" dxfId="5997" priority="6292" operator="containsText" text="Éxitoso">
      <formula>NOT(ISERROR(SEARCH("Éxitoso",T192)))</formula>
    </cfRule>
  </conditionalFormatting>
  <conditionalFormatting sqref="U192">
    <cfRule type="containsText" dxfId="5996" priority="6283" operator="containsText" text="No se pudo ejecutar">
      <formula>NOT(ISERROR(SEARCH("No se pudo ejecutar",U192)))</formula>
    </cfRule>
    <cfRule type="containsText" dxfId="5995" priority="6284" operator="containsText" text="Pendiente">
      <formula>NOT(ISERROR(SEARCH("Pendiente",U192)))</formula>
    </cfRule>
    <cfRule type="containsText" dxfId="5994" priority="6285" operator="containsText" text="No Aplica">
      <formula>NOT(ISERROR(SEARCH("No Aplica",U192)))</formula>
    </cfRule>
    <cfRule type="containsText" dxfId="5993" priority="6286" operator="containsText" text="Fallido">
      <formula>NOT(ISERROR(SEARCH("Fallido",U192)))</formula>
    </cfRule>
    <cfRule type="containsText" dxfId="5992" priority="6287" operator="containsText" text="Éxitoso">
      <formula>NOT(ISERROR(SEARCH("Éxitoso",U192)))</formula>
    </cfRule>
  </conditionalFormatting>
  <conditionalFormatting sqref="V192">
    <cfRule type="containsText" dxfId="5991" priority="6278" operator="containsText" text="No se pudo ejecutar">
      <formula>NOT(ISERROR(SEARCH("No se pudo ejecutar",V192)))</formula>
    </cfRule>
    <cfRule type="containsText" dxfId="5990" priority="6279" operator="containsText" text="Pendiente">
      <formula>NOT(ISERROR(SEARCH("Pendiente",V192)))</formula>
    </cfRule>
    <cfRule type="containsText" dxfId="5989" priority="6280" operator="containsText" text="No Aplica">
      <formula>NOT(ISERROR(SEARCH("No Aplica",V192)))</formula>
    </cfRule>
    <cfRule type="containsText" dxfId="5988" priority="6281" operator="containsText" text="Fallido">
      <formula>NOT(ISERROR(SEARCH("Fallido",V192)))</formula>
    </cfRule>
    <cfRule type="containsText" dxfId="5987" priority="6282" operator="containsText" text="Éxitoso">
      <formula>NOT(ISERROR(SEARCH("Éxitoso",V192)))</formula>
    </cfRule>
  </conditionalFormatting>
  <conditionalFormatting sqref="W192">
    <cfRule type="containsText" dxfId="5986" priority="6273" operator="containsText" text="No se pudo ejecutar">
      <formula>NOT(ISERROR(SEARCH("No se pudo ejecutar",W192)))</formula>
    </cfRule>
    <cfRule type="containsText" dxfId="5985" priority="6274" operator="containsText" text="Pendiente">
      <formula>NOT(ISERROR(SEARCH("Pendiente",W192)))</formula>
    </cfRule>
    <cfRule type="containsText" dxfId="5984" priority="6275" operator="containsText" text="No Aplica">
      <formula>NOT(ISERROR(SEARCH("No Aplica",W192)))</formula>
    </cfRule>
    <cfRule type="containsText" dxfId="5983" priority="6276" operator="containsText" text="Fallido">
      <formula>NOT(ISERROR(SEARCH("Fallido",W192)))</formula>
    </cfRule>
    <cfRule type="containsText" dxfId="5982" priority="6277" operator="containsText" text="Éxitoso">
      <formula>NOT(ISERROR(SEARCH("Éxitoso",W192)))</formula>
    </cfRule>
  </conditionalFormatting>
  <conditionalFormatting sqref="M192">
    <cfRule type="containsText" dxfId="5981" priority="6268" operator="containsText" text="No se pudo ejecutar">
      <formula>NOT(ISERROR(SEARCH("No se pudo ejecutar",M192)))</formula>
    </cfRule>
    <cfRule type="containsText" dxfId="5980" priority="6269" operator="containsText" text="Pendiente">
      <formula>NOT(ISERROR(SEARCH("Pendiente",M192)))</formula>
    </cfRule>
    <cfRule type="containsText" dxfId="5979" priority="6270" operator="containsText" text="No Aplica">
      <formula>NOT(ISERROR(SEARCH("No Aplica",M192)))</formula>
    </cfRule>
    <cfRule type="containsText" dxfId="5978" priority="6271" operator="containsText" text="Fallido">
      <formula>NOT(ISERROR(SEARCH("Fallido",M192)))</formula>
    </cfRule>
    <cfRule type="containsText" dxfId="5977" priority="6272" operator="containsText" text="Éxitoso">
      <formula>NOT(ISERROR(SEARCH("Éxitoso",M192)))</formula>
    </cfRule>
  </conditionalFormatting>
  <conditionalFormatting sqref="G192">
    <cfRule type="containsText" dxfId="5976" priority="6265" operator="containsText" text="Bajo">
      <formula>NOT(ISERROR(SEARCH("Bajo",G192)))</formula>
    </cfRule>
    <cfRule type="containsText" dxfId="5975" priority="6266" operator="containsText" text="Medio">
      <formula>NOT(ISERROR(SEARCH("Medio",G192)))</formula>
    </cfRule>
    <cfRule type="containsText" dxfId="5974" priority="6267" operator="containsText" text="Alto">
      <formula>NOT(ISERROR(SEARCH("Alto",G192)))</formula>
    </cfRule>
  </conditionalFormatting>
  <conditionalFormatting sqref="N193">
    <cfRule type="containsText" dxfId="5973" priority="6260" operator="containsText" text="No se pudo ejecutar">
      <formula>NOT(ISERROR(SEARCH("No se pudo ejecutar",N193)))</formula>
    </cfRule>
    <cfRule type="containsText" dxfId="5972" priority="6261" operator="containsText" text="Pendiente">
      <formula>NOT(ISERROR(SEARCH("Pendiente",N193)))</formula>
    </cfRule>
    <cfRule type="containsText" dxfId="5971" priority="6262" operator="containsText" text="No Aplica">
      <formula>NOT(ISERROR(SEARCH("No Aplica",N193)))</formula>
    </cfRule>
    <cfRule type="containsText" dxfId="5970" priority="6263" operator="containsText" text="Fallido">
      <formula>NOT(ISERROR(SEARCH("Fallido",N193)))</formula>
    </cfRule>
    <cfRule type="containsText" dxfId="5969" priority="6264" operator="containsText" text="Éxitoso">
      <formula>NOT(ISERROR(SEARCH("Éxitoso",N193)))</formula>
    </cfRule>
  </conditionalFormatting>
  <conditionalFormatting sqref="O193">
    <cfRule type="containsText" dxfId="5968" priority="6255" operator="containsText" text="No se pudo ejecutar">
      <formula>NOT(ISERROR(SEARCH("No se pudo ejecutar",O193)))</formula>
    </cfRule>
    <cfRule type="containsText" dxfId="5967" priority="6256" operator="containsText" text="Pendiente">
      <formula>NOT(ISERROR(SEARCH("Pendiente",O193)))</formula>
    </cfRule>
    <cfRule type="containsText" dxfId="5966" priority="6257" operator="containsText" text="No Aplica">
      <formula>NOT(ISERROR(SEARCH("No Aplica",O193)))</formula>
    </cfRule>
    <cfRule type="containsText" dxfId="5965" priority="6258" operator="containsText" text="Fallido">
      <formula>NOT(ISERROR(SEARCH("Fallido",O193)))</formula>
    </cfRule>
    <cfRule type="containsText" dxfId="5964" priority="6259" operator="containsText" text="Éxitoso">
      <formula>NOT(ISERROR(SEARCH("Éxitoso",O193)))</formula>
    </cfRule>
  </conditionalFormatting>
  <conditionalFormatting sqref="P193">
    <cfRule type="containsText" dxfId="5963" priority="6250" operator="containsText" text="No se pudo ejecutar">
      <formula>NOT(ISERROR(SEARCH("No se pudo ejecutar",P193)))</formula>
    </cfRule>
    <cfRule type="containsText" dxfId="5962" priority="6251" operator="containsText" text="Pendiente">
      <formula>NOT(ISERROR(SEARCH("Pendiente",P193)))</formula>
    </cfRule>
    <cfRule type="containsText" dxfId="5961" priority="6252" operator="containsText" text="No Aplica">
      <formula>NOT(ISERROR(SEARCH("No Aplica",P193)))</formula>
    </cfRule>
    <cfRule type="containsText" dxfId="5960" priority="6253" operator="containsText" text="Fallido">
      <formula>NOT(ISERROR(SEARCH("Fallido",P193)))</formula>
    </cfRule>
    <cfRule type="containsText" dxfId="5959" priority="6254" operator="containsText" text="Éxitoso">
      <formula>NOT(ISERROR(SEARCH("Éxitoso",P193)))</formula>
    </cfRule>
  </conditionalFormatting>
  <conditionalFormatting sqref="Q193">
    <cfRule type="containsText" dxfId="5958" priority="6245" operator="containsText" text="No se pudo ejecutar">
      <formula>NOT(ISERROR(SEARCH("No se pudo ejecutar",Q193)))</formula>
    </cfRule>
    <cfRule type="containsText" dxfId="5957" priority="6246" operator="containsText" text="Pendiente">
      <formula>NOT(ISERROR(SEARCH("Pendiente",Q193)))</formula>
    </cfRule>
    <cfRule type="containsText" dxfId="5956" priority="6247" operator="containsText" text="No Aplica">
      <formula>NOT(ISERROR(SEARCH("No Aplica",Q193)))</formula>
    </cfRule>
    <cfRule type="containsText" dxfId="5955" priority="6248" operator="containsText" text="Fallido">
      <formula>NOT(ISERROR(SEARCH("Fallido",Q193)))</formula>
    </cfRule>
    <cfRule type="containsText" dxfId="5954" priority="6249" operator="containsText" text="Éxitoso">
      <formula>NOT(ISERROR(SEARCH("Éxitoso",Q193)))</formula>
    </cfRule>
  </conditionalFormatting>
  <conditionalFormatting sqref="R193">
    <cfRule type="containsText" dxfId="5953" priority="6240" operator="containsText" text="No se pudo ejecutar">
      <formula>NOT(ISERROR(SEARCH("No se pudo ejecutar",R193)))</formula>
    </cfRule>
    <cfRule type="containsText" dxfId="5952" priority="6241" operator="containsText" text="Pendiente">
      <formula>NOT(ISERROR(SEARCH("Pendiente",R193)))</formula>
    </cfRule>
    <cfRule type="containsText" dxfId="5951" priority="6242" operator="containsText" text="No Aplica">
      <formula>NOT(ISERROR(SEARCH("No Aplica",R193)))</formula>
    </cfRule>
    <cfRule type="containsText" dxfId="5950" priority="6243" operator="containsText" text="Fallido">
      <formula>NOT(ISERROR(SEARCH("Fallido",R193)))</formula>
    </cfRule>
    <cfRule type="containsText" dxfId="5949" priority="6244" operator="containsText" text="Éxitoso">
      <formula>NOT(ISERROR(SEARCH("Éxitoso",R193)))</formula>
    </cfRule>
  </conditionalFormatting>
  <conditionalFormatting sqref="S193">
    <cfRule type="containsText" dxfId="5948" priority="6235" operator="containsText" text="No se pudo ejecutar">
      <formula>NOT(ISERROR(SEARCH("No se pudo ejecutar",S193)))</formula>
    </cfRule>
    <cfRule type="containsText" dxfId="5947" priority="6236" operator="containsText" text="Pendiente">
      <formula>NOT(ISERROR(SEARCH("Pendiente",S193)))</formula>
    </cfRule>
    <cfRule type="containsText" dxfId="5946" priority="6237" operator="containsText" text="No Aplica">
      <formula>NOT(ISERROR(SEARCH("No Aplica",S193)))</formula>
    </cfRule>
    <cfRule type="containsText" dxfId="5945" priority="6238" operator="containsText" text="Fallido">
      <formula>NOT(ISERROR(SEARCH("Fallido",S193)))</formula>
    </cfRule>
    <cfRule type="containsText" dxfId="5944" priority="6239" operator="containsText" text="Éxitoso">
      <formula>NOT(ISERROR(SEARCH("Éxitoso",S193)))</formula>
    </cfRule>
  </conditionalFormatting>
  <conditionalFormatting sqref="T193">
    <cfRule type="containsText" dxfId="5943" priority="6230" operator="containsText" text="No se pudo ejecutar">
      <formula>NOT(ISERROR(SEARCH("No se pudo ejecutar",T193)))</formula>
    </cfRule>
    <cfRule type="containsText" dxfId="5942" priority="6231" operator="containsText" text="Pendiente">
      <formula>NOT(ISERROR(SEARCH("Pendiente",T193)))</formula>
    </cfRule>
    <cfRule type="containsText" dxfId="5941" priority="6232" operator="containsText" text="No Aplica">
      <formula>NOT(ISERROR(SEARCH("No Aplica",T193)))</formula>
    </cfRule>
    <cfRule type="containsText" dxfId="5940" priority="6233" operator="containsText" text="Fallido">
      <formula>NOT(ISERROR(SEARCH("Fallido",T193)))</formula>
    </cfRule>
    <cfRule type="containsText" dxfId="5939" priority="6234" operator="containsText" text="Éxitoso">
      <formula>NOT(ISERROR(SEARCH("Éxitoso",T193)))</formula>
    </cfRule>
  </conditionalFormatting>
  <conditionalFormatting sqref="U193">
    <cfRule type="containsText" dxfId="5938" priority="6225" operator="containsText" text="No se pudo ejecutar">
      <formula>NOT(ISERROR(SEARCH("No se pudo ejecutar",U193)))</formula>
    </cfRule>
    <cfRule type="containsText" dxfId="5937" priority="6226" operator="containsText" text="Pendiente">
      <formula>NOT(ISERROR(SEARCH("Pendiente",U193)))</formula>
    </cfRule>
    <cfRule type="containsText" dxfId="5936" priority="6227" operator="containsText" text="No Aplica">
      <formula>NOT(ISERROR(SEARCH("No Aplica",U193)))</formula>
    </cfRule>
    <cfRule type="containsText" dxfId="5935" priority="6228" operator="containsText" text="Fallido">
      <formula>NOT(ISERROR(SEARCH("Fallido",U193)))</formula>
    </cfRule>
    <cfRule type="containsText" dxfId="5934" priority="6229" operator="containsText" text="Éxitoso">
      <formula>NOT(ISERROR(SEARCH("Éxitoso",U193)))</formula>
    </cfRule>
  </conditionalFormatting>
  <conditionalFormatting sqref="V193">
    <cfRule type="containsText" dxfId="5933" priority="6220" operator="containsText" text="No se pudo ejecutar">
      <formula>NOT(ISERROR(SEARCH("No se pudo ejecutar",V193)))</formula>
    </cfRule>
    <cfRule type="containsText" dxfId="5932" priority="6221" operator="containsText" text="Pendiente">
      <formula>NOT(ISERROR(SEARCH("Pendiente",V193)))</formula>
    </cfRule>
    <cfRule type="containsText" dxfId="5931" priority="6222" operator="containsText" text="No Aplica">
      <formula>NOT(ISERROR(SEARCH("No Aplica",V193)))</formula>
    </cfRule>
    <cfRule type="containsText" dxfId="5930" priority="6223" operator="containsText" text="Fallido">
      <formula>NOT(ISERROR(SEARCH("Fallido",V193)))</formula>
    </cfRule>
    <cfRule type="containsText" dxfId="5929" priority="6224" operator="containsText" text="Éxitoso">
      <formula>NOT(ISERROR(SEARCH("Éxitoso",V193)))</formula>
    </cfRule>
  </conditionalFormatting>
  <conditionalFormatting sqref="W193">
    <cfRule type="containsText" dxfId="5928" priority="6215" operator="containsText" text="No se pudo ejecutar">
      <formula>NOT(ISERROR(SEARCH("No se pudo ejecutar",W193)))</formula>
    </cfRule>
    <cfRule type="containsText" dxfId="5927" priority="6216" operator="containsText" text="Pendiente">
      <formula>NOT(ISERROR(SEARCH("Pendiente",W193)))</formula>
    </cfRule>
    <cfRule type="containsText" dxfId="5926" priority="6217" operator="containsText" text="No Aplica">
      <formula>NOT(ISERROR(SEARCH("No Aplica",W193)))</formula>
    </cfRule>
    <cfRule type="containsText" dxfId="5925" priority="6218" operator="containsText" text="Fallido">
      <formula>NOT(ISERROR(SEARCH("Fallido",W193)))</formula>
    </cfRule>
    <cfRule type="containsText" dxfId="5924" priority="6219" operator="containsText" text="Éxitoso">
      <formula>NOT(ISERROR(SEARCH("Éxitoso",W193)))</formula>
    </cfRule>
  </conditionalFormatting>
  <conditionalFormatting sqref="M193">
    <cfRule type="containsText" dxfId="5923" priority="6210" operator="containsText" text="No se pudo ejecutar">
      <formula>NOT(ISERROR(SEARCH("No se pudo ejecutar",M193)))</formula>
    </cfRule>
    <cfRule type="containsText" dxfId="5922" priority="6211" operator="containsText" text="Pendiente">
      <formula>NOT(ISERROR(SEARCH("Pendiente",M193)))</formula>
    </cfRule>
    <cfRule type="containsText" dxfId="5921" priority="6212" operator="containsText" text="No Aplica">
      <formula>NOT(ISERROR(SEARCH("No Aplica",M193)))</formula>
    </cfRule>
    <cfRule type="containsText" dxfId="5920" priority="6213" operator="containsText" text="Fallido">
      <formula>NOT(ISERROR(SEARCH("Fallido",M193)))</formula>
    </cfRule>
    <cfRule type="containsText" dxfId="5919" priority="6214" operator="containsText" text="Éxitoso">
      <formula>NOT(ISERROR(SEARCH("Éxitoso",M193)))</formula>
    </cfRule>
  </conditionalFormatting>
  <conditionalFormatting sqref="G193">
    <cfRule type="containsText" dxfId="5918" priority="6207" operator="containsText" text="Bajo">
      <formula>NOT(ISERROR(SEARCH("Bajo",G193)))</formula>
    </cfRule>
    <cfRule type="containsText" dxfId="5917" priority="6208" operator="containsText" text="Medio">
      <formula>NOT(ISERROR(SEARCH("Medio",G193)))</formula>
    </cfRule>
    <cfRule type="containsText" dxfId="5916" priority="6209" operator="containsText" text="Alto">
      <formula>NOT(ISERROR(SEARCH("Alto",G193)))</formula>
    </cfRule>
  </conditionalFormatting>
  <conditionalFormatting sqref="N194">
    <cfRule type="containsText" dxfId="5915" priority="6202" operator="containsText" text="No se pudo ejecutar">
      <formula>NOT(ISERROR(SEARCH("No se pudo ejecutar",N194)))</formula>
    </cfRule>
    <cfRule type="containsText" dxfId="5914" priority="6203" operator="containsText" text="Pendiente">
      <formula>NOT(ISERROR(SEARCH("Pendiente",N194)))</formula>
    </cfRule>
    <cfRule type="containsText" dxfId="5913" priority="6204" operator="containsText" text="No Aplica">
      <formula>NOT(ISERROR(SEARCH("No Aplica",N194)))</formula>
    </cfRule>
    <cfRule type="containsText" dxfId="5912" priority="6205" operator="containsText" text="Fallido">
      <formula>NOT(ISERROR(SEARCH("Fallido",N194)))</formula>
    </cfRule>
    <cfRule type="containsText" dxfId="5911" priority="6206" operator="containsText" text="Éxitoso">
      <formula>NOT(ISERROR(SEARCH("Éxitoso",N194)))</formula>
    </cfRule>
  </conditionalFormatting>
  <conditionalFormatting sqref="O194">
    <cfRule type="containsText" dxfId="5910" priority="6197" operator="containsText" text="No se pudo ejecutar">
      <formula>NOT(ISERROR(SEARCH("No se pudo ejecutar",O194)))</formula>
    </cfRule>
    <cfRule type="containsText" dxfId="5909" priority="6198" operator="containsText" text="Pendiente">
      <formula>NOT(ISERROR(SEARCH("Pendiente",O194)))</formula>
    </cfRule>
    <cfRule type="containsText" dxfId="5908" priority="6199" operator="containsText" text="No Aplica">
      <formula>NOT(ISERROR(SEARCH("No Aplica",O194)))</formula>
    </cfRule>
    <cfRule type="containsText" dxfId="5907" priority="6200" operator="containsText" text="Fallido">
      <formula>NOT(ISERROR(SEARCH("Fallido",O194)))</formula>
    </cfRule>
    <cfRule type="containsText" dxfId="5906" priority="6201" operator="containsText" text="Éxitoso">
      <formula>NOT(ISERROR(SEARCH("Éxitoso",O194)))</formula>
    </cfRule>
  </conditionalFormatting>
  <conditionalFormatting sqref="P194">
    <cfRule type="containsText" dxfId="5905" priority="6192" operator="containsText" text="No se pudo ejecutar">
      <formula>NOT(ISERROR(SEARCH("No se pudo ejecutar",P194)))</formula>
    </cfRule>
    <cfRule type="containsText" dxfId="5904" priority="6193" operator="containsText" text="Pendiente">
      <formula>NOT(ISERROR(SEARCH("Pendiente",P194)))</formula>
    </cfRule>
    <cfRule type="containsText" dxfId="5903" priority="6194" operator="containsText" text="No Aplica">
      <formula>NOT(ISERROR(SEARCH("No Aplica",P194)))</formula>
    </cfRule>
    <cfRule type="containsText" dxfId="5902" priority="6195" operator="containsText" text="Fallido">
      <formula>NOT(ISERROR(SEARCH("Fallido",P194)))</formula>
    </cfRule>
    <cfRule type="containsText" dxfId="5901" priority="6196" operator="containsText" text="Éxitoso">
      <formula>NOT(ISERROR(SEARCH("Éxitoso",P194)))</formula>
    </cfRule>
  </conditionalFormatting>
  <conditionalFormatting sqref="Q194">
    <cfRule type="containsText" dxfId="5900" priority="6187" operator="containsText" text="No se pudo ejecutar">
      <formula>NOT(ISERROR(SEARCH("No se pudo ejecutar",Q194)))</formula>
    </cfRule>
    <cfRule type="containsText" dxfId="5899" priority="6188" operator="containsText" text="Pendiente">
      <formula>NOT(ISERROR(SEARCH("Pendiente",Q194)))</formula>
    </cfRule>
    <cfRule type="containsText" dxfId="5898" priority="6189" operator="containsText" text="No Aplica">
      <formula>NOT(ISERROR(SEARCH("No Aplica",Q194)))</formula>
    </cfRule>
    <cfRule type="containsText" dxfId="5897" priority="6190" operator="containsText" text="Fallido">
      <formula>NOT(ISERROR(SEARCH("Fallido",Q194)))</formula>
    </cfRule>
    <cfRule type="containsText" dxfId="5896" priority="6191" operator="containsText" text="Éxitoso">
      <formula>NOT(ISERROR(SEARCH("Éxitoso",Q194)))</formula>
    </cfRule>
  </conditionalFormatting>
  <conditionalFormatting sqref="R194">
    <cfRule type="containsText" dxfId="5895" priority="6182" operator="containsText" text="No se pudo ejecutar">
      <formula>NOT(ISERROR(SEARCH("No se pudo ejecutar",R194)))</formula>
    </cfRule>
    <cfRule type="containsText" dxfId="5894" priority="6183" operator="containsText" text="Pendiente">
      <formula>NOT(ISERROR(SEARCH("Pendiente",R194)))</formula>
    </cfRule>
    <cfRule type="containsText" dxfId="5893" priority="6184" operator="containsText" text="No Aplica">
      <formula>NOT(ISERROR(SEARCH("No Aplica",R194)))</formula>
    </cfRule>
    <cfRule type="containsText" dxfId="5892" priority="6185" operator="containsText" text="Fallido">
      <formula>NOT(ISERROR(SEARCH("Fallido",R194)))</formula>
    </cfRule>
    <cfRule type="containsText" dxfId="5891" priority="6186" operator="containsText" text="Éxitoso">
      <formula>NOT(ISERROR(SEARCH("Éxitoso",R194)))</formula>
    </cfRule>
  </conditionalFormatting>
  <conditionalFormatting sqref="S194">
    <cfRule type="containsText" dxfId="5890" priority="6177" operator="containsText" text="No se pudo ejecutar">
      <formula>NOT(ISERROR(SEARCH("No se pudo ejecutar",S194)))</formula>
    </cfRule>
    <cfRule type="containsText" dxfId="5889" priority="6178" operator="containsText" text="Pendiente">
      <formula>NOT(ISERROR(SEARCH("Pendiente",S194)))</formula>
    </cfRule>
    <cfRule type="containsText" dxfId="5888" priority="6179" operator="containsText" text="No Aplica">
      <formula>NOT(ISERROR(SEARCH("No Aplica",S194)))</formula>
    </cfRule>
    <cfRule type="containsText" dxfId="5887" priority="6180" operator="containsText" text="Fallido">
      <formula>NOT(ISERROR(SEARCH("Fallido",S194)))</formula>
    </cfRule>
    <cfRule type="containsText" dxfId="5886" priority="6181" operator="containsText" text="Éxitoso">
      <formula>NOT(ISERROR(SEARCH("Éxitoso",S194)))</formula>
    </cfRule>
  </conditionalFormatting>
  <conditionalFormatting sqref="T194">
    <cfRule type="containsText" dxfId="5885" priority="6172" operator="containsText" text="No se pudo ejecutar">
      <formula>NOT(ISERROR(SEARCH("No se pudo ejecutar",T194)))</formula>
    </cfRule>
    <cfRule type="containsText" dxfId="5884" priority="6173" operator="containsText" text="Pendiente">
      <formula>NOT(ISERROR(SEARCH("Pendiente",T194)))</formula>
    </cfRule>
    <cfRule type="containsText" dxfId="5883" priority="6174" operator="containsText" text="No Aplica">
      <formula>NOT(ISERROR(SEARCH("No Aplica",T194)))</formula>
    </cfRule>
    <cfRule type="containsText" dxfId="5882" priority="6175" operator="containsText" text="Fallido">
      <formula>NOT(ISERROR(SEARCH("Fallido",T194)))</formula>
    </cfRule>
    <cfRule type="containsText" dxfId="5881" priority="6176" operator="containsText" text="Éxitoso">
      <formula>NOT(ISERROR(SEARCH("Éxitoso",T194)))</formula>
    </cfRule>
  </conditionalFormatting>
  <conditionalFormatting sqref="U194">
    <cfRule type="containsText" dxfId="5880" priority="6167" operator="containsText" text="No se pudo ejecutar">
      <formula>NOT(ISERROR(SEARCH("No se pudo ejecutar",U194)))</formula>
    </cfRule>
    <cfRule type="containsText" dxfId="5879" priority="6168" operator="containsText" text="Pendiente">
      <formula>NOT(ISERROR(SEARCH("Pendiente",U194)))</formula>
    </cfRule>
    <cfRule type="containsText" dxfId="5878" priority="6169" operator="containsText" text="No Aplica">
      <formula>NOT(ISERROR(SEARCH("No Aplica",U194)))</formula>
    </cfRule>
    <cfRule type="containsText" dxfId="5877" priority="6170" operator="containsText" text="Fallido">
      <formula>NOT(ISERROR(SEARCH("Fallido",U194)))</formula>
    </cfRule>
    <cfRule type="containsText" dxfId="5876" priority="6171" operator="containsText" text="Éxitoso">
      <formula>NOT(ISERROR(SEARCH("Éxitoso",U194)))</formula>
    </cfRule>
  </conditionalFormatting>
  <conditionalFormatting sqref="V194">
    <cfRule type="containsText" dxfId="5875" priority="6162" operator="containsText" text="No se pudo ejecutar">
      <formula>NOT(ISERROR(SEARCH("No se pudo ejecutar",V194)))</formula>
    </cfRule>
    <cfRule type="containsText" dxfId="5874" priority="6163" operator="containsText" text="Pendiente">
      <formula>NOT(ISERROR(SEARCH("Pendiente",V194)))</formula>
    </cfRule>
    <cfRule type="containsText" dxfId="5873" priority="6164" operator="containsText" text="No Aplica">
      <formula>NOT(ISERROR(SEARCH("No Aplica",V194)))</formula>
    </cfRule>
    <cfRule type="containsText" dxfId="5872" priority="6165" operator="containsText" text="Fallido">
      <formula>NOT(ISERROR(SEARCH("Fallido",V194)))</formula>
    </cfRule>
    <cfRule type="containsText" dxfId="5871" priority="6166" operator="containsText" text="Éxitoso">
      <formula>NOT(ISERROR(SEARCH("Éxitoso",V194)))</formula>
    </cfRule>
  </conditionalFormatting>
  <conditionalFormatting sqref="W194">
    <cfRule type="containsText" dxfId="5870" priority="6157" operator="containsText" text="No se pudo ejecutar">
      <formula>NOT(ISERROR(SEARCH("No se pudo ejecutar",W194)))</formula>
    </cfRule>
    <cfRule type="containsText" dxfId="5869" priority="6158" operator="containsText" text="Pendiente">
      <formula>NOT(ISERROR(SEARCH("Pendiente",W194)))</formula>
    </cfRule>
    <cfRule type="containsText" dxfId="5868" priority="6159" operator="containsText" text="No Aplica">
      <formula>NOT(ISERROR(SEARCH("No Aplica",W194)))</formula>
    </cfRule>
    <cfRule type="containsText" dxfId="5867" priority="6160" operator="containsText" text="Fallido">
      <formula>NOT(ISERROR(SEARCH("Fallido",W194)))</formula>
    </cfRule>
    <cfRule type="containsText" dxfId="5866" priority="6161" operator="containsText" text="Éxitoso">
      <formula>NOT(ISERROR(SEARCH("Éxitoso",W194)))</formula>
    </cfRule>
  </conditionalFormatting>
  <conditionalFormatting sqref="M194">
    <cfRule type="containsText" dxfId="5865" priority="6152" operator="containsText" text="No se pudo ejecutar">
      <formula>NOT(ISERROR(SEARCH("No se pudo ejecutar",M194)))</formula>
    </cfRule>
    <cfRule type="containsText" dxfId="5864" priority="6153" operator="containsText" text="Pendiente">
      <formula>NOT(ISERROR(SEARCH("Pendiente",M194)))</formula>
    </cfRule>
    <cfRule type="containsText" dxfId="5863" priority="6154" operator="containsText" text="No Aplica">
      <formula>NOT(ISERROR(SEARCH("No Aplica",M194)))</formula>
    </cfRule>
    <cfRule type="containsText" dxfId="5862" priority="6155" operator="containsText" text="Fallido">
      <formula>NOT(ISERROR(SEARCH("Fallido",M194)))</formula>
    </cfRule>
    <cfRule type="containsText" dxfId="5861" priority="6156" operator="containsText" text="Éxitoso">
      <formula>NOT(ISERROR(SEARCH("Éxitoso",M194)))</formula>
    </cfRule>
  </conditionalFormatting>
  <conditionalFormatting sqref="G194">
    <cfRule type="containsText" dxfId="5860" priority="6149" operator="containsText" text="Bajo">
      <formula>NOT(ISERROR(SEARCH("Bajo",G194)))</formula>
    </cfRule>
    <cfRule type="containsText" dxfId="5859" priority="6150" operator="containsText" text="Medio">
      <formula>NOT(ISERROR(SEARCH("Medio",G194)))</formula>
    </cfRule>
    <cfRule type="containsText" dxfId="5858" priority="6151" operator="containsText" text="Alto">
      <formula>NOT(ISERROR(SEARCH("Alto",G194)))</formula>
    </cfRule>
  </conditionalFormatting>
  <conditionalFormatting sqref="N195">
    <cfRule type="containsText" dxfId="5857" priority="6144" operator="containsText" text="No se pudo ejecutar">
      <formula>NOT(ISERROR(SEARCH("No se pudo ejecutar",N195)))</formula>
    </cfRule>
    <cfRule type="containsText" dxfId="5856" priority="6145" operator="containsText" text="Pendiente">
      <formula>NOT(ISERROR(SEARCH("Pendiente",N195)))</formula>
    </cfRule>
    <cfRule type="containsText" dxfId="5855" priority="6146" operator="containsText" text="No Aplica">
      <formula>NOT(ISERROR(SEARCH("No Aplica",N195)))</formula>
    </cfRule>
    <cfRule type="containsText" dxfId="5854" priority="6147" operator="containsText" text="Fallido">
      <formula>NOT(ISERROR(SEARCH("Fallido",N195)))</formula>
    </cfRule>
    <cfRule type="containsText" dxfId="5853" priority="6148" operator="containsText" text="Éxitoso">
      <formula>NOT(ISERROR(SEARCH("Éxitoso",N195)))</formula>
    </cfRule>
  </conditionalFormatting>
  <conditionalFormatting sqref="O195">
    <cfRule type="containsText" dxfId="5852" priority="6139" operator="containsText" text="No se pudo ejecutar">
      <formula>NOT(ISERROR(SEARCH("No se pudo ejecutar",O195)))</formula>
    </cfRule>
    <cfRule type="containsText" dxfId="5851" priority="6140" operator="containsText" text="Pendiente">
      <formula>NOT(ISERROR(SEARCH("Pendiente",O195)))</formula>
    </cfRule>
    <cfRule type="containsText" dxfId="5850" priority="6141" operator="containsText" text="No Aplica">
      <formula>NOT(ISERROR(SEARCH("No Aplica",O195)))</formula>
    </cfRule>
    <cfRule type="containsText" dxfId="5849" priority="6142" operator="containsText" text="Fallido">
      <formula>NOT(ISERROR(SEARCH("Fallido",O195)))</formula>
    </cfRule>
    <cfRule type="containsText" dxfId="5848" priority="6143" operator="containsText" text="Éxitoso">
      <formula>NOT(ISERROR(SEARCH("Éxitoso",O195)))</formula>
    </cfRule>
  </conditionalFormatting>
  <conditionalFormatting sqref="P195">
    <cfRule type="containsText" dxfId="5847" priority="6134" operator="containsText" text="No se pudo ejecutar">
      <formula>NOT(ISERROR(SEARCH("No se pudo ejecutar",P195)))</formula>
    </cfRule>
    <cfRule type="containsText" dxfId="5846" priority="6135" operator="containsText" text="Pendiente">
      <formula>NOT(ISERROR(SEARCH("Pendiente",P195)))</formula>
    </cfRule>
    <cfRule type="containsText" dxfId="5845" priority="6136" operator="containsText" text="No Aplica">
      <formula>NOT(ISERROR(SEARCH("No Aplica",P195)))</formula>
    </cfRule>
    <cfRule type="containsText" dxfId="5844" priority="6137" operator="containsText" text="Fallido">
      <formula>NOT(ISERROR(SEARCH("Fallido",P195)))</formula>
    </cfRule>
    <cfRule type="containsText" dxfId="5843" priority="6138" operator="containsText" text="Éxitoso">
      <formula>NOT(ISERROR(SEARCH("Éxitoso",P195)))</formula>
    </cfRule>
  </conditionalFormatting>
  <conditionalFormatting sqref="Q195">
    <cfRule type="containsText" dxfId="5842" priority="6129" operator="containsText" text="No se pudo ejecutar">
      <formula>NOT(ISERROR(SEARCH("No se pudo ejecutar",Q195)))</formula>
    </cfRule>
    <cfRule type="containsText" dxfId="5841" priority="6130" operator="containsText" text="Pendiente">
      <formula>NOT(ISERROR(SEARCH("Pendiente",Q195)))</formula>
    </cfRule>
    <cfRule type="containsText" dxfId="5840" priority="6131" operator="containsText" text="No Aplica">
      <formula>NOT(ISERROR(SEARCH("No Aplica",Q195)))</formula>
    </cfRule>
    <cfRule type="containsText" dxfId="5839" priority="6132" operator="containsText" text="Fallido">
      <formula>NOT(ISERROR(SEARCH("Fallido",Q195)))</formula>
    </cfRule>
    <cfRule type="containsText" dxfId="5838" priority="6133" operator="containsText" text="Éxitoso">
      <formula>NOT(ISERROR(SEARCH("Éxitoso",Q195)))</formula>
    </cfRule>
  </conditionalFormatting>
  <conditionalFormatting sqref="R195">
    <cfRule type="containsText" dxfId="5837" priority="6124" operator="containsText" text="No se pudo ejecutar">
      <formula>NOT(ISERROR(SEARCH("No se pudo ejecutar",R195)))</formula>
    </cfRule>
    <cfRule type="containsText" dxfId="5836" priority="6125" operator="containsText" text="Pendiente">
      <formula>NOT(ISERROR(SEARCH("Pendiente",R195)))</formula>
    </cfRule>
    <cfRule type="containsText" dxfId="5835" priority="6126" operator="containsText" text="No Aplica">
      <formula>NOT(ISERROR(SEARCH("No Aplica",R195)))</formula>
    </cfRule>
    <cfRule type="containsText" dxfId="5834" priority="6127" operator="containsText" text="Fallido">
      <formula>NOT(ISERROR(SEARCH("Fallido",R195)))</formula>
    </cfRule>
    <cfRule type="containsText" dxfId="5833" priority="6128" operator="containsText" text="Éxitoso">
      <formula>NOT(ISERROR(SEARCH("Éxitoso",R195)))</formula>
    </cfRule>
  </conditionalFormatting>
  <conditionalFormatting sqref="S195">
    <cfRule type="containsText" dxfId="5832" priority="6119" operator="containsText" text="No se pudo ejecutar">
      <formula>NOT(ISERROR(SEARCH("No se pudo ejecutar",S195)))</formula>
    </cfRule>
    <cfRule type="containsText" dxfId="5831" priority="6120" operator="containsText" text="Pendiente">
      <formula>NOT(ISERROR(SEARCH("Pendiente",S195)))</formula>
    </cfRule>
    <cfRule type="containsText" dxfId="5830" priority="6121" operator="containsText" text="No Aplica">
      <formula>NOT(ISERROR(SEARCH("No Aplica",S195)))</formula>
    </cfRule>
    <cfRule type="containsText" dxfId="5829" priority="6122" operator="containsText" text="Fallido">
      <formula>NOT(ISERROR(SEARCH("Fallido",S195)))</formula>
    </cfRule>
    <cfRule type="containsText" dxfId="5828" priority="6123" operator="containsText" text="Éxitoso">
      <formula>NOT(ISERROR(SEARCH("Éxitoso",S195)))</formula>
    </cfRule>
  </conditionalFormatting>
  <conditionalFormatting sqref="T195">
    <cfRule type="containsText" dxfId="5827" priority="6114" operator="containsText" text="No se pudo ejecutar">
      <formula>NOT(ISERROR(SEARCH("No se pudo ejecutar",T195)))</formula>
    </cfRule>
    <cfRule type="containsText" dxfId="5826" priority="6115" operator="containsText" text="Pendiente">
      <formula>NOT(ISERROR(SEARCH("Pendiente",T195)))</formula>
    </cfRule>
    <cfRule type="containsText" dxfId="5825" priority="6116" operator="containsText" text="No Aplica">
      <formula>NOT(ISERROR(SEARCH("No Aplica",T195)))</formula>
    </cfRule>
    <cfRule type="containsText" dxfId="5824" priority="6117" operator="containsText" text="Fallido">
      <formula>NOT(ISERROR(SEARCH("Fallido",T195)))</formula>
    </cfRule>
    <cfRule type="containsText" dxfId="5823" priority="6118" operator="containsText" text="Éxitoso">
      <formula>NOT(ISERROR(SEARCH("Éxitoso",T195)))</formula>
    </cfRule>
  </conditionalFormatting>
  <conditionalFormatting sqref="U195">
    <cfRule type="containsText" dxfId="5822" priority="6109" operator="containsText" text="No se pudo ejecutar">
      <formula>NOT(ISERROR(SEARCH("No se pudo ejecutar",U195)))</formula>
    </cfRule>
    <cfRule type="containsText" dxfId="5821" priority="6110" operator="containsText" text="Pendiente">
      <formula>NOT(ISERROR(SEARCH("Pendiente",U195)))</formula>
    </cfRule>
    <cfRule type="containsText" dxfId="5820" priority="6111" operator="containsText" text="No Aplica">
      <formula>NOT(ISERROR(SEARCH("No Aplica",U195)))</formula>
    </cfRule>
    <cfRule type="containsText" dxfId="5819" priority="6112" operator="containsText" text="Fallido">
      <formula>NOT(ISERROR(SEARCH("Fallido",U195)))</formula>
    </cfRule>
    <cfRule type="containsText" dxfId="5818" priority="6113" operator="containsText" text="Éxitoso">
      <formula>NOT(ISERROR(SEARCH("Éxitoso",U195)))</formula>
    </cfRule>
  </conditionalFormatting>
  <conditionalFormatting sqref="V195">
    <cfRule type="containsText" dxfId="5817" priority="6104" operator="containsText" text="No se pudo ejecutar">
      <formula>NOT(ISERROR(SEARCH("No se pudo ejecutar",V195)))</formula>
    </cfRule>
    <cfRule type="containsText" dxfId="5816" priority="6105" operator="containsText" text="Pendiente">
      <formula>NOT(ISERROR(SEARCH("Pendiente",V195)))</formula>
    </cfRule>
    <cfRule type="containsText" dxfId="5815" priority="6106" operator="containsText" text="No Aplica">
      <formula>NOT(ISERROR(SEARCH("No Aplica",V195)))</formula>
    </cfRule>
    <cfRule type="containsText" dxfId="5814" priority="6107" operator="containsText" text="Fallido">
      <formula>NOT(ISERROR(SEARCH("Fallido",V195)))</formula>
    </cfRule>
    <cfRule type="containsText" dxfId="5813" priority="6108" operator="containsText" text="Éxitoso">
      <formula>NOT(ISERROR(SEARCH("Éxitoso",V195)))</formula>
    </cfRule>
  </conditionalFormatting>
  <conditionalFormatting sqref="W195">
    <cfRule type="containsText" dxfId="5812" priority="6099" operator="containsText" text="No se pudo ejecutar">
      <formula>NOT(ISERROR(SEARCH("No se pudo ejecutar",W195)))</formula>
    </cfRule>
    <cfRule type="containsText" dxfId="5811" priority="6100" operator="containsText" text="Pendiente">
      <formula>NOT(ISERROR(SEARCH("Pendiente",W195)))</formula>
    </cfRule>
    <cfRule type="containsText" dxfId="5810" priority="6101" operator="containsText" text="No Aplica">
      <formula>NOT(ISERROR(SEARCH("No Aplica",W195)))</formula>
    </cfRule>
    <cfRule type="containsText" dxfId="5809" priority="6102" operator="containsText" text="Fallido">
      <formula>NOT(ISERROR(SEARCH("Fallido",W195)))</formula>
    </cfRule>
    <cfRule type="containsText" dxfId="5808" priority="6103" operator="containsText" text="Éxitoso">
      <formula>NOT(ISERROR(SEARCH("Éxitoso",W195)))</formula>
    </cfRule>
  </conditionalFormatting>
  <conditionalFormatting sqref="M195">
    <cfRule type="containsText" dxfId="5807" priority="6094" operator="containsText" text="No se pudo ejecutar">
      <formula>NOT(ISERROR(SEARCH("No se pudo ejecutar",M195)))</formula>
    </cfRule>
    <cfRule type="containsText" dxfId="5806" priority="6095" operator="containsText" text="Pendiente">
      <formula>NOT(ISERROR(SEARCH("Pendiente",M195)))</formula>
    </cfRule>
    <cfRule type="containsText" dxfId="5805" priority="6096" operator="containsText" text="No Aplica">
      <formula>NOT(ISERROR(SEARCH("No Aplica",M195)))</formula>
    </cfRule>
    <cfRule type="containsText" dxfId="5804" priority="6097" operator="containsText" text="Fallido">
      <formula>NOT(ISERROR(SEARCH("Fallido",M195)))</formula>
    </cfRule>
    <cfRule type="containsText" dxfId="5803" priority="6098" operator="containsText" text="Éxitoso">
      <formula>NOT(ISERROR(SEARCH("Éxitoso",M195)))</formula>
    </cfRule>
  </conditionalFormatting>
  <conditionalFormatting sqref="G195">
    <cfRule type="containsText" dxfId="5802" priority="6091" operator="containsText" text="Bajo">
      <formula>NOT(ISERROR(SEARCH("Bajo",G195)))</formula>
    </cfRule>
    <cfRule type="containsText" dxfId="5801" priority="6092" operator="containsText" text="Medio">
      <formula>NOT(ISERROR(SEARCH("Medio",G195)))</formula>
    </cfRule>
    <cfRule type="containsText" dxfId="5800" priority="6093" operator="containsText" text="Alto">
      <formula>NOT(ISERROR(SEARCH("Alto",G195)))</formula>
    </cfRule>
  </conditionalFormatting>
  <conditionalFormatting sqref="N196">
    <cfRule type="containsText" dxfId="5799" priority="6086" operator="containsText" text="No se pudo ejecutar">
      <formula>NOT(ISERROR(SEARCH("No se pudo ejecutar",N196)))</formula>
    </cfRule>
    <cfRule type="containsText" dxfId="5798" priority="6087" operator="containsText" text="Pendiente">
      <formula>NOT(ISERROR(SEARCH("Pendiente",N196)))</formula>
    </cfRule>
    <cfRule type="containsText" dxfId="5797" priority="6088" operator="containsText" text="No Aplica">
      <formula>NOT(ISERROR(SEARCH("No Aplica",N196)))</formula>
    </cfRule>
    <cfRule type="containsText" dxfId="5796" priority="6089" operator="containsText" text="Fallido">
      <formula>NOT(ISERROR(SEARCH("Fallido",N196)))</formula>
    </cfRule>
    <cfRule type="containsText" dxfId="5795" priority="6090" operator="containsText" text="Éxitoso">
      <formula>NOT(ISERROR(SEARCH("Éxitoso",N196)))</formula>
    </cfRule>
  </conditionalFormatting>
  <conditionalFormatting sqref="O196">
    <cfRule type="containsText" dxfId="5794" priority="6081" operator="containsText" text="No se pudo ejecutar">
      <formula>NOT(ISERROR(SEARCH("No se pudo ejecutar",O196)))</formula>
    </cfRule>
    <cfRule type="containsText" dxfId="5793" priority="6082" operator="containsText" text="Pendiente">
      <formula>NOT(ISERROR(SEARCH("Pendiente",O196)))</formula>
    </cfRule>
    <cfRule type="containsText" dxfId="5792" priority="6083" operator="containsText" text="No Aplica">
      <formula>NOT(ISERROR(SEARCH("No Aplica",O196)))</formula>
    </cfRule>
    <cfRule type="containsText" dxfId="5791" priority="6084" operator="containsText" text="Fallido">
      <formula>NOT(ISERROR(SEARCH("Fallido",O196)))</formula>
    </cfRule>
    <cfRule type="containsText" dxfId="5790" priority="6085" operator="containsText" text="Éxitoso">
      <formula>NOT(ISERROR(SEARCH("Éxitoso",O196)))</formula>
    </cfRule>
  </conditionalFormatting>
  <conditionalFormatting sqref="P196">
    <cfRule type="containsText" dxfId="5789" priority="6076" operator="containsText" text="No se pudo ejecutar">
      <formula>NOT(ISERROR(SEARCH("No se pudo ejecutar",P196)))</formula>
    </cfRule>
    <cfRule type="containsText" dxfId="5788" priority="6077" operator="containsText" text="Pendiente">
      <formula>NOT(ISERROR(SEARCH("Pendiente",P196)))</formula>
    </cfRule>
    <cfRule type="containsText" dxfId="5787" priority="6078" operator="containsText" text="No Aplica">
      <formula>NOT(ISERROR(SEARCH("No Aplica",P196)))</formula>
    </cfRule>
    <cfRule type="containsText" dxfId="5786" priority="6079" operator="containsText" text="Fallido">
      <formula>NOT(ISERROR(SEARCH("Fallido",P196)))</formula>
    </cfRule>
    <cfRule type="containsText" dxfId="5785" priority="6080" operator="containsText" text="Éxitoso">
      <formula>NOT(ISERROR(SEARCH("Éxitoso",P196)))</formula>
    </cfRule>
  </conditionalFormatting>
  <conditionalFormatting sqref="Q196">
    <cfRule type="containsText" dxfId="5784" priority="6071" operator="containsText" text="No se pudo ejecutar">
      <formula>NOT(ISERROR(SEARCH("No se pudo ejecutar",Q196)))</formula>
    </cfRule>
    <cfRule type="containsText" dxfId="5783" priority="6072" operator="containsText" text="Pendiente">
      <formula>NOT(ISERROR(SEARCH("Pendiente",Q196)))</formula>
    </cfRule>
    <cfRule type="containsText" dxfId="5782" priority="6073" operator="containsText" text="No Aplica">
      <formula>NOT(ISERROR(SEARCH("No Aplica",Q196)))</formula>
    </cfRule>
    <cfRule type="containsText" dxfId="5781" priority="6074" operator="containsText" text="Fallido">
      <formula>NOT(ISERROR(SEARCH("Fallido",Q196)))</formula>
    </cfRule>
    <cfRule type="containsText" dxfId="5780" priority="6075" operator="containsText" text="Éxitoso">
      <formula>NOT(ISERROR(SEARCH("Éxitoso",Q196)))</formula>
    </cfRule>
  </conditionalFormatting>
  <conditionalFormatting sqref="R196">
    <cfRule type="containsText" dxfId="5779" priority="6066" operator="containsText" text="No se pudo ejecutar">
      <formula>NOT(ISERROR(SEARCH("No se pudo ejecutar",R196)))</formula>
    </cfRule>
    <cfRule type="containsText" dxfId="5778" priority="6067" operator="containsText" text="Pendiente">
      <formula>NOT(ISERROR(SEARCH("Pendiente",R196)))</formula>
    </cfRule>
    <cfRule type="containsText" dxfId="5777" priority="6068" operator="containsText" text="No Aplica">
      <formula>NOT(ISERROR(SEARCH("No Aplica",R196)))</formula>
    </cfRule>
    <cfRule type="containsText" dxfId="5776" priority="6069" operator="containsText" text="Fallido">
      <formula>NOT(ISERROR(SEARCH("Fallido",R196)))</formula>
    </cfRule>
    <cfRule type="containsText" dxfId="5775" priority="6070" operator="containsText" text="Éxitoso">
      <formula>NOT(ISERROR(SEARCH("Éxitoso",R196)))</formula>
    </cfRule>
  </conditionalFormatting>
  <conditionalFormatting sqref="S196">
    <cfRule type="containsText" dxfId="5774" priority="6061" operator="containsText" text="No se pudo ejecutar">
      <formula>NOT(ISERROR(SEARCH("No se pudo ejecutar",S196)))</formula>
    </cfRule>
    <cfRule type="containsText" dxfId="5773" priority="6062" operator="containsText" text="Pendiente">
      <formula>NOT(ISERROR(SEARCH("Pendiente",S196)))</formula>
    </cfRule>
    <cfRule type="containsText" dxfId="5772" priority="6063" operator="containsText" text="No Aplica">
      <formula>NOT(ISERROR(SEARCH("No Aplica",S196)))</formula>
    </cfRule>
    <cfRule type="containsText" dxfId="5771" priority="6064" operator="containsText" text="Fallido">
      <formula>NOT(ISERROR(SEARCH("Fallido",S196)))</formula>
    </cfRule>
    <cfRule type="containsText" dxfId="5770" priority="6065" operator="containsText" text="Éxitoso">
      <formula>NOT(ISERROR(SEARCH("Éxitoso",S196)))</formula>
    </cfRule>
  </conditionalFormatting>
  <conditionalFormatting sqref="T196">
    <cfRule type="containsText" dxfId="5769" priority="6056" operator="containsText" text="No se pudo ejecutar">
      <formula>NOT(ISERROR(SEARCH("No se pudo ejecutar",T196)))</formula>
    </cfRule>
    <cfRule type="containsText" dxfId="5768" priority="6057" operator="containsText" text="Pendiente">
      <formula>NOT(ISERROR(SEARCH("Pendiente",T196)))</formula>
    </cfRule>
    <cfRule type="containsText" dxfId="5767" priority="6058" operator="containsText" text="No Aplica">
      <formula>NOT(ISERROR(SEARCH("No Aplica",T196)))</formula>
    </cfRule>
    <cfRule type="containsText" dxfId="5766" priority="6059" operator="containsText" text="Fallido">
      <formula>NOT(ISERROR(SEARCH("Fallido",T196)))</formula>
    </cfRule>
    <cfRule type="containsText" dxfId="5765" priority="6060" operator="containsText" text="Éxitoso">
      <formula>NOT(ISERROR(SEARCH("Éxitoso",T196)))</formula>
    </cfRule>
  </conditionalFormatting>
  <conditionalFormatting sqref="U196">
    <cfRule type="containsText" dxfId="5764" priority="6051" operator="containsText" text="No se pudo ejecutar">
      <formula>NOT(ISERROR(SEARCH("No se pudo ejecutar",U196)))</formula>
    </cfRule>
    <cfRule type="containsText" dxfId="5763" priority="6052" operator="containsText" text="Pendiente">
      <formula>NOT(ISERROR(SEARCH("Pendiente",U196)))</formula>
    </cfRule>
    <cfRule type="containsText" dxfId="5762" priority="6053" operator="containsText" text="No Aplica">
      <formula>NOT(ISERROR(SEARCH("No Aplica",U196)))</formula>
    </cfRule>
    <cfRule type="containsText" dxfId="5761" priority="6054" operator="containsText" text="Fallido">
      <formula>NOT(ISERROR(SEARCH("Fallido",U196)))</formula>
    </cfRule>
    <cfRule type="containsText" dxfId="5760" priority="6055" operator="containsText" text="Éxitoso">
      <formula>NOT(ISERROR(SEARCH("Éxitoso",U196)))</formula>
    </cfRule>
  </conditionalFormatting>
  <conditionalFormatting sqref="V196">
    <cfRule type="containsText" dxfId="5759" priority="6046" operator="containsText" text="No se pudo ejecutar">
      <formula>NOT(ISERROR(SEARCH("No se pudo ejecutar",V196)))</formula>
    </cfRule>
    <cfRule type="containsText" dxfId="5758" priority="6047" operator="containsText" text="Pendiente">
      <formula>NOT(ISERROR(SEARCH("Pendiente",V196)))</formula>
    </cfRule>
    <cfRule type="containsText" dxfId="5757" priority="6048" operator="containsText" text="No Aplica">
      <formula>NOT(ISERROR(SEARCH("No Aplica",V196)))</formula>
    </cfRule>
    <cfRule type="containsText" dxfId="5756" priority="6049" operator="containsText" text="Fallido">
      <formula>NOT(ISERROR(SEARCH("Fallido",V196)))</formula>
    </cfRule>
    <cfRule type="containsText" dxfId="5755" priority="6050" operator="containsText" text="Éxitoso">
      <formula>NOT(ISERROR(SEARCH("Éxitoso",V196)))</formula>
    </cfRule>
  </conditionalFormatting>
  <conditionalFormatting sqref="W196">
    <cfRule type="containsText" dxfId="5754" priority="6041" operator="containsText" text="No se pudo ejecutar">
      <formula>NOT(ISERROR(SEARCH("No se pudo ejecutar",W196)))</formula>
    </cfRule>
    <cfRule type="containsText" dxfId="5753" priority="6042" operator="containsText" text="Pendiente">
      <formula>NOT(ISERROR(SEARCH("Pendiente",W196)))</formula>
    </cfRule>
    <cfRule type="containsText" dxfId="5752" priority="6043" operator="containsText" text="No Aplica">
      <formula>NOT(ISERROR(SEARCH("No Aplica",W196)))</formula>
    </cfRule>
    <cfRule type="containsText" dxfId="5751" priority="6044" operator="containsText" text="Fallido">
      <formula>NOT(ISERROR(SEARCH("Fallido",W196)))</formula>
    </cfRule>
    <cfRule type="containsText" dxfId="5750" priority="6045" operator="containsText" text="Éxitoso">
      <formula>NOT(ISERROR(SEARCH("Éxitoso",W196)))</formula>
    </cfRule>
  </conditionalFormatting>
  <conditionalFormatting sqref="M196">
    <cfRule type="containsText" dxfId="5749" priority="6036" operator="containsText" text="No se pudo ejecutar">
      <formula>NOT(ISERROR(SEARCH("No se pudo ejecutar",M196)))</formula>
    </cfRule>
    <cfRule type="containsText" dxfId="5748" priority="6037" operator="containsText" text="Pendiente">
      <formula>NOT(ISERROR(SEARCH("Pendiente",M196)))</formula>
    </cfRule>
    <cfRule type="containsText" dxfId="5747" priority="6038" operator="containsText" text="No Aplica">
      <formula>NOT(ISERROR(SEARCH("No Aplica",M196)))</formula>
    </cfRule>
    <cfRule type="containsText" dxfId="5746" priority="6039" operator="containsText" text="Fallido">
      <formula>NOT(ISERROR(SEARCH("Fallido",M196)))</formula>
    </cfRule>
    <cfRule type="containsText" dxfId="5745" priority="6040" operator="containsText" text="Éxitoso">
      <formula>NOT(ISERROR(SEARCH("Éxitoso",M196)))</formula>
    </cfRule>
  </conditionalFormatting>
  <conditionalFormatting sqref="G196">
    <cfRule type="containsText" dxfId="5744" priority="6033" operator="containsText" text="Bajo">
      <formula>NOT(ISERROR(SEARCH("Bajo",G196)))</formula>
    </cfRule>
    <cfRule type="containsText" dxfId="5743" priority="6034" operator="containsText" text="Medio">
      <formula>NOT(ISERROR(SEARCH("Medio",G196)))</formula>
    </cfRule>
    <cfRule type="containsText" dxfId="5742" priority="6035" operator="containsText" text="Alto">
      <formula>NOT(ISERROR(SEARCH("Alto",G196)))</formula>
    </cfRule>
  </conditionalFormatting>
  <conditionalFormatting sqref="N197">
    <cfRule type="containsText" dxfId="5741" priority="6028" operator="containsText" text="No se pudo ejecutar">
      <formula>NOT(ISERROR(SEARCH("No se pudo ejecutar",N197)))</formula>
    </cfRule>
    <cfRule type="containsText" dxfId="5740" priority="6029" operator="containsText" text="Pendiente">
      <formula>NOT(ISERROR(SEARCH("Pendiente",N197)))</formula>
    </cfRule>
    <cfRule type="containsText" dxfId="5739" priority="6030" operator="containsText" text="No Aplica">
      <formula>NOT(ISERROR(SEARCH("No Aplica",N197)))</formula>
    </cfRule>
    <cfRule type="containsText" dxfId="5738" priority="6031" operator="containsText" text="Fallido">
      <formula>NOT(ISERROR(SEARCH("Fallido",N197)))</formula>
    </cfRule>
    <cfRule type="containsText" dxfId="5737" priority="6032" operator="containsText" text="Éxitoso">
      <formula>NOT(ISERROR(SEARCH("Éxitoso",N197)))</formula>
    </cfRule>
  </conditionalFormatting>
  <conditionalFormatting sqref="O197">
    <cfRule type="containsText" dxfId="5736" priority="6023" operator="containsText" text="No se pudo ejecutar">
      <formula>NOT(ISERROR(SEARCH("No se pudo ejecutar",O197)))</formula>
    </cfRule>
    <cfRule type="containsText" dxfId="5735" priority="6024" operator="containsText" text="Pendiente">
      <formula>NOT(ISERROR(SEARCH("Pendiente",O197)))</formula>
    </cfRule>
    <cfRule type="containsText" dxfId="5734" priority="6025" operator="containsText" text="No Aplica">
      <formula>NOT(ISERROR(SEARCH("No Aplica",O197)))</formula>
    </cfRule>
    <cfRule type="containsText" dxfId="5733" priority="6026" operator="containsText" text="Fallido">
      <formula>NOT(ISERROR(SEARCH("Fallido",O197)))</formula>
    </cfRule>
    <cfRule type="containsText" dxfId="5732" priority="6027" operator="containsText" text="Éxitoso">
      <formula>NOT(ISERROR(SEARCH("Éxitoso",O197)))</formula>
    </cfRule>
  </conditionalFormatting>
  <conditionalFormatting sqref="P197">
    <cfRule type="containsText" dxfId="5731" priority="6018" operator="containsText" text="No se pudo ejecutar">
      <formula>NOT(ISERROR(SEARCH("No se pudo ejecutar",P197)))</formula>
    </cfRule>
    <cfRule type="containsText" dxfId="5730" priority="6019" operator="containsText" text="Pendiente">
      <formula>NOT(ISERROR(SEARCH("Pendiente",P197)))</formula>
    </cfRule>
    <cfRule type="containsText" dxfId="5729" priority="6020" operator="containsText" text="No Aplica">
      <formula>NOT(ISERROR(SEARCH("No Aplica",P197)))</formula>
    </cfRule>
    <cfRule type="containsText" dxfId="5728" priority="6021" operator="containsText" text="Fallido">
      <formula>NOT(ISERROR(SEARCH("Fallido",P197)))</formula>
    </cfRule>
    <cfRule type="containsText" dxfId="5727" priority="6022" operator="containsText" text="Éxitoso">
      <formula>NOT(ISERROR(SEARCH("Éxitoso",P197)))</formula>
    </cfRule>
  </conditionalFormatting>
  <conditionalFormatting sqref="Q197">
    <cfRule type="containsText" dxfId="5726" priority="6013" operator="containsText" text="No se pudo ejecutar">
      <formula>NOT(ISERROR(SEARCH("No se pudo ejecutar",Q197)))</formula>
    </cfRule>
    <cfRule type="containsText" dxfId="5725" priority="6014" operator="containsText" text="Pendiente">
      <formula>NOT(ISERROR(SEARCH("Pendiente",Q197)))</formula>
    </cfRule>
    <cfRule type="containsText" dxfId="5724" priority="6015" operator="containsText" text="No Aplica">
      <formula>NOT(ISERROR(SEARCH("No Aplica",Q197)))</formula>
    </cfRule>
    <cfRule type="containsText" dxfId="5723" priority="6016" operator="containsText" text="Fallido">
      <formula>NOT(ISERROR(SEARCH("Fallido",Q197)))</formula>
    </cfRule>
    <cfRule type="containsText" dxfId="5722" priority="6017" operator="containsText" text="Éxitoso">
      <formula>NOT(ISERROR(SEARCH("Éxitoso",Q197)))</formula>
    </cfRule>
  </conditionalFormatting>
  <conditionalFormatting sqref="R197">
    <cfRule type="containsText" dxfId="5721" priority="6008" operator="containsText" text="No se pudo ejecutar">
      <formula>NOT(ISERROR(SEARCH("No se pudo ejecutar",R197)))</formula>
    </cfRule>
    <cfRule type="containsText" dxfId="5720" priority="6009" operator="containsText" text="Pendiente">
      <formula>NOT(ISERROR(SEARCH("Pendiente",R197)))</formula>
    </cfRule>
    <cfRule type="containsText" dxfId="5719" priority="6010" operator="containsText" text="No Aplica">
      <formula>NOT(ISERROR(SEARCH("No Aplica",R197)))</formula>
    </cfRule>
    <cfRule type="containsText" dxfId="5718" priority="6011" operator="containsText" text="Fallido">
      <formula>NOT(ISERROR(SEARCH("Fallido",R197)))</formula>
    </cfRule>
    <cfRule type="containsText" dxfId="5717" priority="6012" operator="containsText" text="Éxitoso">
      <formula>NOT(ISERROR(SEARCH("Éxitoso",R197)))</formula>
    </cfRule>
  </conditionalFormatting>
  <conditionalFormatting sqref="S197">
    <cfRule type="containsText" dxfId="5716" priority="6003" operator="containsText" text="No se pudo ejecutar">
      <formula>NOT(ISERROR(SEARCH("No se pudo ejecutar",S197)))</formula>
    </cfRule>
    <cfRule type="containsText" dxfId="5715" priority="6004" operator="containsText" text="Pendiente">
      <formula>NOT(ISERROR(SEARCH("Pendiente",S197)))</formula>
    </cfRule>
    <cfRule type="containsText" dxfId="5714" priority="6005" operator="containsText" text="No Aplica">
      <formula>NOT(ISERROR(SEARCH("No Aplica",S197)))</formula>
    </cfRule>
    <cfRule type="containsText" dxfId="5713" priority="6006" operator="containsText" text="Fallido">
      <formula>NOT(ISERROR(SEARCH("Fallido",S197)))</formula>
    </cfRule>
    <cfRule type="containsText" dxfId="5712" priority="6007" operator="containsText" text="Éxitoso">
      <formula>NOT(ISERROR(SEARCH("Éxitoso",S197)))</formula>
    </cfRule>
  </conditionalFormatting>
  <conditionalFormatting sqref="T197">
    <cfRule type="containsText" dxfId="5711" priority="5998" operator="containsText" text="No se pudo ejecutar">
      <formula>NOT(ISERROR(SEARCH("No se pudo ejecutar",T197)))</formula>
    </cfRule>
    <cfRule type="containsText" dxfId="5710" priority="5999" operator="containsText" text="Pendiente">
      <formula>NOT(ISERROR(SEARCH("Pendiente",T197)))</formula>
    </cfRule>
    <cfRule type="containsText" dxfId="5709" priority="6000" operator="containsText" text="No Aplica">
      <formula>NOT(ISERROR(SEARCH("No Aplica",T197)))</formula>
    </cfRule>
    <cfRule type="containsText" dxfId="5708" priority="6001" operator="containsText" text="Fallido">
      <formula>NOT(ISERROR(SEARCH("Fallido",T197)))</formula>
    </cfRule>
    <cfRule type="containsText" dxfId="5707" priority="6002" operator="containsText" text="Éxitoso">
      <formula>NOT(ISERROR(SEARCH("Éxitoso",T197)))</formula>
    </cfRule>
  </conditionalFormatting>
  <conditionalFormatting sqref="U197">
    <cfRule type="containsText" dxfId="5706" priority="5993" operator="containsText" text="No se pudo ejecutar">
      <formula>NOT(ISERROR(SEARCH("No se pudo ejecutar",U197)))</formula>
    </cfRule>
    <cfRule type="containsText" dxfId="5705" priority="5994" operator="containsText" text="Pendiente">
      <formula>NOT(ISERROR(SEARCH("Pendiente",U197)))</formula>
    </cfRule>
    <cfRule type="containsText" dxfId="5704" priority="5995" operator="containsText" text="No Aplica">
      <formula>NOT(ISERROR(SEARCH("No Aplica",U197)))</formula>
    </cfRule>
    <cfRule type="containsText" dxfId="5703" priority="5996" operator="containsText" text="Fallido">
      <formula>NOT(ISERROR(SEARCH("Fallido",U197)))</formula>
    </cfRule>
    <cfRule type="containsText" dxfId="5702" priority="5997" operator="containsText" text="Éxitoso">
      <formula>NOT(ISERROR(SEARCH("Éxitoso",U197)))</formula>
    </cfRule>
  </conditionalFormatting>
  <conditionalFormatting sqref="V197">
    <cfRule type="containsText" dxfId="5701" priority="5988" operator="containsText" text="No se pudo ejecutar">
      <formula>NOT(ISERROR(SEARCH("No se pudo ejecutar",V197)))</formula>
    </cfRule>
    <cfRule type="containsText" dxfId="5700" priority="5989" operator="containsText" text="Pendiente">
      <formula>NOT(ISERROR(SEARCH("Pendiente",V197)))</formula>
    </cfRule>
    <cfRule type="containsText" dxfId="5699" priority="5990" operator="containsText" text="No Aplica">
      <formula>NOT(ISERROR(SEARCH("No Aplica",V197)))</formula>
    </cfRule>
    <cfRule type="containsText" dxfId="5698" priority="5991" operator="containsText" text="Fallido">
      <formula>NOT(ISERROR(SEARCH("Fallido",V197)))</formula>
    </cfRule>
    <cfRule type="containsText" dxfId="5697" priority="5992" operator="containsText" text="Éxitoso">
      <formula>NOT(ISERROR(SEARCH("Éxitoso",V197)))</formula>
    </cfRule>
  </conditionalFormatting>
  <conditionalFormatting sqref="W197">
    <cfRule type="containsText" dxfId="5696" priority="5983" operator="containsText" text="No se pudo ejecutar">
      <formula>NOT(ISERROR(SEARCH("No se pudo ejecutar",W197)))</formula>
    </cfRule>
    <cfRule type="containsText" dxfId="5695" priority="5984" operator="containsText" text="Pendiente">
      <formula>NOT(ISERROR(SEARCH("Pendiente",W197)))</formula>
    </cfRule>
    <cfRule type="containsText" dxfId="5694" priority="5985" operator="containsText" text="No Aplica">
      <formula>NOT(ISERROR(SEARCH("No Aplica",W197)))</formula>
    </cfRule>
    <cfRule type="containsText" dxfId="5693" priority="5986" operator="containsText" text="Fallido">
      <formula>NOT(ISERROR(SEARCH("Fallido",W197)))</formula>
    </cfRule>
    <cfRule type="containsText" dxfId="5692" priority="5987" operator="containsText" text="Éxitoso">
      <formula>NOT(ISERROR(SEARCH("Éxitoso",W197)))</formula>
    </cfRule>
  </conditionalFormatting>
  <conditionalFormatting sqref="M197">
    <cfRule type="containsText" dxfId="5691" priority="5978" operator="containsText" text="No se pudo ejecutar">
      <formula>NOT(ISERROR(SEARCH("No se pudo ejecutar",M197)))</formula>
    </cfRule>
    <cfRule type="containsText" dxfId="5690" priority="5979" operator="containsText" text="Pendiente">
      <formula>NOT(ISERROR(SEARCH("Pendiente",M197)))</formula>
    </cfRule>
    <cfRule type="containsText" dxfId="5689" priority="5980" operator="containsText" text="No Aplica">
      <formula>NOT(ISERROR(SEARCH("No Aplica",M197)))</formula>
    </cfRule>
    <cfRule type="containsText" dxfId="5688" priority="5981" operator="containsText" text="Fallido">
      <formula>NOT(ISERROR(SEARCH("Fallido",M197)))</formula>
    </cfRule>
    <cfRule type="containsText" dxfId="5687" priority="5982" operator="containsText" text="Éxitoso">
      <formula>NOT(ISERROR(SEARCH("Éxitoso",M197)))</formula>
    </cfRule>
  </conditionalFormatting>
  <conditionalFormatting sqref="G197">
    <cfRule type="containsText" dxfId="5686" priority="5975" operator="containsText" text="Bajo">
      <formula>NOT(ISERROR(SEARCH("Bajo",G197)))</formula>
    </cfRule>
    <cfRule type="containsText" dxfId="5685" priority="5976" operator="containsText" text="Medio">
      <formula>NOT(ISERROR(SEARCH("Medio",G197)))</formula>
    </cfRule>
    <cfRule type="containsText" dxfId="5684" priority="5977" operator="containsText" text="Alto">
      <formula>NOT(ISERROR(SEARCH("Alto",G197)))</formula>
    </cfRule>
  </conditionalFormatting>
  <conditionalFormatting sqref="N198">
    <cfRule type="containsText" dxfId="5683" priority="5970" operator="containsText" text="No se pudo ejecutar">
      <formula>NOT(ISERROR(SEARCH("No se pudo ejecutar",N198)))</formula>
    </cfRule>
    <cfRule type="containsText" dxfId="5682" priority="5971" operator="containsText" text="Pendiente">
      <formula>NOT(ISERROR(SEARCH("Pendiente",N198)))</formula>
    </cfRule>
    <cfRule type="containsText" dxfId="5681" priority="5972" operator="containsText" text="No Aplica">
      <formula>NOT(ISERROR(SEARCH("No Aplica",N198)))</formula>
    </cfRule>
    <cfRule type="containsText" dxfId="5680" priority="5973" operator="containsText" text="Fallido">
      <formula>NOT(ISERROR(SEARCH("Fallido",N198)))</formula>
    </cfRule>
    <cfRule type="containsText" dxfId="5679" priority="5974" operator="containsText" text="Éxitoso">
      <formula>NOT(ISERROR(SEARCH("Éxitoso",N198)))</formula>
    </cfRule>
  </conditionalFormatting>
  <conditionalFormatting sqref="O198">
    <cfRule type="containsText" dxfId="5678" priority="5965" operator="containsText" text="No se pudo ejecutar">
      <formula>NOT(ISERROR(SEARCH("No se pudo ejecutar",O198)))</formula>
    </cfRule>
    <cfRule type="containsText" dxfId="5677" priority="5966" operator="containsText" text="Pendiente">
      <formula>NOT(ISERROR(SEARCH("Pendiente",O198)))</formula>
    </cfRule>
    <cfRule type="containsText" dxfId="5676" priority="5967" operator="containsText" text="No Aplica">
      <formula>NOT(ISERROR(SEARCH("No Aplica",O198)))</formula>
    </cfRule>
    <cfRule type="containsText" dxfId="5675" priority="5968" operator="containsText" text="Fallido">
      <formula>NOT(ISERROR(SEARCH("Fallido",O198)))</formula>
    </cfRule>
    <cfRule type="containsText" dxfId="5674" priority="5969" operator="containsText" text="Éxitoso">
      <formula>NOT(ISERROR(SEARCH("Éxitoso",O198)))</formula>
    </cfRule>
  </conditionalFormatting>
  <conditionalFormatting sqref="P198">
    <cfRule type="containsText" dxfId="5673" priority="5960" operator="containsText" text="No se pudo ejecutar">
      <formula>NOT(ISERROR(SEARCH("No se pudo ejecutar",P198)))</formula>
    </cfRule>
    <cfRule type="containsText" dxfId="5672" priority="5961" operator="containsText" text="Pendiente">
      <formula>NOT(ISERROR(SEARCH("Pendiente",P198)))</formula>
    </cfRule>
    <cfRule type="containsText" dxfId="5671" priority="5962" operator="containsText" text="No Aplica">
      <formula>NOT(ISERROR(SEARCH("No Aplica",P198)))</formula>
    </cfRule>
    <cfRule type="containsText" dxfId="5670" priority="5963" operator="containsText" text="Fallido">
      <formula>NOT(ISERROR(SEARCH("Fallido",P198)))</formula>
    </cfRule>
    <cfRule type="containsText" dxfId="5669" priority="5964" operator="containsText" text="Éxitoso">
      <formula>NOT(ISERROR(SEARCH("Éxitoso",P198)))</formula>
    </cfRule>
  </conditionalFormatting>
  <conditionalFormatting sqref="Q198">
    <cfRule type="containsText" dxfId="5668" priority="5955" operator="containsText" text="No se pudo ejecutar">
      <formula>NOT(ISERROR(SEARCH("No se pudo ejecutar",Q198)))</formula>
    </cfRule>
    <cfRule type="containsText" dxfId="5667" priority="5956" operator="containsText" text="Pendiente">
      <formula>NOT(ISERROR(SEARCH("Pendiente",Q198)))</formula>
    </cfRule>
    <cfRule type="containsText" dxfId="5666" priority="5957" operator="containsText" text="No Aplica">
      <formula>NOT(ISERROR(SEARCH("No Aplica",Q198)))</formula>
    </cfRule>
    <cfRule type="containsText" dxfId="5665" priority="5958" operator="containsText" text="Fallido">
      <formula>NOT(ISERROR(SEARCH("Fallido",Q198)))</formula>
    </cfRule>
    <cfRule type="containsText" dxfId="5664" priority="5959" operator="containsText" text="Éxitoso">
      <formula>NOT(ISERROR(SEARCH("Éxitoso",Q198)))</formula>
    </cfRule>
  </conditionalFormatting>
  <conditionalFormatting sqref="R198">
    <cfRule type="containsText" dxfId="5663" priority="5950" operator="containsText" text="No se pudo ejecutar">
      <formula>NOT(ISERROR(SEARCH("No se pudo ejecutar",R198)))</formula>
    </cfRule>
    <cfRule type="containsText" dxfId="5662" priority="5951" operator="containsText" text="Pendiente">
      <formula>NOT(ISERROR(SEARCH("Pendiente",R198)))</formula>
    </cfRule>
    <cfRule type="containsText" dxfId="5661" priority="5952" operator="containsText" text="No Aplica">
      <formula>NOT(ISERROR(SEARCH("No Aplica",R198)))</formula>
    </cfRule>
    <cfRule type="containsText" dxfId="5660" priority="5953" operator="containsText" text="Fallido">
      <formula>NOT(ISERROR(SEARCH("Fallido",R198)))</formula>
    </cfRule>
    <cfRule type="containsText" dxfId="5659" priority="5954" operator="containsText" text="Éxitoso">
      <formula>NOT(ISERROR(SEARCH("Éxitoso",R198)))</formula>
    </cfRule>
  </conditionalFormatting>
  <conditionalFormatting sqref="S198">
    <cfRule type="containsText" dxfId="5658" priority="5945" operator="containsText" text="No se pudo ejecutar">
      <formula>NOT(ISERROR(SEARCH("No se pudo ejecutar",S198)))</formula>
    </cfRule>
    <cfRule type="containsText" dxfId="5657" priority="5946" operator="containsText" text="Pendiente">
      <formula>NOT(ISERROR(SEARCH("Pendiente",S198)))</formula>
    </cfRule>
    <cfRule type="containsText" dxfId="5656" priority="5947" operator="containsText" text="No Aplica">
      <formula>NOT(ISERROR(SEARCH("No Aplica",S198)))</formula>
    </cfRule>
    <cfRule type="containsText" dxfId="5655" priority="5948" operator="containsText" text="Fallido">
      <formula>NOT(ISERROR(SEARCH("Fallido",S198)))</formula>
    </cfRule>
    <cfRule type="containsText" dxfId="5654" priority="5949" operator="containsText" text="Éxitoso">
      <formula>NOT(ISERROR(SEARCH("Éxitoso",S198)))</formula>
    </cfRule>
  </conditionalFormatting>
  <conditionalFormatting sqref="T198">
    <cfRule type="containsText" dxfId="5653" priority="5940" operator="containsText" text="No se pudo ejecutar">
      <formula>NOT(ISERROR(SEARCH("No se pudo ejecutar",T198)))</formula>
    </cfRule>
    <cfRule type="containsText" dxfId="5652" priority="5941" operator="containsText" text="Pendiente">
      <formula>NOT(ISERROR(SEARCH("Pendiente",T198)))</formula>
    </cfRule>
    <cfRule type="containsText" dxfId="5651" priority="5942" operator="containsText" text="No Aplica">
      <formula>NOT(ISERROR(SEARCH("No Aplica",T198)))</formula>
    </cfRule>
    <cfRule type="containsText" dxfId="5650" priority="5943" operator="containsText" text="Fallido">
      <formula>NOT(ISERROR(SEARCH("Fallido",T198)))</formula>
    </cfRule>
    <cfRule type="containsText" dxfId="5649" priority="5944" operator="containsText" text="Éxitoso">
      <formula>NOT(ISERROR(SEARCH("Éxitoso",T198)))</formula>
    </cfRule>
  </conditionalFormatting>
  <conditionalFormatting sqref="U198">
    <cfRule type="containsText" dxfId="5648" priority="5935" operator="containsText" text="No se pudo ejecutar">
      <formula>NOT(ISERROR(SEARCH("No se pudo ejecutar",U198)))</formula>
    </cfRule>
    <cfRule type="containsText" dxfId="5647" priority="5936" operator="containsText" text="Pendiente">
      <formula>NOT(ISERROR(SEARCH("Pendiente",U198)))</formula>
    </cfRule>
    <cfRule type="containsText" dxfId="5646" priority="5937" operator="containsText" text="No Aplica">
      <formula>NOT(ISERROR(SEARCH("No Aplica",U198)))</formula>
    </cfRule>
    <cfRule type="containsText" dxfId="5645" priority="5938" operator="containsText" text="Fallido">
      <formula>NOT(ISERROR(SEARCH("Fallido",U198)))</formula>
    </cfRule>
    <cfRule type="containsText" dxfId="5644" priority="5939" operator="containsText" text="Éxitoso">
      <formula>NOT(ISERROR(SEARCH("Éxitoso",U198)))</formula>
    </cfRule>
  </conditionalFormatting>
  <conditionalFormatting sqref="V198">
    <cfRule type="containsText" dxfId="5643" priority="5930" operator="containsText" text="No se pudo ejecutar">
      <formula>NOT(ISERROR(SEARCH("No se pudo ejecutar",V198)))</formula>
    </cfRule>
    <cfRule type="containsText" dxfId="5642" priority="5931" operator="containsText" text="Pendiente">
      <formula>NOT(ISERROR(SEARCH("Pendiente",V198)))</formula>
    </cfRule>
    <cfRule type="containsText" dxfId="5641" priority="5932" operator="containsText" text="No Aplica">
      <formula>NOT(ISERROR(SEARCH("No Aplica",V198)))</formula>
    </cfRule>
    <cfRule type="containsText" dxfId="5640" priority="5933" operator="containsText" text="Fallido">
      <formula>NOT(ISERROR(SEARCH("Fallido",V198)))</formula>
    </cfRule>
    <cfRule type="containsText" dxfId="5639" priority="5934" operator="containsText" text="Éxitoso">
      <formula>NOT(ISERROR(SEARCH("Éxitoso",V198)))</formula>
    </cfRule>
  </conditionalFormatting>
  <conditionalFormatting sqref="W198">
    <cfRule type="containsText" dxfId="5638" priority="5925" operator="containsText" text="No se pudo ejecutar">
      <formula>NOT(ISERROR(SEARCH("No se pudo ejecutar",W198)))</formula>
    </cfRule>
    <cfRule type="containsText" dxfId="5637" priority="5926" operator="containsText" text="Pendiente">
      <formula>NOT(ISERROR(SEARCH("Pendiente",W198)))</formula>
    </cfRule>
    <cfRule type="containsText" dxfId="5636" priority="5927" operator="containsText" text="No Aplica">
      <formula>NOT(ISERROR(SEARCH("No Aplica",W198)))</formula>
    </cfRule>
    <cfRule type="containsText" dxfId="5635" priority="5928" operator="containsText" text="Fallido">
      <formula>NOT(ISERROR(SEARCH("Fallido",W198)))</formula>
    </cfRule>
    <cfRule type="containsText" dxfId="5634" priority="5929" operator="containsText" text="Éxitoso">
      <formula>NOT(ISERROR(SEARCH("Éxitoso",W198)))</formula>
    </cfRule>
  </conditionalFormatting>
  <conditionalFormatting sqref="M198">
    <cfRule type="containsText" dxfId="5633" priority="5920" operator="containsText" text="No se pudo ejecutar">
      <formula>NOT(ISERROR(SEARCH("No se pudo ejecutar",M198)))</formula>
    </cfRule>
    <cfRule type="containsText" dxfId="5632" priority="5921" operator="containsText" text="Pendiente">
      <formula>NOT(ISERROR(SEARCH("Pendiente",M198)))</formula>
    </cfRule>
    <cfRule type="containsText" dxfId="5631" priority="5922" operator="containsText" text="No Aplica">
      <formula>NOT(ISERROR(SEARCH("No Aplica",M198)))</formula>
    </cfRule>
    <cfRule type="containsText" dxfId="5630" priority="5923" operator="containsText" text="Fallido">
      <formula>NOT(ISERROR(SEARCH("Fallido",M198)))</formula>
    </cfRule>
    <cfRule type="containsText" dxfId="5629" priority="5924" operator="containsText" text="Éxitoso">
      <formula>NOT(ISERROR(SEARCH("Éxitoso",M198)))</formula>
    </cfRule>
  </conditionalFormatting>
  <conditionalFormatting sqref="G198">
    <cfRule type="containsText" dxfId="5628" priority="5917" operator="containsText" text="Bajo">
      <formula>NOT(ISERROR(SEARCH("Bajo",G198)))</formula>
    </cfRule>
    <cfRule type="containsText" dxfId="5627" priority="5918" operator="containsText" text="Medio">
      <formula>NOT(ISERROR(SEARCH("Medio",G198)))</formula>
    </cfRule>
    <cfRule type="containsText" dxfId="5626" priority="5919" operator="containsText" text="Alto">
      <formula>NOT(ISERROR(SEARCH("Alto",G198)))</formula>
    </cfRule>
  </conditionalFormatting>
  <conditionalFormatting sqref="N199">
    <cfRule type="containsText" dxfId="5625" priority="5912" operator="containsText" text="No se pudo ejecutar">
      <formula>NOT(ISERROR(SEARCH("No se pudo ejecutar",N199)))</formula>
    </cfRule>
    <cfRule type="containsText" dxfId="5624" priority="5913" operator="containsText" text="Pendiente">
      <formula>NOT(ISERROR(SEARCH("Pendiente",N199)))</formula>
    </cfRule>
    <cfRule type="containsText" dxfId="5623" priority="5914" operator="containsText" text="No Aplica">
      <formula>NOT(ISERROR(SEARCH("No Aplica",N199)))</formula>
    </cfRule>
    <cfRule type="containsText" dxfId="5622" priority="5915" operator="containsText" text="Fallido">
      <formula>NOT(ISERROR(SEARCH("Fallido",N199)))</formula>
    </cfRule>
    <cfRule type="containsText" dxfId="5621" priority="5916" operator="containsText" text="Éxitoso">
      <formula>NOT(ISERROR(SEARCH("Éxitoso",N199)))</formula>
    </cfRule>
  </conditionalFormatting>
  <conditionalFormatting sqref="O199">
    <cfRule type="containsText" dxfId="5620" priority="5907" operator="containsText" text="No se pudo ejecutar">
      <formula>NOT(ISERROR(SEARCH("No se pudo ejecutar",O199)))</formula>
    </cfRule>
    <cfRule type="containsText" dxfId="5619" priority="5908" operator="containsText" text="Pendiente">
      <formula>NOT(ISERROR(SEARCH("Pendiente",O199)))</formula>
    </cfRule>
    <cfRule type="containsText" dxfId="5618" priority="5909" operator="containsText" text="No Aplica">
      <formula>NOT(ISERROR(SEARCH("No Aplica",O199)))</formula>
    </cfRule>
    <cfRule type="containsText" dxfId="5617" priority="5910" operator="containsText" text="Fallido">
      <formula>NOT(ISERROR(SEARCH("Fallido",O199)))</formula>
    </cfRule>
    <cfRule type="containsText" dxfId="5616" priority="5911" operator="containsText" text="Éxitoso">
      <formula>NOT(ISERROR(SEARCH("Éxitoso",O199)))</formula>
    </cfRule>
  </conditionalFormatting>
  <conditionalFormatting sqref="P199">
    <cfRule type="containsText" dxfId="5615" priority="5902" operator="containsText" text="No se pudo ejecutar">
      <formula>NOT(ISERROR(SEARCH("No se pudo ejecutar",P199)))</formula>
    </cfRule>
    <cfRule type="containsText" dxfId="5614" priority="5903" operator="containsText" text="Pendiente">
      <formula>NOT(ISERROR(SEARCH("Pendiente",P199)))</formula>
    </cfRule>
    <cfRule type="containsText" dxfId="5613" priority="5904" operator="containsText" text="No Aplica">
      <formula>NOT(ISERROR(SEARCH("No Aplica",P199)))</formula>
    </cfRule>
    <cfRule type="containsText" dxfId="5612" priority="5905" operator="containsText" text="Fallido">
      <formula>NOT(ISERROR(SEARCH("Fallido",P199)))</formula>
    </cfRule>
    <cfRule type="containsText" dxfId="5611" priority="5906" operator="containsText" text="Éxitoso">
      <formula>NOT(ISERROR(SEARCH("Éxitoso",P199)))</formula>
    </cfRule>
  </conditionalFormatting>
  <conditionalFormatting sqref="Q199">
    <cfRule type="containsText" dxfId="5610" priority="5897" operator="containsText" text="No se pudo ejecutar">
      <formula>NOT(ISERROR(SEARCH("No se pudo ejecutar",Q199)))</formula>
    </cfRule>
    <cfRule type="containsText" dxfId="5609" priority="5898" operator="containsText" text="Pendiente">
      <formula>NOT(ISERROR(SEARCH("Pendiente",Q199)))</formula>
    </cfRule>
    <cfRule type="containsText" dxfId="5608" priority="5899" operator="containsText" text="No Aplica">
      <formula>NOT(ISERROR(SEARCH("No Aplica",Q199)))</formula>
    </cfRule>
    <cfRule type="containsText" dxfId="5607" priority="5900" operator="containsText" text="Fallido">
      <formula>NOT(ISERROR(SEARCH("Fallido",Q199)))</formula>
    </cfRule>
    <cfRule type="containsText" dxfId="5606" priority="5901" operator="containsText" text="Éxitoso">
      <formula>NOT(ISERROR(SEARCH("Éxitoso",Q199)))</formula>
    </cfRule>
  </conditionalFormatting>
  <conditionalFormatting sqref="R199">
    <cfRule type="containsText" dxfId="5605" priority="5892" operator="containsText" text="No se pudo ejecutar">
      <formula>NOT(ISERROR(SEARCH("No se pudo ejecutar",R199)))</formula>
    </cfRule>
    <cfRule type="containsText" dxfId="5604" priority="5893" operator="containsText" text="Pendiente">
      <formula>NOT(ISERROR(SEARCH("Pendiente",R199)))</formula>
    </cfRule>
    <cfRule type="containsText" dxfId="5603" priority="5894" operator="containsText" text="No Aplica">
      <formula>NOT(ISERROR(SEARCH("No Aplica",R199)))</formula>
    </cfRule>
    <cfRule type="containsText" dxfId="5602" priority="5895" operator="containsText" text="Fallido">
      <formula>NOT(ISERROR(SEARCH("Fallido",R199)))</formula>
    </cfRule>
    <cfRule type="containsText" dxfId="5601" priority="5896" operator="containsText" text="Éxitoso">
      <formula>NOT(ISERROR(SEARCH("Éxitoso",R199)))</formula>
    </cfRule>
  </conditionalFormatting>
  <conditionalFormatting sqref="S199">
    <cfRule type="containsText" dxfId="5600" priority="5887" operator="containsText" text="No se pudo ejecutar">
      <formula>NOT(ISERROR(SEARCH("No se pudo ejecutar",S199)))</formula>
    </cfRule>
    <cfRule type="containsText" dxfId="5599" priority="5888" operator="containsText" text="Pendiente">
      <formula>NOT(ISERROR(SEARCH("Pendiente",S199)))</formula>
    </cfRule>
    <cfRule type="containsText" dxfId="5598" priority="5889" operator="containsText" text="No Aplica">
      <formula>NOT(ISERROR(SEARCH("No Aplica",S199)))</formula>
    </cfRule>
    <cfRule type="containsText" dxfId="5597" priority="5890" operator="containsText" text="Fallido">
      <formula>NOT(ISERROR(SEARCH("Fallido",S199)))</formula>
    </cfRule>
    <cfRule type="containsText" dxfId="5596" priority="5891" operator="containsText" text="Éxitoso">
      <formula>NOT(ISERROR(SEARCH("Éxitoso",S199)))</formula>
    </cfRule>
  </conditionalFormatting>
  <conditionalFormatting sqref="T199">
    <cfRule type="containsText" dxfId="5595" priority="5882" operator="containsText" text="No se pudo ejecutar">
      <formula>NOT(ISERROR(SEARCH("No se pudo ejecutar",T199)))</formula>
    </cfRule>
    <cfRule type="containsText" dxfId="5594" priority="5883" operator="containsText" text="Pendiente">
      <formula>NOT(ISERROR(SEARCH("Pendiente",T199)))</formula>
    </cfRule>
    <cfRule type="containsText" dxfId="5593" priority="5884" operator="containsText" text="No Aplica">
      <formula>NOT(ISERROR(SEARCH("No Aplica",T199)))</formula>
    </cfRule>
    <cfRule type="containsText" dxfId="5592" priority="5885" operator="containsText" text="Fallido">
      <formula>NOT(ISERROR(SEARCH("Fallido",T199)))</formula>
    </cfRule>
    <cfRule type="containsText" dxfId="5591" priority="5886" operator="containsText" text="Éxitoso">
      <formula>NOT(ISERROR(SEARCH("Éxitoso",T199)))</formula>
    </cfRule>
  </conditionalFormatting>
  <conditionalFormatting sqref="U199">
    <cfRule type="containsText" dxfId="5590" priority="5877" operator="containsText" text="No se pudo ejecutar">
      <formula>NOT(ISERROR(SEARCH("No se pudo ejecutar",U199)))</formula>
    </cfRule>
    <cfRule type="containsText" dxfId="5589" priority="5878" operator="containsText" text="Pendiente">
      <formula>NOT(ISERROR(SEARCH("Pendiente",U199)))</formula>
    </cfRule>
    <cfRule type="containsText" dxfId="5588" priority="5879" operator="containsText" text="No Aplica">
      <formula>NOT(ISERROR(SEARCH("No Aplica",U199)))</formula>
    </cfRule>
    <cfRule type="containsText" dxfId="5587" priority="5880" operator="containsText" text="Fallido">
      <formula>NOT(ISERROR(SEARCH("Fallido",U199)))</formula>
    </cfRule>
    <cfRule type="containsText" dxfId="5586" priority="5881" operator="containsText" text="Éxitoso">
      <formula>NOT(ISERROR(SEARCH("Éxitoso",U199)))</formula>
    </cfRule>
  </conditionalFormatting>
  <conditionalFormatting sqref="V199">
    <cfRule type="containsText" dxfId="5585" priority="5872" operator="containsText" text="No se pudo ejecutar">
      <formula>NOT(ISERROR(SEARCH("No se pudo ejecutar",V199)))</formula>
    </cfRule>
    <cfRule type="containsText" dxfId="5584" priority="5873" operator="containsText" text="Pendiente">
      <formula>NOT(ISERROR(SEARCH("Pendiente",V199)))</formula>
    </cfRule>
    <cfRule type="containsText" dxfId="5583" priority="5874" operator="containsText" text="No Aplica">
      <formula>NOT(ISERROR(SEARCH("No Aplica",V199)))</formula>
    </cfRule>
    <cfRule type="containsText" dxfId="5582" priority="5875" operator="containsText" text="Fallido">
      <formula>NOT(ISERROR(SEARCH("Fallido",V199)))</formula>
    </cfRule>
    <cfRule type="containsText" dxfId="5581" priority="5876" operator="containsText" text="Éxitoso">
      <formula>NOT(ISERROR(SEARCH("Éxitoso",V199)))</formula>
    </cfRule>
  </conditionalFormatting>
  <conditionalFormatting sqref="W199">
    <cfRule type="containsText" dxfId="5580" priority="5867" operator="containsText" text="No se pudo ejecutar">
      <formula>NOT(ISERROR(SEARCH("No se pudo ejecutar",W199)))</formula>
    </cfRule>
    <cfRule type="containsText" dxfId="5579" priority="5868" operator="containsText" text="Pendiente">
      <formula>NOT(ISERROR(SEARCH("Pendiente",W199)))</formula>
    </cfRule>
    <cfRule type="containsText" dxfId="5578" priority="5869" operator="containsText" text="No Aplica">
      <formula>NOT(ISERROR(SEARCH("No Aplica",W199)))</formula>
    </cfRule>
    <cfRule type="containsText" dxfId="5577" priority="5870" operator="containsText" text="Fallido">
      <formula>NOT(ISERROR(SEARCH("Fallido",W199)))</formula>
    </cfRule>
    <cfRule type="containsText" dxfId="5576" priority="5871" operator="containsText" text="Éxitoso">
      <formula>NOT(ISERROR(SEARCH("Éxitoso",W199)))</formula>
    </cfRule>
  </conditionalFormatting>
  <conditionalFormatting sqref="M199">
    <cfRule type="containsText" dxfId="5575" priority="5862" operator="containsText" text="No se pudo ejecutar">
      <formula>NOT(ISERROR(SEARCH("No se pudo ejecutar",M199)))</formula>
    </cfRule>
    <cfRule type="containsText" dxfId="5574" priority="5863" operator="containsText" text="Pendiente">
      <formula>NOT(ISERROR(SEARCH("Pendiente",M199)))</formula>
    </cfRule>
    <cfRule type="containsText" dxfId="5573" priority="5864" operator="containsText" text="No Aplica">
      <formula>NOT(ISERROR(SEARCH("No Aplica",M199)))</formula>
    </cfRule>
    <cfRule type="containsText" dxfId="5572" priority="5865" operator="containsText" text="Fallido">
      <formula>NOT(ISERROR(SEARCH("Fallido",M199)))</formula>
    </cfRule>
    <cfRule type="containsText" dxfId="5571" priority="5866" operator="containsText" text="Éxitoso">
      <formula>NOT(ISERROR(SEARCH("Éxitoso",M199)))</formula>
    </cfRule>
  </conditionalFormatting>
  <conditionalFormatting sqref="G199">
    <cfRule type="containsText" dxfId="5570" priority="5859" operator="containsText" text="Bajo">
      <formula>NOT(ISERROR(SEARCH("Bajo",G199)))</formula>
    </cfRule>
    <cfRule type="containsText" dxfId="5569" priority="5860" operator="containsText" text="Medio">
      <formula>NOT(ISERROR(SEARCH("Medio",G199)))</formula>
    </cfRule>
    <cfRule type="containsText" dxfId="5568" priority="5861" operator="containsText" text="Alto">
      <formula>NOT(ISERROR(SEARCH("Alto",G199)))</formula>
    </cfRule>
  </conditionalFormatting>
  <conditionalFormatting sqref="N200">
    <cfRule type="containsText" dxfId="5567" priority="5854" operator="containsText" text="No se pudo ejecutar">
      <formula>NOT(ISERROR(SEARCH("No se pudo ejecutar",N200)))</formula>
    </cfRule>
    <cfRule type="containsText" dxfId="5566" priority="5855" operator="containsText" text="Pendiente">
      <formula>NOT(ISERROR(SEARCH("Pendiente",N200)))</formula>
    </cfRule>
    <cfRule type="containsText" dxfId="5565" priority="5856" operator="containsText" text="No Aplica">
      <formula>NOT(ISERROR(SEARCH("No Aplica",N200)))</formula>
    </cfRule>
    <cfRule type="containsText" dxfId="5564" priority="5857" operator="containsText" text="Fallido">
      <formula>NOT(ISERROR(SEARCH("Fallido",N200)))</formula>
    </cfRule>
    <cfRule type="containsText" dxfId="5563" priority="5858" operator="containsText" text="Éxitoso">
      <formula>NOT(ISERROR(SEARCH("Éxitoso",N200)))</formula>
    </cfRule>
  </conditionalFormatting>
  <conditionalFormatting sqref="O200">
    <cfRule type="containsText" dxfId="5562" priority="5849" operator="containsText" text="No se pudo ejecutar">
      <formula>NOT(ISERROR(SEARCH("No se pudo ejecutar",O200)))</formula>
    </cfRule>
    <cfRule type="containsText" dxfId="5561" priority="5850" operator="containsText" text="Pendiente">
      <formula>NOT(ISERROR(SEARCH("Pendiente",O200)))</formula>
    </cfRule>
    <cfRule type="containsText" dxfId="5560" priority="5851" operator="containsText" text="No Aplica">
      <formula>NOT(ISERROR(SEARCH("No Aplica",O200)))</formula>
    </cfRule>
    <cfRule type="containsText" dxfId="5559" priority="5852" operator="containsText" text="Fallido">
      <formula>NOT(ISERROR(SEARCH("Fallido",O200)))</formula>
    </cfRule>
    <cfRule type="containsText" dxfId="5558" priority="5853" operator="containsText" text="Éxitoso">
      <formula>NOT(ISERROR(SEARCH("Éxitoso",O200)))</formula>
    </cfRule>
  </conditionalFormatting>
  <conditionalFormatting sqref="P200">
    <cfRule type="containsText" dxfId="5557" priority="5844" operator="containsText" text="No se pudo ejecutar">
      <formula>NOT(ISERROR(SEARCH("No se pudo ejecutar",P200)))</formula>
    </cfRule>
    <cfRule type="containsText" dxfId="5556" priority="5845" operator="containsText" text="Pendiente">
      <formula>NOT(ISERROR(SEARCH("Pendiente",P200)))</formula>
    </cfRule>
    <cfRule type="containsText" dxfId="5555" priority="5846" operator="containsText" text="No Aplica">
      <formula>NOT(ISERROR(SEARCH("No Aplica",P200)))</formula>
    </cfRule>
    <cfRule type="containsText" dxfId="5554" priority="5847" operator="containsText" text="Fallido">
      <formula>NOT(ISERROR(SEARCH("Fallido",P200)))</formula>
    </cfRule>
    <cfRule type="containsText" dxfId="5553" priority="5848" operator="containsText" text="Éxitoso">
      <formula>NOT(ISERROR(SEARCH("Éxitoso",P200)))</formula>
    </cfRule>
  </conditionalFormatting>
  <conditionalFormatting sqref="Q200">
    <cfRule type="containsText" dxfId="5552" priority="5839" operator="containsText" text="No se pudo ejecutar">
      <formula>NOT(ISERROR(SEARCH("No se pudo ejecutar",Q200)))</formula>
    </cfRule>
    <cfRule type="containsText" dxfId="5551" priority="5840" operator="containsText" text="Pendiente">
      <formula>NOT(ISERROR(SEARCH("Pendiente",Q200)))</formula>
    </cfRule>
    <cfRule type="containsText" dxfId="5550" priority="5841" operator="containsText" text="No Aplica">
      <formula>NOT(ISERROR(SEARCH("No Aplica",Q200)))</formula>
    </cfRule>
    <cfRule type="containsText" dxfId="5549" priority="5842" operator="containsText" text="Fallido">
      <formula>NOT(ISERROR(SEARCH("Fallido",Q200)))</formula>
    </cfRule>
    <cfRule type="containsText" dxfId="5548" priority="5843" operator="containsText" text="Éxitoso">
      <formula>NOT(ISERROR(SEARCH("Éxitoso",Q200)))</formula>
    </cfRule>
  </conditionalFormatting>
  <conditionalFormatting sqref="R200">
    <cfRule type="containsText" dxfId="5547" priority="5834" operator="containsText" text="No se pudo ejecutar">
      <formula>NOT(ISERROR(SEARCH("No se pudo ejecutar",R200)))</formula>
    </cfRule>
    <cfRule type="containsText" dxfId="5546" priority="5835" operator="containsText" text="Pendiente">
      <formula>NOT(ISERROR(SEARCH("Pendiente",R200)))</formula>
    </cfRule>
    <cfRule type="containsText" dxfId="5545" priority="5836" operator="containsText" text="No Aplica">
      <formula>NOT(ISERROR(SEARCH("No Aplica",R200)))</formula>
    </cfRule>
    <cfRule type="containsText" dxfId="5544" priority="5837" operator="containsText" text="Fallido">
      <formula>NOT(ISERROR(SEARCH("Fallido",R200)))</formula>
    </cfRule>
    <cfRule type="containsText" dxfId="5543" priority="5838" operator="containsText" text="Éxitoso">
      <formula>NOT(ISERROR(SEARCH("Éxitoso",R200)))</formula>
    </cfRule>
  </conditionalFormatting>
  <conditionalFormatting sqref="S200">
    <cfRule type="containsText" dxfId="5542" priority="5829" operator="containsText" text="No se pudo ejecutar">
      <formula>NOT(ISERROR(SEARCH("No se pudo ejecutar",S200)))</formula>
    </cfRule>
    <cfRule type="containsText" dxfId="5541" priority="5830" operator="containsText" text="Pendiente">
      <formula>NOT(ISERROR(SEARCH("Pendiente",S200)))</formula>
    </cfRule>
    <cfRule type="containsText" dxfId="5540" priority="5831" operator="containsText" text="No Aplica">
      <formula>NOT(ISERROR(SEARCH("No Aplica",S200)))</formula>
    </cfRule>
    <cfRule type="containsText" dxfId="5539" priority="5832" operator="containsText" text="Fallido">
      <formula>NOT(ISERROR(SEARCH("Fallido",S200)))</formula>
    </cfRule>
    <cfRule type="containsText" dxfId="5538" priority="5833" operator="containsText" text="Éxitoso">
      <formula>NOT(ISERROR(SEARCH("Éxitoso",S200)))</formula>
    </cfRule>
  </conditionalFormatting>
  <conditionalFormatting sqref="T200">
    <cfRule type="containsText" dxfId="5537" priority="5824" operator="containsText" text="No se pudo ejecutar">
      <formula>NOT(ISERROR(SEARCH("No se pudo ejecutar",T200)))</formula>
    </cfRule>
    <cfRule type="containsText" dxfId="5536" priority="5825" operator="containsText" text="Pendiente">
      <formula>NOT(ISERROR(SEARCH("Pendiente",T200)))</formula>
    </cfRule>
    <cfRule type="containsText" dxfId="5535" priority="5826" operator="containsText" text="No Aplica">
      <formula>NOT(ISERROR(SEARCH("No Aplica",T200)))</formula>
    </cfRule>
    <cfRule type="containsText" dxfId="5534" priority="5827" operator="containsText" text="Fallido">
      <formula>NOT(ISERROR(SEARCH("Fallido",T200)))</formula>
    </cfRule>
    <cfRule type="containsText" dxfId="5533" priority="5828" operator="containsText" text="Éxitoso">
      <formula>NOT(ISERROR(SEARCH("Éxitoso",T200)))</formula>
    </cfRule>
  </conditionalFormatting>
  <conditionalFormatting sqref="U200">
    <cfRule type="containsText" dxfId="5532" priority="5819" operator="containsText" text="No se pudo ejecutar">
      <formula>NOT(ISERROR(SEARCH("No se pudo ejecutar",U200)))</formula>
    </cfRule>
    <cfRule type="containsText" dxfId="5531" priority="5820" operator="containsText" text="Pendiente">
      <formula>NOT(ISERROR(SEARCH("Pendiente",U200)))</formula>
    </cfRule>
    <cfRule type="containsText" dxfId="5530" priority="5821" operator="containsText" text="No Aplica">
      <formula>NOT(ISERROR(SEARCH("No Aplica",U200)))</formula>
    </cfRule>
    <cfRule type="containsText" dxfId="5529" priority="5822" operator="containsText" text="Fallido">
      <formula>NOT(ISERROR(SEARCH("Fallido",U200)))</formula>
    </cfRule>
    <cfRule type="containsText" dxfId="5528" priority="5823" operator="containsText" text="Éxitoso">
      <formula>NOT(ISERROR(SEARCH("Éxitoso",U200)))</formula>
    </cfRule>
  </conditionalFormatting>
  <conditionalFormatting sqref="V200">
    <cfRule type="containsText" dxfId="5527" priority="5814" operator="containsText" text="No se pudo ejecutar">
      <formula>NOT(ISERROR(SEARCH("No se pudo ejecutar",V200)))</formula>
    </cfRule>
    <cfRule type="containsText" dxfId="5526" priority="5815" operator="containsText" text="Pendiente">
      <formula>NOT(ISERROR(SEARCH("Pendiente",V200)))</formula>
    </cfRule>
    <cfRule type="containsText" dxfId="5525" priority="5816" operator="containsText" text="No Aplica">
      <formula>NOT(ISERROR(SEARCH("No Aplica",V200)))</formula>
    </cfRule>
    <cfRule type="containsText" dxfId="5524" priority="5817" operator="containsText" text="Fallido">
      <formula>NOT(ISERROR(SEARCH("Fallido",V200)))</formula>
    </cfRule>
    <cfRule type="containsText" dxfId="5523" priority="5818" operator="containsText" text="Éxitoso">
      <formula>NOT(ISERROR(SEARCH("Éxitoso",V200)))</formula>
    </cfRule>
  </conditionalFormatting>
  <conditionalFormatting sqref="W200">
    <cfRule type="containsText" dxfId="5522" priority="5809" operator="containsText" text="No se pudo ejecutar">
      <formula>NOT(ISERROR(SEARCH("No se pudo ejecutar",W200)))</formula>
    </cfRule>
    <cfRule type="containsText" dxfId="5521" priority="5810" operator="containsText" text="Pendiente">
      <formula>NOT(ISERROR(SEARCH("Pendiente",W200)))</formula>
    </cfRule>
    <cfRule type="containsText" dxfId="5520" priority="5811" operator="containsText" text="No Aplica">
      <formula>NOT(ISERROR(SEARCH("No Aplica",W200)))</formula>
    </cfRule>
    <cfRule type="containsText" dxfId="5519" priority="5812" operator="containsText" text="Fallido">
      <formula>NOT(ISERROR(SEARCH("Fallido",W200)))</formula>
    </cfRule>
    <cfRule type="containsText" dxfId="5518" priority="5813" operator="containsText" text="Éxitoso">
      <formula>NOT(ISERROR(SEARCH("Éxitoso",W200)))</formula>
    </cfRule>
  </conditionalFormatting>
  <conditionalFormatting sqref="M200">
    <cfRule type="containsText" dxfId="5517" priority="5804" operator="containsText" text="No se pudo ejecutar">
      <formula>NOT(ISERROR(SEARCH("No se pudo ejecutar",M200)))</formula>
    </cfRule>
    <cfRule type="containsText" dxfId="5516" priority="5805" operator="containsText" text="Pendiente">
      <formula>NOT(ISERROR(SEARCH("Pendiente",M200)))</formula>
    </cfRule>
    <cfRule type="containsText" dxfId="5515" priority="5806" operator="containsText" text="No Aplica">
      <formula>NOT(ISERROR(SEARCH("No Aplica",M200)))</formula>
    </cfRule>
    <cfRule type="containsText" dxfId="5514" priority="5807" operator="containsText" text="Fallido">
      <formula>NOT(ISERROR(SEARCH("Fallido",M200)))</formula>
    </cfRule>
    <cfRule type="containsText" dxfId="5513" priority="5808" operator="containsText" text="Éxitoso">
      <formula>NOT(ISERROR(SEARCH("Éxitoso",M200)))</formula>
    </cfRule>
  </conditionalFormatting>
  <conditionalFormatting sqref="G200">
    <cfRule type="containsText" dxfId="5512" priority="5801" operator="containsText" text="Bajo">
      <formula>NOT(ISERROR(SEARCH("Bajo",G200)))</formula>
    </cfRule>
    <cfRule type="containsText" dxfId="5511" priority="5802" operator="containsText" text="Medio">
      <formula>NOT(ISERROR(SEARCH("Medio",G200)))</formula>
    </cfRule>
    <cfRule type="containsText" dxfId="5510" priority="5803" operator="containsText" text="Alto">
      <formula>NOT(ISERROR(SEARCH("Alto",G200)))</formula>
    </cfRule>
  </conditionalFormatting>
  <conditionalFormatting sqref="N201">
    <cfRule type="containsText" dxfId="5509" priority="5796" operator="containsText" text="No se pudo ejecutar">
      <formula>NOT(ISERROR(SEARCH("No se pudo ejecutar",N201)))</formula>
    </cfRule>
    <cfRule type="containsText" dxfId="5508" priority="5797" operator="containsText" text="Pendiente">
      <formula>NOT(ISERROR(SEARCH("Pendiente",N201)))</formula>
    </cfRule>
    <cfRule type="containsText" dxfId="5507" priority="5798" operator="containsText" text="No Aplica">
      <formula>NOT(ISERROR(SEARCH("No Aplica",N201)))</formula>
    </cfRule>
    <cfRule type="containsText" dxfId="5506" priority="5799" operator="containsText" text="Fallido">
      <formula>NOT(ISERROR(SEARCH("Fallido",N201)))</formula>
    </cfRule>
    <cfRule type="containsText" dxfId="5505" priority="5800" operator="containsText" text="Éxitoso">
      <formula>NOT(ISERROR(SEARCH("Éxitoso",N201)))</formula>
    </cfRule>
  </conditionalFormatting>
  <conditionalFormatting sqref="O201">
    <cfRule type="containsText" dxfId="5504" priority="5791" operator="containsText" text="No se pudo ejecutar">
      <formula>NOT(ISERROR(SEARCH("No se pudo ejecutar",O201)))</formula>
    </cfRule>
    <cfRule type="containsText" dxfId="5503" priority="5792" operator="containsText" text="Pendiente">
      <formula>NOT(ISERROR(SEARCH("Pendiente",O201)))</formula>
    </cfRule>
    <cfRule type="containsText" dxfId="5502" priority="5793" operator="containsText" text="No Aplica">
      <formula>NOT(ISERROR(SEARCH("No Aplica",O201)))</formula>
    </cfRule>
    <cfRule type="containsText" dxfId="5501" priority="5794" operator="containsText" text="Fallido">
      <formula>NOT(ISERROR(SEARCH("Fallido",O201)))</formula>
    </cfRule>
    <cfRule type="containsText" dxfId="5500" priority="5795" operator="containsText" text="Éxitoso">
      <formula>NOT(ISERROR(SEARCH("Éxitoso",O201)))</formula>
    </cfRule>
  </conditionalFormatting>
  <conditionalFormatting sqref="P201">
    <cfRule type="containsText" dxfId="5499" priority="5786" operator="containsText" text="No se pudo ejecutar">
      <formula>NOT(ISERROR(SEARCH("No se pudo ejecutar",P201)))</formula>
    </cfRule>
    <cfRule type="containsText" dxfId="5498" priority="5787" operator="containsText" text="Pendiente">
      <formula>NOT(ISERROR(SEARCH("Pendiente",P201)))</formula>
    </cfRule>
    <cfRule type="containsText" dxfId="5497" priority="5788" operator="containsText" text="No Aplica">
      <formula>NOT(ISERROR(SEARCH("No Aplica",P201)))</formula>
    </cfRule>
    <cfRule type="containsText" dxfId="5496" priority="5789" operator="containsText" text="Fallido">
      <formula>NOT(ISERROR(SEARCH("Fallido",P201)))</formula>
    </cfRule>
    <cfRule type="containsText" dxfId="5495" priority="5790" operator="containsText" text="Éxitoso">
      <formula>NOT(ISERROR(SEARCH("Éxitoso",P201)))</formula>
    </cfRule>
  </conditionalFormatting>
  <conditionalFormatting sqref="Q201">
    <cfRule type="containsText" dxfId="5494" priority="5781" operator="containsText" text="No se pudo ejecutar">
      <formula>NOT(ISERROR(SEARCH("No se pudo ejecutar",Q201)))</formula>
    </cfRule>
    <cfRule type="containsText" dxfId="5493" priority="5782" operator="containsText" text="Pendiente">
      <formula>NOT(ISERROR(SEARCH("Pendiente",Q201)))</formula>
    </cfRule>
    <cfRule type="containsText" dxfId="5492" priority="5783" operator="containsText" text="No Aplica">
      <formula>NOT(ISERROR(SEARCH("No Aplica",Q201)))</formula>
    </cfRule>
    <cfRule type="containsText" dxfId="5491" priority="5784" operator="containsText" text="Fallido">
      <formula>NOT(ISERROR(SEARCH("Fallido",Q201)))</formula>
    </cfRule>
    <cfRule type="containsText" dxfId="5490" priority="5785" operator="containsText" text="Éxitoso">
      <formula>NOT(ISERROR(SEARCH("Éxitoso",Q201)))</formula>
    </cfRule>
  </conditionalFormatting>
  <conditionalFormatting sqref="R201">
    <cfRule type="containsText" dxfId="5489" priority="5776" operator="containsText" text="No se pudo ejecutar">
      <formula>NOT(ISERROR(SEARCH("No se pudo ejecutar",R201)))</formula>
    </cfRule>
    <cfRule type="containsText" dxfId="5488" priority="5777" operator="containsText" text="Pendiente">
      <formula>NOT(ISERROR(SEARCH("Pendiente",R201)))</formula>
    </cfRule>
    <cfRule type="containsText" dxfId="5487" priority="5778" operator="containsText" text="No Aplica">
      <formula>NOT(ISERROR(SEARCH("No Aplica",R201)))</formula>
    </cfRule>
    <cfRule type="containsText" dxfId="5486" priority="5779" operator="containsText" text="Fallido">
      <formula>NOT(ISERROR(SEARCH("Fallido",R201)))</formula>
    </cfRule>
    <cfRule type="containsText" dxfId="5485" priority="5780" operator="containsText" text="Éxitoso">
      <formula>NOT(ISERROR(SEARCH("Éxitoso",R201)))</formula>
    </cfRule>
  </conditionalFormatting>
  <conditionalFormatting sqref="S201">
    <cfRule type="containsText" dxfId="5484" priority="5771" operator="containsText" text="No se pudo ejecutar">
      <formula>NOT(ISERROR(SEARCH("No se pudo ejecutar",S201)))</formula>
    </cfRule>
    <cfRule type="containsText" dxfId="5483" priority="5772" operator="containsText" text="Pendiente">
      <formula>NOT(ISERROR(SEARCH("Pendiente",S201)))</formula>
    </cfRule>
    <cfRule type="containsText" dxfId="5482" priority="5773" operator="containsText" text="No Aplica">
      <formula>NOT(ISERROR(SEARCH("No Aplica",S201)))</formula>
    </cfRule>
    <cfRule type="containsText" dxfId="5481" priority="5774" operator="containsText" text="Fallido">
      <formula>NOT(ISERROR(SEARCH("Fallido",S201)))</formula>
    </cfRule>
    <cfRule type="containsText" dxfId="5480" priority="5775" operator="containsText" text="Éxitoso">
      <formula>NOT(ISERROR(SEARCH("Éxitoso",S201)))</formula>
    </cfRule>
  </conditionalFormatting>
  <conditionalFormatting sqref="T201">
    <cfRule type="containsText" dxfId="5479" priority="5766" operator="containsText" text="No se pudo ejecutar">
      <formula>NOT(ISERROR(SEARCH("No se pudo ejecutar",T201)))</formula>
    </cfRule>
    <cfRule type="containsText" dxfId="5478" priority="5767" operator="containsText" text="Pendiente">
      <formula>NOT(ISERROR(SEARCH("Pendiente",T201)))</formula>
    </cfRule>
    <cfRule type="containsText" dxfId="5477" priority="5768" operator="containsText" text="No Aplica">
      <formula>NOT(ISERROR(SEARCH("No Aplica",T201)))</formula>
    </cfRule>
    <cfRule type="containsText" dxfId="5476" priority="5769" operator="containsText" text="Fallido">
      <formula>NOT(ISERROR(SEARCH("Fallido",T201)))</formula>
    </cfRule>
    <cfRule type="containsText" dxfId="5475" priority="5770" operator="containsText" text="Éxitoso">
      <formula>NOT(ISERROR(SEARCH("Éxitoso",T201)))</formula>
    </cfRule>
  </conditionalFormatting>
  <conditionalFormatting sqref="U201">
    <cfRule type="containsText" dxfId="5474" priority="5761" operator="containsText" text="No se pudo ejecutar">
      <formula>NOT(ISERROR(SEARCH("No se pudo ejecutar",U201)))</formula>
    </cfRule>
    <cfRule type="containsText" dxfId="5473" priority="5762" operator="containsText" text="Pendiente">
      <formula>NOT(ISERROR(SEARCH("Pendiente",U201)))</formula>
    </cfRule>
    <cfRule type="containsText" dxfId="5472" priority="5763" operator="containsText" text="No Aplica">
      <formula>NOT(ISERROR(SEARCH("No Aplica",U201)))</formula>
    </cfRule>
    <cfRule type="containsText" dxfId="5471" priority="5764" operator="containsText" text="Fallido">
      <formula>NOT(ISERROR(SEARCH("Fallido",U201)))</formula>
    </cfRule>
    <cfRule type="containsText" dxfId="5470" priority="5765" operator="containsText" text="Éxitoso">
      <formula>NOT(ISERROR(SEARCH("Éxitoso",U201)))</formula>
    </cfRule>
  </conditionalFormatting>
  <conditionalFormatting sqref="V201">
    <cfRule type="containsText" dxfId="5469" priority="5756" operator="containsText" text="No se pudo ejecutar">
      <formula>NOT(ISERROR(SEARCH("No se pudo ejecutar",V201)))</formula>
    </cfRule>
    <cfRule type="containsText" dxfId="5468" priority="5757" operator="containsText" text="Pendiente">
      <formula>NOT(ISERROR(SEARCH("Pendiente",V201)))</formula>
    </cfRule>
    <cfRule type="containsText" dxfId="5467" priority="5758" operator="containsText" text="No Aplica">
      <formula>NOT(ISERROR(SEARCH("No Aplica",V201)))</formula>
    </cfRule>
    <cfRule type="containsText" dxfId="5466" priority="5759" operator="containsText" text="Fallido">
      <formula>NOT(ISERROR(SEARCH("Fallido",V201)))</formula>
    </cfRule>
    <cfRule type="containsText" dxfId="5465" priority="5760" operator="containsText" text="Éxitoso">
      <formula>NOT(ISERROR(SEARCH("Éxitoso",V201)))</formula>
    </cfRule>
  </conditionalFormatting>
  <conditionalFormatting sqref="W201">
    <cfRule type="containsText" dxfId="5464" priority="5751" operator="containsText" text="No se pudo ejecutar">
      <formula>NOT(ISERROR(SEARCH("No se pudo ejecutar",W201)))</formula>
    </cfRule>
    <cfRule type="containsText" dxfId="5463" priority="5752" operator="containsText" text="Pendiente">
      <formula>NOT(ISERROR(SEARCH("Pendiente",W201)))</formula>
    </cfRule>
    <cfRule type="containsText" dxfId="5462" priority="5753" operator="containsText" text="No Aplica">
      <formula>NOT(ISERROR(SEARCH("No Aplica",W201)))</formula>
    </cfRule>
    <cfRule type="containsText" dxfId="5461" priority="5754" operator="containsText" text="Fallido">
      <formula>NOT(ISERROR(SEARCH("Fallido",W201)))</formula>
    </cfRule>
    <cfRule type="containsText" dxfId="5460" priority="5755" operator="containsText" text="Éxitoso">
      <formula>NOT(ISERROR(SEARCH("Éxitoso",W201)))</formula>
    </cfRule>
  </conditionalFormatting>
  <conditionalFormatting sqref="M201">
    <cfRule type="containsText" dxfId="5459" priority="5746" operator="containsText" text="No se pudo ejecutar">
      <formula>NOT(ISERROR(SEARCH("No se pudo ejecutar",M201)))</formula>
    </cfRule>
    <cfRule type="containsText" dxfId="5458" priority="5747" operator="containsText" text="Pendiente">
      <formula>NOT(ISERROR(SEARCH("Pendiente",M201)))</formula>
    </cfRule>
    <cfRule type="containsText" dxfId="5457" priority="5748" operator="containsText" text="No Aplica">
      <formula>NOT(ISERROR(SEARCH("No Aplica",M201)))</formula>
    </cfRule>
    <cfRule type="containsText" dxfId="5456" priority="5749" operator="containsText" text="Fallido">
      <formula>NOT(ISERROR(SEARCH("Fallido",M201)))</formula>
    </cfRule>
    <cfRule type="containsText" dxfId="5455" priority="5750" operator="containsText" text="Éxitoso">
      <formula>NOT(ISERROR(SEARCH("Éxitoso",M201)))</formula>
    </cfRule>
  </conditionalFormatting>
  <conditionalFormatting sqref="G201">
    <cfRule type="containsText" dxfId="5454" priority="5743" operator="containsText" text="Bajo">
      <formula>NOT(ISERROR(SEARCH("Bajo",G201)))</formula>
    </cfRule>
    <cfRule type="containsText" dxfId="5453" priority="5744" operator="containsText" text="Medio">
      <formula>NOT(ISERROR(SEARCH("Medio",G201)))</formula>
    </cfRule>
    <cfRule type="containsText" dxfId="5452" priority="5745" operator="containsText" text="Alto">
      <formula>NOT(ISERROR(SEARCH("Alto",G201)))</formula>
    </cfRule>
  </conditionalFormatting>
  <conditionalFormatting sqref="N202">
    <cfRule type="containsText" dxfId="5451" priority="5738" operator="containsText" text="No se pudo ejecutar">
      <formula>NOT(ISERROR(SEARCH("No se pudo ejecutar",N202)))</formula>
    </cfRule>
    <cfRule type="containsText" dxfId="5450" priority="5739" operator="containsText" text="Pendiente">
      <formula>NOT(ISERROR(SEARCH("Pendiente",N202)))</formula>
    </cfRule>
    <cfRule type="containsText" dxfId="5449" priority="5740" operator="containsText" text="No Aplica">
      <formula>NOT(ISERROR(SEARCH("No Aplica",N202)))</formula>
    </cfRule>
    <cfRule type="containsText" dxfId="5448" priority="5741" operator="containsText" text="Fallido">
      <formula>NOT(ISERROR(SEARCH("Fallido",N202)))</formula>
    </cfRule>
    <cfRule type="containsText" dxfId="5447" priority="5742" operator="containsText" text="Éxitoso">
      <formula>NOT(ISERROR(SEARCH("Éxitoso",N202)))</formula>
    </cfRule>
  </conditionalFormatting>
  <conditionalFormatting sqref="O202">
    <cfRule type="containsText" dxfId="5446" priority="5733" operator="containsText" text="No se pudo ejecutar">
      <formula>NOT(ISERROR(SEARCH("No se pudo ejecutar",O202)))</formula>
    </cfRule>
    <cfRule type="containsText" dxfId="5445" priority="5734" operator="containsText" text="Pendiente">
      <formula>NOT(ISERROR(SEARCH("Pendiente",O202)))</formula>
    </cfRule>
    <cfRule type="containsText" dxfId="5444" priority="5735" operator="containsText" text="No Aplica">
      <formula>NOT(ISERROR(SEARCH("No Aplica",O202)))</formula>
    </cfRule>
    <cfRule type="containsText" dxfId="5443" priority="5736" operator="containsText" text="Fallido">
      <formula>NOT(ISERROR(SEARCH("Fallido",O202)))</formula>
    </cfRule>
    <cfRule type="containsText" dxfId="5442" priority="5737" operator="containsText" text="Éxitoso">
      <formula>NOT(ISERROR(SEARCH("Éxitoso",O202)))</formula>
    </cfRule>
  </conditionalFormatting>
  <conditionalFormatting sqref="P202">
    <cfRule type="containsText" dxfId="5441" priority="5728" operator="containsText" text="No se pudo ejecutar">
      <formula>NOT(ISERROR(SEARCH("No se pudo ejecutar",P202)))</formula>
    </cfRule>
    <cfRule type="containsText" dxfId="5440" priority="5729" operator="containsText" text="Pendiente">
      <formula>NOT(ISERROR(SEARCH("Pendiente",P202)))</formula>
    </cfRule>
    <cfRule type="containsText" dxfId="5439" priority="5730" operator="containsText" text="No Aplica">
      <formula>NOT(ISERROR(SEARCH("No Aplica",P202)))</formula>
    </cfRule>
    <cfRule type="containsText" dxfId="5438" priority="5731" operator="containsText" text="Fallido">
      <formula>NOT(ISERROR(SEARCH("Fallido",P202)))</formula>
    </cfRule>
    <cfRule type="containsText" dxfId="5437" priority="5732" operator="containsText" text="Éxitoso">
      <formula>NOT(ISERROR(SEARCH("Éxitoso",P202)))</formula>
    </cfRule>
  </conditionalFormatting>
  <conditionalFormatting sqref="Q202">
    <cfRule type="containsText" dxfId="5436" priority="5723" operator="containsText" text="No se pudo ejecutar">
      <formula>NOT(ISERROR(SEARCH("No se pudo ejecutar",Q202)))</formula>
    </cfRule>
    <cfRule type="containsText" dxfId="5435" priority="5724" operator="containsText" text="Pendiente">
      <formula>NOT(ISERROR(SEARCH("Pendiente",Q202)))</formula>
    </cfRule>
    <cfRule type="containsText" dxfId="5434" priority="5725" operator="containsText" text="No Aplica">
      <formula>NOT(ISERROR(SEARCH("No Aplica",Q202)))</formula>
    </cfRule>
    <cfRule type="containsText" dxfId="5433" priority="5726" operator="containsText" text="Fallido">
      <formula>NOT(ISERROR(SEARCH("Fallido",Q202)))</formula>
    </cfRule>
    <cfRule type="containsText" dxfId="5432" priority="5727" operator="containsText" text="Éxitoso">
      <formula>NOT(ISERROR(SEARCH("Éxitoso",Q202)))</formula>
    </cfRule>
  </conditionalFormatting>
  <conditionalFormatting sqref="R202">
    <cfRule type="containsText" dxfId="5431" priority="5718" operator="containsText" text="No se pudo ejecutar">
      <formula>NOT(ISERROR(SEARCH("No se pudo ejecutar",R202)))</formula>
    </cfRule>
    <cfRule type="containsText" dxfId="5430" priority="5719" operator="containsText" text="Pendiente">
      <formula>NOT(ISERROR(SEARCH("Pendiente",R202)))</formula>
    </cfRule>
    <cfRule type="containsText" dxfId="5429" priority="5720" operator="containsText" text="No Aplica">
      <formula>NOT(ISERROR(SEARCH("No Aplica",R202)))</formula>
    </cfRule>
    <cfRule type="containsText" dxfId="5428" priority="5721" operator="containsText" text="Fallido">
      <formula>NOT(ISERROR(SEARCH("Fallido",R202)))</formula>
    </cfRule>
    <cfRule type="containsText" dxfId="5427" priority="5722" operator="containsText" text="Éxitoso">
      <formula>NOT(ISERROR(SEARCH("Éxitoso",R202)))</formula>
    </cfRule>
  </conditionalFormatting>
  <conditionalFormatting sqref="S202">
    <cfRule type="containsText" dxfId="5426" priority="5713" operator="containsText" text="No se pudo ejecutar">
      <formula>NOT(ISERROR(SEARCH("No se pudo ejecutar",S202)))</formula>
    </cfRule>
    <cfRule type="containsText" dxfId="5425" priority="5714" operator="containsText" text="Pendiente">
      <formula>NOT(ISERROR(SEARCH("Pendiente",S202)))</formula>
    </cfRule>
    <cfRule type="containsText" dxfId="5424" priority="5715" operator="containsText" text="No Aplica">
      <formula>NOT(ISERROR(SEARCH("No Aplica",S202)))</formula>
    </cfRule>
    <cfRule type="containsText" dxfId="5423" priority="5716" operator="containsText" text="Fallido">
      <formula>NOT(ISERROR(SEARCH("Fallido",S202)))</formula>
    </cfRule>
    <cfRule type="containsText" dxfId="5422" priority="5717" operator="containsText" text="Éxitoso">
      <formula>NOT(ISERROR(SEARCH("Éxitoso",S202)))</formula>
    </cfRule>
  </conditionalFormatting>
  <conditionalFormatting sqref="T202">
    <cfRule type="containsText" dxfId="5421" priority="5708" operator="containsText" text="No se pudo ejecutar">
      <formula>NOT(ISERROR(SEARCH("No se pudo ejecutar",T202)))</formula>
    </cfRule>
    <cfRule type="containsText" dxfId="5420" priority="5709" operator="containsText" text="Pendiente">
      <formula>NOT(ISERROR(SEARCH("Pendiente",T202)))</formula>
    </cfRule>
    <cfRule type="containsText" dxfId="5419" priority="5710" operator="containsText" text="No Aplica">
      <formula>NOT(ISERROR(SEARCH("No Aplica",T202)))</formula>
    </cfRule>
    <cfRule type="containsText" dxfId="5418" priority="5711" operator="containsText" text="Fallido">
      <formula>NOT(ISERROR(SEARCH("Fallido",T202)))</formula>
    </cfRule>
    <cfRule type="containsText" dxfId="5417" priority="5712" operator="containsText" text="Éxitoso">
      <formula>NOT(ISERROR(SEARCH("Éxitoso",T202)))</formula>
    </cfRule>
  </conditionalFormatting>
  <conditionalFormatting sqref="U202">
    <cfRule type="containsText" dxfId="5416" priority="5703" operator="containsText" text="No se pudo ejecutar">
      <formula>NOT(ISERROR(SEARCH("No se pudo ejecutar",U202)))</formula>
    </cfRule>
    <cfRule type="containsText" dxfId="5415" priority="5704" operator="containsText" text="Pendiente">
      <formula>NOT(ISERROR(SEARCH("Pendiente",U202)))</formula>
    </cfRule>
    <cfRule type="containsText" dxfId="5414" priority="5705" operator="containsText" text="No Aplica">
      <formula>NOT(ISERROR(SEARCH("No Aplica",U202)))</formula>
    </cfRule>
    <cfRule type="containsText" dxfId="5413" priority="5706" operator="containsText" text="Fallido">
      <formula>NOT(ISERROR(SEARCH("Fallido",U202)))</formula>
    </cfRule>
    <cfRule type="containsText" dxfId="5412" priority="5707" operator="containsText" text="Éxitoso">
      <formula>NOT(ISERROR(SEARCH("Éxitoso",U202)))</formula>
    </cfRule>
  </conditionalFormatting>
  <conditionalFormatting sqref="V202">
    <cfRule type="containsText" dxfId="5411" priority="5698" operator="containsText" text="No se pudo ejecutar">
      <formula>NOT(ISERROR(SEARCH("No se pudo ejecutar",V202)))</formula>
    </cfRule>
    <cfRule type="containsText" dxfId="5410" priority="5699" operator="containsText" text="Pendiente">
      <formula>NOT(ISERROR(SEARCH("Pendiente",V202)))</formula>
    </cfRule>
    <cfRule type="containsText" dxfId="5409" priority="5700" operator="containsText" text="No Aplica">
      <formula>NOT(ISERROR(SEARCH("No Aplica",V202)))</formula>
    </cfRule>
    <cfRule type="containsText" dxfId="5408" priority="5701" operator="containsText" text="Fallido">
      <formula>NOT(ISERROR(SEARCH("Fallido",V202)))</formula>
    </cfRule>
    <cfRule type="containsText" dxfId="5407" priority="5702" operator="containsText" text="Éxitoso">
      <formula>NOT(ISERROR(SEARCH("Éxitoso",V202)))</formula>
    </cfRule>
  </conditionalFormatting>
  <conditionalFormatting sqref="W202">
    <cfRule type="containsText" dxfId="5406" priority="5693" operator="containsText" text="No se pudo ejecutar">
      <formula>NOT(ISERROR(SEARCH("No se pudo ejecutar",W202)))</formula>
    </cfRule>
    <cfRule type="containsText" dxfId="5405" priority="5694" operator="containsText" text="Pendiente">
      <formula>NOT(ISERROR(SEARCH("Pendiente",W202)))</formula>
    </cfRule>
    <cfRule type="containsText" dxfId="5404" priority="5695" operator="containsText" text="No Aplica">
      <formula>NOT(ISERROR(SEARCH("No Aplica",W202)))</formula>
    </cfRule>
    <cfRule type="containsText" dxfId="5403" priority="5696" operator="containsText" text="Fallido">
      <formula>NOT(ISERROR(SEARCH("Fallido",W202)))</formula>
    </cfRule>
    <cfRule type="containsText" dxfId="5402" priority="5697" operator="containsText" text="Éxitoso">
      <formula>NOT(ISERROR(SEARCH("Éxitoso",W202)))</formula>
    </cfRule>
  </conditionalFormatting>
  <conditionalFormatting sqref="M202">
    <cfRule type="containsText" dxfId="5401" priority="5688" operator="containsText" text="No se pudo ejecutar">
      <formula>NOT(ISERROR(SEARCH("No se pudo ejecutar",M202)))</formula>
    </cfRule>
    <cfRule type="containsText" dxfId="5400" priority="5689" operator="containsText" text="Pendiente">
      <formula>NOT(ISERROR(SEARCH("Pendiente",M202)))</formula>
    </cfRule>
    <cfRule type="containsText" dxfId="5399" priority="5690" operator="containsText" text="No Aplica">
      <formula>NOT(ISERROR(SEARCH("No Aplica",M202)))</formula>
    </cfRule>
    <cfRule type="containsText" dxfId="5398" priority="5691" operator="containsText" text="Fallido">
      <formula>NOT(ISERROR(SEARCH("Fallido",M202)))</formula>
    </cfRule>
    <cfRule type="containsText" dxfId="5397" priority="5692" operator="containsText" text="Éxitoso">
      <formula>NOT(ISERROR(SEARCH("Éxitoso",M202)))</formula>
    </cfRule>
  </conditionalFormatting>
  <conditionalFormatting sqref="G202">
    <cfRule type="containsText" dxfId="5396" priority="5685" operator="containsText" text="Bajo">
      <formula>NOT(ISERROR(SEARCH("Bajo",G202)))</formula>
    </cfRule>
    <cfRule type="containsText" dxfId="5395" priority="5686" operator="containsText" text="Medio">
      <formula>NOT(ISERROR(SEARCH("Medio",G202)))</formula>
    </cfRule>
    <cfRule type="containsText" dxfId="5394" priority="5687" operator="containsText" text="Alto">
      <formula>NOT(ISERROR(SEARCH("Alto",G202)))</formula>
    </cfRule>
  </conditionalFormatting>
  <conditionalFormatting sqref="N203">
    <cfRule type="containsText" dxfId="5393" priority="5680" operator="containsText" text="No se pudo ejecutar">
      <formula>NOT(ISERROR(SEARCH("No se pudo ejecutar",N203)))</formula>
    </cfRule>
    <cfRule type="containsText" dxfId="5392" priority="5681" operator="containsText" text="Pendiente">
      <formula>NOT(ISERROR(SEARCH("Pendiente",N203)))</formula>
    </cfRule>
    <cfRule type="containsText" dxfId="5391" priority="5682" operator="containsText" text="No Aplica">
      <formula>NOT(ISERROR(SEARCH("No Aplica",N203)))</formula>
    </cfRule>
    <cfRule type="containsText" dxfId="5390" priority="5683" operator="containsText" text="Fallido">
      <formula>NOT(ISERROR(SEARCH("Fallido",N203)))</formula>
    </cfRule>
    <cfRule type="containsText" dxfId="5389" priority="5684" operator="containsText" text="Éxitoso">
      <formula>NOT(ISERROR(SEARCH("Éxitoso",N203)))</formula>
    </cfRule>
  </conditionalFormatting>
  <conditionalFormatting sqref="O203">
    <cfRule type="containsText" dxfId="5388" priority="5675" operator="containsText" text="No se pudo ejecutar">
      <formula>NOT(ISERROR(SEARCH("No se pudo ejecutar",O203)))</formula>
    </cfRule>
    <cfRule type="containsText" dxfId="5387" priority="5676" operator="containsText" text="Pendiente">
      <formula>NOT(ISERROR(SEARCH("Pendiente",O203)))</formula>
    </cfRule>
    <cfRule type="containsText" dxfId="5386" priority="5677" operator="containsText" text="No Aplica">
      <formula>NOT(ISERROR(SEARCH("No Aplica",O203)))</formula>
    </cfRule>
    <cfRule type="containsText" dxfId="5385" priority="5678" operator="containsText" text="Fallido">
      <formula>NOT(ISERROR(SEARCH("Fallido",O203)))</formula>
    </cfRule>
    <cfRule type="containsText" dxfId="5384" priority="5679" operator="containsText" text="Éxitoso">
      <formula>NOT(ISERROR(SEARCH("Éxitoso",O203)))</formula>
    </cfRule>
  </conditionalFormatting>
  <conditionalFormatting sqref="P203">
    <cfRule type="containsText" dxfId="5383" priority="5670" operator="containsText" text="No se pudo ejecutar">
      <formula>NOT(ISERROR(SEARCH("No se pudo ejecutar",P203)))</formula>
    </cfRule>
    <cfRule type="containsText" dxfId="5382" priority="5671" operator="containsText" text="Pendiente">
      <formula>NOT(ISERROR(SEARCH("Pendiente",P203)))</formula>
    </cfRule>
    <cfRule type="containsText" dxfId="5381" priority="5672" operator="containsText" text="No Aplica">
      <formula>NOT(ISERROR(SEARCH("No Aplica",P203)))</formula>
    </cfRule>
    <cfRule type="containsText" dxfId="5380" priority="5673" operator="containsText" text="Fallido">
      <formula>NOT(ISERROR(SEARCH("Fallido",P203)))</formula>
    </cfRule>
    <cfRule type="containsText" dxfId="5379" priority="5674" operator="containsText" text="Éxitoso">
      <formula>NOT(ISERROR(SEARCH("Éxitoso",P203)))</formula>
    </cfRule>
  </conditionalFormatting>
  <conditionalFormatting sqref="Q203">
    <cfRule type="containsText" dxfId="5378" priority="5665" operator="containsText" text="No se pudo ejecutar">
      <formula>NOT(ISERROR(SEARCH("No se pudo ejecutar",Q203)))</formula>
    </cfRule>
    <cfRule type="containsText" dxfId="5377" priority="5666" operator="containsText" text="Pendiente">
      <formula>NOT(ISERROR(SEARCH("Pendiente",Q203)))</formula>
    </cfRule>
    <cfRule type="containsText" dxfId="5376" priority="5667" operator="containsText" text="No Aplica">
      <formula>NOT(ISERROR(SEARCH("No Aplica",Q203)))</formula>
    </cfRule>
    <cfRule type="containsText" dxfId="5375" priority="5668" operator="containsText" text="Fallido">
      <formula>NOT(ISERROR(SEARCH("Fallido",Q203)))</formula>
    </cfRule>
    <cfRule type="containsText" dxfId="5374" priority="5669" operator="containsText" text="Éxitoso">
      <formula>NOT(ISERROR(SEARCH("Éxitoso",Q203)))</formula>
    </cfRule>
  </conditionalFormatting>
  <conditionalFormatting sqref="R203">
    <cfRule type="containsText" dxfId="5373" priority="5660" operator="containsText" text="No se pudo ejecutar">
      <formula>NOT(ISERROR(SEARCH("No se pudo ejecutar",R203)))</formula>
    </cfRule>
    <cfRule type="containsText" dxfId="5372" priority="5661" operator="containsText" text="Pendiente">
      <formula>NOT(ISERROR(SEARCH("Pendiente",R203)))</formula>
    </cfRule>
    <cfRule type="containsText" dxfId="5371" priority="5662" operator="containsText" text="No Aplica">
      <formula>NOT(ISERROR(SEARCH("No Aplica",R203)))</formula>
    </cfRule>
    <cfRule type="containsText" dxfId="5370" priority="5663" operator="containsText" text="Fallido">
      <formula>NOT(ISERROR(SEARCH("Fallido",R203)))</formula>
    </cfRule>
    <cfRule type="containsText" dxfId="5369" priority="5664" operator="containsText" text="Éxitoso">
      <formula>NOT(ISERROR(SEARCH("Éxitoso",R203)))</formula>
    </cfRule>
  </conditionalFormatting>
  <conditionalFormatting sqref="S203">
    <cfRule type="containsText" dxfId="5368" priority="5655" operator="containsText" text="No se pudo ejecutar">
      <formula>NOT(ISERROR(SEARCH("No se pudo ejecutar",S203)))</formula>
    </cfRule>
    <cfRule type="containsText" dxfId="5367" priority="5656" operator="containsText" text="Pendiente">
      <formula>NOT(ISERROR(SEARCH("Pendiente",S203)))</formula>
    </cfRule>
    <cfRule type="containsText" dxfId="5366" priority="5657" operator="containsText" text="No Aplica">
      <formula>NOT(ISERROR(SEARCH("No Aplica",S203)))</formula>
    </cfRule>
    <cfRule type="containsText" dxfId="5365" priority="5658" operator="containsText" text="Fallido">
      <formula>NOT(ISERROR(SEARCH("Fallido",S203)))</formula>
    </cfRule>
    <cfRule type="containsText" dxfId="5364" priority="5659" operator="containsText" text="Éxitoso">
      <formula>NOT(ISERROR(SEARCH("Éxitoso",S203)))</formula>
    </cfRule>
  </conditionalFormatting>
  <conditionalFormatting sqref="T203">
    <cfRule type="containsText" dxfId="5363" priority="5650" operator="containsText" text="No se pudo ejecutar">
      <formula>NOT(ISERROR(SEARCH("No se pudo ejecutar",T203)))</formula>
    </cfRule>
    <cfRule type="containsText" dxfId="5362" priority="5651" operator="containsText" text="Pendiente">
      <formula>NOT(ISERROR(SEARCH("Pendiente",T203)))</formula>
    </cfRule>
    <cfRule type="containsText" dxfId="5361" priority="5652" operator="containsText" text="No Aplica">
      <formula>NOT(ISERROR(SEARCH("No Aplica",T203)))</formula>
    </cfRule>
    <cfRule type="containsText" dxfId="5360" priority="5653" operator="containsText" text="Fallido">
      <formula>NOT(ISERROR(SEARCH("Fallido",T203)))</formula>
    </cfRule>
    <cfRule type="containsText" dxfId="5359" priority="5654" operator="containsText" text="Éxitoso">
      <formula>NOT(ISERROR(SEARCH("Éxitoso",T203)))</formula>
    </cfRule>
  </conditionalFormatting>
  <conditionalFormatting sqref="U203">
    <cfRule type="containsText" dxfId="5358" priority="5645" operator="containsText" text="No se pudo ejecutar">
      <formula>NOT(ISERROR(SEARCH("No se pudo ejecutar",U203)))</formula>
    </cfRule>
    <cfRule type="containsText" dxfId="5357" priority="5646" operator="containsText" text="Pendiente">
      <formula>NOT(ISERROR(SEARCH("Pendiente",U203)))</formula>
    </cfRule>
    <cfRule type="containsText" dxfId="5356" priority="5647" operator="containsText" text="No Aplica">
      <formula>NOT(ISERROR(SEARCH("No Aplica",U203)))</formula>
    </cfRule>
    <cfRule type="containsText" dxfId="5355" priority="5648" operator="containsText" text="Fallido">
      <formula>NOT(ISERROR(SEARCH("Fallido",U203)))</formula>
    </cfRule>
    <cfRule type="containsText" dxfId="5354" priority="5649" operator="containsText" text="Éxitoso">
      <formula>NOT(ISERROR(SEARCH("Éxitoso",U203)))</formula>
    </cfRule>
  </conditionalFormatting>
  <conditionalFormatting sqref="V203">
    <cfRule type="containsText" dxfId="5353" priority="5640" operator="containsText" text="No se pudo ejecutar">
      <formula>NOT(ISERROR(SEARCH("No se pudo ejecutar",V203)))</formula>
    </cfRule>
    <cfRule type="containsText" dxfId="5352" priority="5641" operator="containsText" text="Pendiente">
      <formula>NOT(ISERROR(SEARCH("Pendiente",V203)))</formula>
    </cfRule>
    <cfRule type="containsText" dxfId="5351" priority="5642" operator="containsText" text="No Aplica">
      <formula>NOT(ISERROR(SEARCH("No Aplica",V203)))</formula>
    </cfRule>
    <cfRule type="containsText" dxfId="5350" priority="5643" operator="containsText" text="Fallido">
      <formula>NOT(ISERROR(SEARCH("Fallido",V203)))</formula>
    </cfRule>
    <cfRule type="containsText" dxfId="5349" priority="5644" operator="containsText" text="Éxitoso">
      <formula>NOT(ISERROR(SEARCH("Éxitoso",V203)))</formula>
    </cfRule>
  </conditionalFormatting>
  <conditionalFormatting sqref="W203">
    <cfRule type="containsText" dxfId="5348" priority="5635" operator="containsText" text="No se pudo ejecutar">
      <formula>NOT(ISERROR(SEARCH("No se pudo ejecutar",W203)))</formula>
    </cfRule>
    <cfRule type="containsText" dxfId="5347" priority="5636" operator="containsText" text="Pendiente">
      <formula>NOT(ISERROR(SEARCH("Pendiente",W203)))</formula>
    </cfRule>
    <cfRule type="containsText" dxfId="5346" priority="5637" operator="containsText" text="No Aplica">
      <formula>NOT(ISERROR(SEARCH("No Aplica",W203)))</formula>
    </cfRule>
    <cfRule type="containsText" dxfId="5345" priority="5638" operator="containsText" text="Fallido">
      <formula>NOT(ISERROR(SEARCH("Fallido",W203)))</formula>
    </cfRule>
    <cfRule type="containsText" dxfId="5344" priority="5639" operator="containsText" text="Éxitoso">
      <formula>NOT(ISERROR(SEARCH("Éxitoso",W203)))</formula>
    </cfRule>
  </conditionalFormatting>
  <conditionalFormatting sqref="M203">
    <cfRule type="containsText" dxfId="5343" priority="5630" operator="containsText" text="No se pudo ejecutar">
      <formula>NOT(ISERROR(SEARCH("No se pudo ejecutar",M203)))</formula>
    </cfRule>
    <cfRule type="containsText" dxfId="5342" priority="5631" operator="containsText" text="Pendiente">
      <formula>NOT(ISERROR(SEARCH("Pendiente",M203)))</formula>
    </cfRule>
    <cfRule type="containsText" dxfId="5341" priority="5632" operator="containsText" text="No Aplica">
      <formula>NOT(ISERROR(SEARCH("No Aplica",M203)))</formula>
    </cfRule>
    <cfRule type="containsText" dxfId="5340" priority="5633" operator="containsText" text="Fallido">
      <formula>NOT(ISERROR(SEARCH("Fallido",M203)))</formula>
    </cfRule>
    <cfRule type="containsText" dxfId="5339" priority="5634" operator="containsText" text="Éxitoso">
      <formula>NOT(ISERROR(SEARCH("Éxitoso",M203)))</formula>
    </cfRule>
  </conditionalFormatting>
  <conditionalFormatting sqref="G203">
    <cfRule type="containsText" dxfId="5338" priority="5627" operator="containsText" text="Bajo">
      <formula>NOT(ISERROR(SEARCH("Bajo",G203)))</formula>
    </cfRule>
    <cfRule type="containsText" dxfId="5337" priority="5628" operator="containsText" text="Medio">
      <formula>NOT(ISERROR(SEARCH("Medio",G203)))</formula>
    </cfRule>
    <cfRule type="containsText" dxfId="5336" priority="5629" operator="containsText" text="Alto">
      <formula>NOT(ISERROR(SEARCH("Alto",G203)))</formula>
    </cfRule>
  </conditionalFormatting>
  <conditionalFormatting sqref="N204">
    <cfRule type="containsText" dxfId="5335" priority="5622" operator="containsText" text="No se pudo ejecutar">
      <formula>NOT(ISERROR(SEARCH("No se pudo ejecutar",N204)))</formula>
    </cfRule>
    <cfRule type="containsText" dxfId="5334" priority="5623" operator="containsText" text="Pendiente">
      <formula>NOT(ISERROR(SEARCH("Pendiente",N204)))</formula>
    </cfRule>
    <cfRule type="containsText" dxfId="5333" priority="5624" operator="containsText" text="No Aplica">
      <formula>NOT(ISERROR(SEARCH("No Aplica",N204)))</formula>
    </cfRule>
    <cfRule type="containsText" dxfId="5332" priority="5625" operator="containsText" text="Fallido">
      <formula>NOT(ISERROR(SEARCH("Fallido",N204)))</formula>
    </cfRule>
    <cfRule type="containsText" dxfId="5331" priority="5626" operator="containsText" text="Éxitoso">
      <formula>NOT(ISERROR(SEARCH("Éxitoso",N204)))</formula>
    </cfRule>
  </conditionalFormatting>
  <conditionalFormatting sqref="O204">
    <cfRule type="containsText" dxfId="5330" priority="5617" operator="containsText" text="No se pudo ejecutar">
      <formula>NOT(ISERROR(SEARCH("No se pudo ejecutar",O204)))</formula>
    </cfRule>
    <cfRule type="containsText" dxfId="5329" priority="5618" operator="containsText" text="Pendiente">
      <formula>NOT(ISERROR(SEARCH("Pendiente",O204)))</formula>
    </cfRule>
    <cfRule type="containsText" dxfId="5328" priority="5619" operator="containsText" text="No Aplica">
      <formula>NOT(ISERROR(SEARCH("No Aplica",O204)))</formula>
    </cfRule>
    <cfRule type="containsText" dxfId="5327" priority="5620" operator="containsText" text="Fallido">
      <formula>NOT(ISERROR(SEARCH("Fallido",O204)))</formula>
    </cfRule>
    <cfRule type="containsText" dxfId="5326" priority="5621" operator="containsText" text="Éxitoso">
      <formula>NOT(ISERROR(SEARCH("Éxitoso",O204)))</formula>
    </cfRule>
  </conditionalFormatting>
  <conditionalFormatting sqref="P204">
    <cfRule type="containsText" dxfId="5325" priority="5612" operator="containsText" text="No se pudo ejecutar">
      <formula>NOT(ISERROR(SEARCH("No se pudo ejecutar",P204)))</formula>
    </cfRule>
    <cfRule type="containsText" dxfId="5324" priority="5613" operator="containsText" text="Pendiente">
      <formula>NOT(ISERROR(SEARCH("Pendiente",P204)))</formula>
    </cfRule>
    <cfRule type="containsText" dxfId="5323" priority="5614" operator="containsText" text="No Aplica">
      <formula>NOT(ISERROR(SEARCH("No Aplica",P204)))</formula>
    </cfRule>
    <cfRule type="containsText" dxfId="5322" priority="5615" operator="containsText" text="Fallido">
      <formula>NOT(ISERROR(SEARCH("Fallido",P204)))</formula>
    </cfRule>
    <cfRule type="containsText" dxfId="5321" priority="5616" operator="containsText" text="Éxitoso">
      <formula>NOT(ISERROR(SEARCH("Éxitoso",P204)))</formula>
    </cfRule>
  </conditionalFormatting>
  <conditionalFormatting sqref="Q204">
    <cfRule type="containsText" dxfId="5320" priority="5607" operator="containsText" text="No se pudo ejecutar">
      <formula>NOT(ISERROR(SEARCH("No se pudo ejecutar",Q204)))</formula>
    </cfRule>
    <cfRule type="containsText" dxfId="5319" priority="5608" operator="containsText" text="Pendiente">
      <formula>NOT(ISERROR(SEARCH("Pendiente",Q204)))</formula>
    </cfRule>
    <cfRule type="containsText" dxfId="5318" priority="5609" operator="containsText" text="No Aplica">
      <formula>NOT(ISERROR(SEARCH("No Aplica",Q204)))</formula>
    </cfRule>
    <cfRule type="containsText" dxfId="5317" priority="5610" operator="containsText" text="Fallido">
      <formula>NOT(ISERROR(SEARCH("Fallido",Q204)))</formula>
    </cfRule>
    <cfRule type="containsText" dxfId="5316" priority="5611" operator="containsText" text="Éxitoso">
      <formula>NOT(ISERROR(SEARCH("Éxitoso",Q204)))</formula>
    </cfRule>
  </conditionalFormatting>
  <conditionalFormatting sqref="R204">
    <cfRule type="containsText" dxfId="5315" priority="5602" operator="containsText" text="No se pudo ejecutar">
      <formula>NOT(ISERROR(SEARCH("No se pudo ejecutar",R204)))</formula>
    </cfRule>
    <cfRule type="containsText" dxfId="5314" priority="5603" operator="containsText" text="Pendiente">
      <formula>NOT(ISERROR(SEARCH("Pendiente",R204)))</formula>
    </cfRule>
    <cfRule type="containsText" dxfId="5313" priority="5604" operator="containsText" text="No Aplica">
      <formula>NOT(ISERROR(SEARCH("No Aplica",R204)))</formula>
    </cfRule>
    <cfRule type="containsText" dxfId="5312" priority="5605" operator="containsText" text="Fallido">
      <formula>NOT(ISERROR(SEARCH("Fallido",R204)))</formula>
    </cfRule>
    <cfRule type="containsText" dxfId="5311" priority="5606" operator="containsText" text="Éxitoso">
      <formula>NOT(ISERROR(SEARCH("Éxitoso",R204)))</formula>
    </cfRule>
  </conditionalFormatting>
  <conditionalFormatting sqref="S204">
    <cfRule type="containsText" dxfId="5310" priority="5597" operator="containsText" text="No se pudo ejecutar">
      <formula>NOT(ISERROR(SEARCH("No se pudo ejecutar",S204)))</formula>
    </cfRule>
    <cfRule type="containsText" dxfId="5309" priority="5598" operator="containsText" text="Pendiente">
      <formula>NOT(ISERROR(SEARCH("Pendiente",S204)))</formula>
    </cfRule>
    <cfRule type="containsText" dxfId="5308" priority="5599" operator="containsText" text="No Aplica">
      <formula>NOT(ISERROR(SEARCH("No Aplica",S204)))</formula>
    </cfRule>
    <cfRule type="containsText" dxfId="5307" priority="5600" operator="containsText" text="Fallido">
      <formula>NOT(ISERROR(SEARCH("Fallido",S204)))</formula>
    </cfRule>
    <cfRule type="containsText" dxfId="5306" priority="5601" operator="containsText" text="Éxitoso">
      <formula>NOT(ISERROR(SEARCH("Éxitoso",S204)))</formula>
    </cfRule>
  </conditionalFormatting>
  <conditionalFormatting sqref="T204">
    <cfRule type="containsText" dxfId="5305" priority="5592" operator="containsText" text="No se pudo ejecutar">
      <formula>NOT(ISERROR(SEARCH("No se pudo ejecutar",T204)))</formula>
    </cfRule>
    <cfRule type="containsText" dxfId="5304" priority="5593" operator="containsText" text="Pendiente">
      <formula>NOT(ISERROR(SEARCH("Pendiente",T204)))</formula>
    </cfRule>
    <cfRule type="containsText" dxfId="5303" priority="5594" operator="containsText" text="No Aplica">
      <formula>NOT(ISERROR(SEARCH("No Aplica",T204)))</formula>
    </cfRule>
    <cfRule type="containsText" dxfId="5302" priority="5595" operator="containsText" text="Fallido">
      <formula>NOT(ISERROR(SEARCH("Fallido",T204)))</formula>
    </cfRule>
    <cfRule type="containsText" dxfId="5301" priority="5596" operator="containsText" text="Éxitoso">
      <formula>NOT(ISERROR(SEARCH("Éxitoso",T204)))</formula>
    </cfRule>
  </conditionalFormatting>
  <conditionalFormatting sqref="U204">
    <cfRule type="containsText" dxfId="5300" priority="5587" operator="containsText" text="No se pudo ejecutar">
      <formula>NOT(ISERROR(SEARCH("No se pudo ejecutar",U204)))</formula>
    </cfRule>
    <cfRule type="containsText" dxfId="5299" priority="5588" operator="containsText" text="Pendiente">
      <formula>NOT(ISERROR(SEARCH("Pendiente",U204)))</formula>
    </cfRule>
    <cfRule type="containsText" dxfId="5298" priority="5589" operator="containsText" text="No Aplica">
      <formula>NOT(ISERROR(SEARCH("No Aplica",U204)))</formula>
    </cfRule>
    <cfRule type="containsText" dxfId="5297" priority="5590" operator="containsText" text="Fallido">
      <formula>NOT(ISERROR(SEARCH("Fallido",U204)))</formula>
    </cfRule>
    <cfRule type="containsText" dxfId="5296" priority="5591" operator="containsText" text="Éxitoso">
      <formula>NOT(ISERROR(SEARCH("Éxitoso",U204)))</formula>
    </cfRule>
  </conditionalFormatting>
  <conditionalFormatting sqref="V204">
    <cfRule type="containsText" dxfId="5295" priority="5582" operator="containsText" text="No se pudo ejecutar">
      <formula>NOT(ISERROR(SEARCH("No se pudo ejecutar",V204)))</formula>
    </cfRule>
    <cfRule type="containsText" dxfId="5294" priority="5583" operator="containsText" text="Pendiente">
      <formula>NOT(ISERROR(SEARCH("Pendiente",V204)))</formula>
    </cfRule>
    <cfRule type="containsText" dxfId="5293" priority="5584" operator="containsText" text="No Aplica">
      <formula>NOT(ISERROR(SEARCH("No Aplica",V204)))</formula>
    </cfRule>
    <cfRule type="containsText" dxfId="5292" priority="5585" operator="containsText" text="Fallido">
      <formula>NOT(ISERROR(SEARCH("Fallido",V204)))</formula>
    </cfRule>
    <cfRule type="containsText" dxfId="5291" priority="5586" operator="containsText" text="Éxitoso">
      <formula>NOT(ISERROR(SEARCH("Éxitoso",V204)))</formula>
    </cfRule>
  </conditionalFormatting>
  <conditionalFormatting sqref="W204">
    <cfRule type="containsText" dxfId="5290" priority="5577" operator="containsText" text="No se pudo ejecutar">
      <formula>NOT(ISERROR(SEARCH("No se pudo ejecutar",W204)))</formula>
    </cfRule>
    <cfRule type="containsText" dxfId="5289" priority="5578" operator="containsText" text="Pendiente">
      <formula>NOT(ISERROR(SEARCH("Pendiente",W204)))</formula>
    </cfRule>
    <cfRule type="containsText" dxfId="5288" priority="5579" operator="containsText" text="No Aplica">
      <formula>NOT(ISERROR(SEARCH("No Aplica",W204)))</formula>
    </cfRule>
    <cfRule type="containsText" dxfId="5287" priority="5580" operator="containsText" text="Fallido">
      <formula>NOT(ISERROR(SEARCH("Fallido",W204)))</formula>
    </cfRule>
    <cfRule type="containsText" dxfId="5286" priority="5581" operator="containsText" text="Éxitoso">
      <formula>NOT(ISERROR(SEARCH("Éxitoso",W204)))</formula>
    </cfRule>
  </conditionalFormatting>
  <conditionalFormatting sqref="M204">
    <cfRule type="containsText" dxfId="5285" priority="5572" operator="containsText" text="No se pudo ejecutar">
      <formula>NOT(ISERROR(SEARCH("No se pudo ejecutar",M204)))</formula>
    </cfRule>
    <cfRule type="containsText" dxfId="5284" priority="5573" operator="containsText" text="Pendiente">
      <formula>NOT(ISERROR(SEARCH("Pendiente",M204)))</formula>
    </cfRule>
    <cfRule type="containsText" dxfId="5283" priority="5574" operator="containsText" text="No Aplica">
      <formula>NOT(ISERROR(SEARCH("No Aplica",M204)))</formula>
    </cfRule>
    <cfRule type="containsText" dxfId="5282" priority="5575" operator="containsText" text="Fallido">
      <formula>NOT(ISERROR(SEARCH("Fallido",M204)))</formula>
    </cfRule>
    <cfRule type="containsText" dxfId="5281" priority="5576" operator="containsText" text="Éxitoso">
      <formula>NOT(ISERROR(SEARCH("Éxitoso",M204)))</formula>
    </cfRule>
  </conditionalFormatting>
  <conditionalFormatting sqref="G204">
    <cfRule type="containsText" dxfId="5280" priority="5569" operator="containsText" text="Bajo">
      <formula>NOT(ISERROR(SEARCH("Bajo",G204)))</formula>
    </cfRule>
    <cfRule type="containsText" dxfId="5279" priority="5570" operator="containsText" text="Medio">
      <formula>NOT(ISERROR(SEARCH("Medio",G204)))</formula>
    </cfRule>
    <cfRule type="containsText" dxfId="5278" priority="5571" operator="containsText" text="Alto">
      <formula>NOT(ISERROR(SEARCH("Alto",G204)))</formula>
    </cfRule>
  </conditionalFormatting>
  <conditionalFormatting sqref="N205">
    <cfRule type="containsText" dxfId="5277" priority="5564" operator="containsText" text="No se pudo ejecutar">
      <formula>NOT(ISERROR(SEARCH("No se pudo ejecutar",N205)))</formula>
    </cfRule>
    <cfRule type="containsText" dxfId="5276" priority="5565" operator="containsText" text="Pendiente">
      <formula>NOT(ISERROR(SEARCH("Pendiente",N205)))</formula>
    </cfRule>
    <cfRule type="containsText" dxfId="5275" priority="5566" operator="containsText" text="No Aplica">
      <formula>NOT(ISERROR(SEARCH("No Aplica",N205)))</formula>
    </cfRule>
    <cfRule type="containsText" dxfId="5274" priority="5567" operator="containsText" text="Fallido">
      <formula>NOT(ISERROR(SEARCH("Fallido",N205)))</formula>
    </cfRule>
    <cfRule type="containsText" dxfId="5273" priority="5568" operator="containsText" text="Éxitoso">
      <formula>NOT(ISERROR(SEARCH("Éxitoso",N205)))</formula>
    </cfRule>
  </conditionalFormatting>
  <conditionalFormatting sqref="O205">
    <cfRule type="containsText" dxfId="5272" priority="5559" operator="containsText" text="No se pudo ejecutar">
      <formula>NOT(ISERROR(SEARCH("No se pudo ejecutar",O205)))</formula>
    </cfRule>
    <cfRule type="containsText" dxfId="5271" priority="5560" operator="containsText" text="Pendiente">
      <formula>NOT(ISERROR(SEARCH("Pendiente",O205)))</formula>
    </cfRule>
    <cfRule type="containsText" dxfId="5270" priority="5561" operator="containsText" text="No Aplica">
      <formula>NOT(ISERROR(SEARCH("No Aplica",O205)))</formula>
    </cfRule>
    <cfRule type="containsText" dxfId="5269" priority="5562" operator="containsText" text="Fallido">
      <formula>NOT(ISERROR(SEARCH("Fallido",O205)))</formula>
    </cfRule>
    <cfRule type="containsText" dxfId="5268" priority="5563" operator="containsText" text="Éxitoso">
      <formula>NOT(ISERROR(SEARCH("Éxitoso",O205)))</formula>
    </cfRule>
  </conditionalFormatting>
  <conditionalFormatting sqref="P205">
    <cfRule type="containsText" dxfId="5267" priority="5554" operator="containsText" text="No se pudo ejecutar">
      <formula>NOT(ISERROR(SEARCH("No se pudo ejecutar",P205)))</formula>
    </cfRule>
    <cfRule type="containsText" dxfId="5266" priority="5555" operator="containsText" text="Pendiente">
      <formula>NOT(ISERROR(SEARCH("Pendiente",P205)))</formula>
    </cfRule>
    <cfRule type="containsText" dxfId="5265" priority="5556" operator="containsText" text="No Aplica">
      <formula>NOT(ISERROR(SEARCH("No Aplica",P205)))</formula>
    </cfRule>
    <cfRule type="containsText" dxfId="5264" priority="5557" operator="containsText" text="Fallido">
      <formula>NOT(ISERROR(SEARCH("Fallido",P205)))</formula>
    </cfRule>
    <cfRule type="containsText" dxfId="5263" priority="5558" operator="containsText" text="Éxitoso">
      <formula>NOT(ISERROR(SEARCH("Éxitoso",P205)))</formula>
    </cfRule>
  </conditionalFormatting>
  <conditionalFormatting sqref="Q205">
    <cfRule type="containsText" dxfId="5262" priority="5549" operator="containsText" text="No se pudo ejecutar">
      <formula>NOT(ISERROR(SEARCH("No se pudo ejecutar",Q205)))</formula>
    </cfRule>
    <cfRule type="containsText" dxfId="5261" priority="5550" operator="containsText" text="Pendiente">
      <formula>NOT(ISERROR(SEARCH("Pendiente",Q205)))</formula>
    </cfRule>
    <cfRule type="containsText" dxfId="5260" priority="5551" operator="containsText" text="No Aplica">
      <formula>NOT(ISERROR(SEARCH("No Aplica",Q205)))</formula>
    </cfRule>
    <cfRule type="containsText" dxfId="5259" priority="5552" operator="containsText" text="Fallido">
      <formula>NOT(ISERROR(SEARCH("Fallido",Q205)))</formula>
    </cfRule>
    <cfRule type="containsText" dxfId="5258" priority="5553" operator="containsText" text="Éxitoso">
      <formula>NOT(ISERROR(SEARCH("Éxitoso",Q205)))</formula>
    </cfRule>
  </conditionalFormatting>
  <conditionalFormatting sqref="R205">
    <cfRule type="containsText" dxfId="5257" priority="5544" operator="containsText" text="No se pudo ejecutar">
      <formula>NOT(ISERROR(SEARCH("No se pudo ejecutar",R205)))</formula>
    </cfRule>
    <cfRule type="containsText" dxfId="5256" priority="5545" operator="containsText" text="Pendiente">
      <formula>NOT(ISERROR(SEARCH("Pendiente",R205)))</formula>
    </cfRule>
    <cfRule type="containsText" dxfId="5255" priority="5546" operator="containsText" text="No Aplica">
      <formula>NOT(ISERROR(SEARCH("No Aplica",R205)))</formula>
    </cfRule>
    <cfRule type="containsText" dxfId="5254" priority="5547" operator="containsText" text="Fallido">
      <formula>NOT(ISERROR(SEARCH("Fallido",R205)))</formula>
    </cfRule>
    <cfRule type="containsText" dxfId="5253" priority="5548" operator="containsText" text="Éxitoso">
      <formula>NOT(ISERROR(SEARCH("Éxitoso",R205)))</formula>
    </cfRule>
  </conditionalFormatting>
  <conditionalFormatting sqref="S205">
    <cfRule type="containsText" dxfId="5252" priority="5539" operator="containsText" text="No se pudo ejecutar">
      <formula>NOT(ISERROR(SEARCH("No se pudo ejecutar",S205)))</formula>
    </cfRule>
    <cfRule type="containsText" dxfId="5251" priority="5540" operator="containsText" text="Pendiente">
      <formula>NOT(ISERROR(SEARCH("Pendiente",S205)))</formula>
    </cfRule>
    <cfRule type="containsText" dxfId="5250" priority="5541" operator="containsText" text="No Aplica">
      <formula>NOT(ISERROR(SEARCH("No Aplica",S205)))</formula>
    </cfRule>
    <cfRule type="containsText" dxfId="5249" priority="5542" operator="containsText" text="Fallido">
      <formula>NOT(ISERROR(SEARCH("Fallido",S205)))</formula>
    </cfRule>
    <cfRule type="containsText" dxfId="5248" priority="5543" operator="containsText" text="Éxitoso">
      <formula>NOT(ISERROR(SEARCH("Éxitoso",S205)))</formula>
    </cfRule>
  </conditionalFormatting>
  <conditionalFormatting sqref="T205">
    <cfRule type="containsText" dxfId="5247" priority="5534" operator="containsText" text="No se pudo ejecutar">
      <formula>NOT(ISERROR(SEARCH("No se pudo ejecutar",T205)))</formula>
    </cfRule>
    <cfRule type="containsText" dxfId="5246" priority="5535" operator="containsText" text="Pendiente">
      <formula>NOT(ISERROR(SEARCH("Pendiente",T205)))</formula>
    </cfRule>
    <cfRule type="containsText" dxfId="5245" priority="5536" operator="containsText" text="No Aplica">
      <formula>NOT(ISERROR(SEARCH("No Aplica",T205)))</formula>
    </cfRule>
    <cfRule type="containsText" dxfId="5244" priority="5537" operator="containsText" text="Fallido">
      <formula>NOT(ISERROR(SEARCH("Fallido",T205)))</formula>
    </cfRule>
    <cfRule type="containsText" dxfId="5243" priority="5538" operator="containsText" text="Éxitoso">
      <formula>NOT(ISERROR(SEARCH("Éxitoso",T205)))</formula>
    </cfRule>
  </conditionalFormatting>
  <conditionalFormatting sqref="U205">
    <cfRule type="containsText" dxfId="5242" priority="5529" operator="containsText" text="No se pudo ejecutar">
      <formula>NOT(ISERROR(SEARCH("No se pudo ejecutar",U205)))</formula>
    </cfRule>
    <cfRule type="containsText" dxfId="5241" priority="5530" operator="containsText" text="Pendiente">
      <formula>NOT(ISERROR(SEARCH("Pendiente",U205)))</formula>
    </cfRule>
    <cfRule type="containsText" dxfId="5240" priority="5531" operator="containsText" text="No Aplica">
      <formula>NOT(ISERROR(SEARCH("No Aplica",U205)))</formula>
    </cfRule>
    <cfRule type="containsText" dxfId="5239" priority="5532" operator="containsText" text="Fallido">
      <formula>NOT(ISERROR(SEARCH("Fallido",U205)))</formula>
    </cfRule>
    <cfRule type="containsText" dxfId="5238" priority="5533" operator="containsText" text="Éxitoso">
      <formula>NOT(ISERROR(SEARCH("Éxitoso",U205)))</formula>
    </cfRule>
  </conditionalFormatting>
  <conditionalFormatting sqref="V205">
    <cfRule type="containsText" dxfId="5237" priority="5524" operator="containsText" text="No se pudo ejecutar">
      <formula>NOT(ISERROR(SEARCH("No se pudo ejecutar",V205)))</formula>
    </cfRule>
    <cfRule type="containsText" dxfId="5236" priority="5525" operator="containsText" text="Pendiente">
      <formula>NOT(ISERROR(SEARCH("Pendiente",V205)))</formula>
    </cfRule>
    <cfRule type="containsText" dxfId="5235" priority="5526" operator="containsText" text="No Aplica">
      <formula>NOT(ISERROR(SEARCH("No Aplica",V205)))</formula>
    </cfRule>
    <cfRule type="containsText" dxfId="5234" priority="5527" operator="containsText" text="Fallido">
      <formula>NOT(ISERROR(SEARCH("Fallido",V205)))</formula>
    </cfRule>
    <cfRule type="containsText" dxfId="5233" priority="5528" operator="containsText" text="Éxitoso">
      <formula>NOT(ISERROR(SEARCH("Éxitoso",V205)))</formula>
    </cfRule>
  </conditionalFormatting>
  <conditionalFormatting sqref="W205">
    <cfRule type="containsText" dxfId="5232" priority="5519" operator="containsText" text="No se pudo ejecutar">
      <formula>NOT(ISERROR(SEARCH("No se pudo ejecutar",W205)))</formula>
    </cfRule>
    <cfRule type="containsText" dxfId="5231" priority="5520" operator="containsText" text="Pendiente">
      <formula>NOT(ISERROR(SEARCH("Pendiente",W205)))</formula>
    </cfRule>
    <cfRule type="containsText" dxfId="5230" priority="5521" operator="containsText" text="No Aplica">
      <formula>NOT(ISERROR(SEARCH("No Aplica",W205)))</formula>
    </cfRule>
    <cfRule type="containsText" dxfId="5229" priority="5522" operator="containsText" text="Fallido">
      <formula>NOT(ISERROR(SEARCH("Fallido",W205)))</formula>
    </cfRule>
    <cfRule type="containsText" dxfId="5228" priority="5523" operator="containsText" text="Éxitoso">
      <formula>NOT(ISERROR(SEARCH("Éxitoso",W205)))</formula>
    </cfRule>
  </conditionalFormatting>
  <conditionalFormatting sqref="M205">
    <cfRule type="containsText" dxfId="5227" priority="5514" operator="containsText" text="No se pudo ejecutar">
      <formula>NOT(ISERROR(SEARCH("No se pudo ejecutar",M205)))</formula>
    </cfRule>
    <cfRule type="containsText" dxfId="5226" priority="5515" operator="containsText" text="Pendiente">
      <formula>NOT(ISERROR(SEARCH("Pendiente",M205)))</formula>
    </cfRule>
    <cfRule type="containsText" dxfId="5225" priority="5516" operator="containsText" text="No Aplica">
      <formula>NOT(ISERROR(SEARCH("No Aplica",M205)))</formula>
    </cfRule>
    <cfRule type="containsText" dxfId="5224" priority="5517" operator="containsText" text="Fallido">
      <formula>NOT(ISERROR(SEARCH("Fallido",M205)))</formula>
    </cfRule>
    <cfRule type="containsText" dxfId="5223" priority="5518" operator="containsText" text="Éxitoso">
      <formula>NOT(ISERROR(SEARCH("Éxitoso",M205)))</formula>
    </cfRule>
  </conditionalFormatting>
  <conditionalFormatting sqref="G205">
    <cfRule type="containsText" dxfId="5222" priority="5511" operator="containsText" text="Bajo">
      <formula>NOT(ISERROR(SEARCH("Bajo",G205)))</formula>
    </cfRule>
    <cfRule type="containsText" dxfId="5221" priority="5512" operator="containsText" text="Medio">
      <formula>NOT(ISERROR(SEARCH("Medio",G205)))</formula>
    </cfRule>
    <cfRule type="containsText" dxfId="5220" priority="5513" operator="containsText" text="Alto">
      <formula>NOT(ISERROR(SEARCH("Alto",G205)))</formula>
    </cfRule>
  </conditionalFormatting>
  <conditionalFormatting sqref="N206">
    <cfRule type="containsText" dxfId="5219" priority="5506" operator="containsText" text="No se pudo ejecutar">
      <formula>NOT(ISERROR(SEARCH("No se pudo ejecutar",N206)))</formula>
    </cfRule>
    <cfRule type="containsText" dxfId="5218" priority="5507" operator="containsText" text="Pendiente">
      <formula>NOT(ISERROR(SEARCH("Pendiente",N206)))</formula>
    </cfRule>
    <cfRule type="containsText" dxfId="5217" priority="5508" operator="containsText" text="No Aplica">
      <formula>NOT(ISERROR(SEARCH("No Aplica",N206)))</formula>
    </cfRule>
    <cfRule type="containsText" dxfId="5216" priority="5509" operator="containsText" text="Fallido">
      <formula>NOT(ISERROR(SEARCH("Fallido",N206)))</formula>
    </cfRule>
    <cfRule type="containsText" dxfId="5215" priority="5510" operator="containsText" text="Éxitoso">
      <formula>NOT(ISERROR(SEARCH("Éxitoso",N206)))</formula>
    </cfRule>
  </conditionalFormatting>
  <conditionalFormatting sqref="O206">
    <cfRule type="containsText" dxfId="5214" priority="5501" operator="containsText" text="No se pudo ejecutar">
      <formula>NOT(ISERROR(SEARCH("No se pudo ejecutar",O206)))</formula>
    </cfRule>
    <cfRule type="containsText" dxfId="5213" priority="5502" operator="containsText" text="Pendiente">
      <formula>NOT(ISERROR(SEARCH("Pendiente",O206)))</formula>
    </cfRule>
    <cfRule type="containsText" dxfId="5212" priority="5503" operator="containsText" text="No Aplica">
      <formula>NOT(ISERROR(SEARCH("No Aplica",O206)))</formula>
    </cfRule>
    <cfRule type="containsText" dxfId="5211" priority="5504" operator="containsText" text="Fallido">
      <formula>NOT(ISERROR(SEARCH("Fallido",O206)))</formula>
    </cfRule>
    <cfRule type="containsText" dxfId="5210" priority="5505" operator="containsText" text="Éxitoso">
      <formula>NOT(ISERROR(SEARCH("Éxitoso",O206)))</formula>
    </cfRule>
  </conditionalFormatting>
  <conditionalFormatting sqref="P206">
    <cfRule type="containsText" dxfId="5209" priority="5496" operator="containsText" text="No se pudo ejecutar">
      <formula>NOT(ISERROR(SEARCH("No se pudo ejecutar",P206)))</formula>
    </cfRule>
    <cfRule type="containsText" dxfId="5208" priority="5497" operator="containsText" text="Pendiente">
      <formula>NOT(ISERROR(SEARCH("Pendiente",P206)))</formula>
    </cfRule>
    <cfRule type="containsText" dxfId="5207" priority="5498" operator="containsText" text="No Aplica">
      <formula>NOT(ISERROR(SEARCH("No Aplica",P206)))</formula>
    </cfRule>
    <cfRule type="containsText" dxfId="5206" priority="5499" operator="containsText" text="Fallido">
      <formula>NOT(ISERROR(SEARCH("Fallido",P206)))</formula>
    </cfRule>
    <cfRule type="containsText" dxfId="5205" priority="5500" operator="containsText" text="Éxitoso">
      <formula>NOT(ISERROR(SEARCH("Éxitoso",P206)))</formula>
    </cfRule>
  </conditionalFormatting>
  <conditionalFormatting sqref="Q206">
    <cfRule type="containsText" dxfId="5204" priority="5491" operator="containsText" text="No se pudo ejecutar">
      <formula>NOT(ISERROR(SEARCH("No se pudo ejecutar",Q206)))</formula>
    </cfRule>
    <cfRule type="containsText" dxfId="5203" priority="5492" operator="containsText" text="Pendiente">
      <formula>NOT(ISERROR(SEARCH("Pendiente",Q206)))</formula>
    </cfRule>
    <cfRule type="containsText" dxfId="5202" priority="5493" operator="containsText" text="No Aplica">
      <formula>NOT(ISERROR(SEARCH("No Aplica",Q206)))</formula>
    </cfRule>
    <cfRule type="containsText" dxfId="5201" priority="5494" operator="containsText" text="Fallido">
      <formula>NOT(ISERROR(SEARCH("Fallido",Q206)))</formula>
    </cfRule>
    <cfRule type="containsText" dxfId="5200" priority="5495" operator="containsText" text="Éxitoso">
      <formula>NOT(ISERROR(SEARCH("Éxitoso",Q206)))</formula>
    </cfRule>
  </conditionalFormatting>
  <conditionalFormatting sqref="R206">
    <cfRule type="containsText" dxfId="5199" priority="5486" operator="containsText" text="No se pudo ejecutar">
      <formula>NOT(ISERROR(SEARCH("No se pudo ejecutar",R206)))</formula>
    </cfRule>
    <cfRule type="containsText" dxfId="5198" priority="5487" operator="containsText" text="Pendiente">
      <formula>NOT(ISERROR(SEARCH("Pendiente",R206)))</formula>
    </cfRule>
    <cfRule type="containsText" dxfId="5197" priority="5488" operator="containsText" text="No Aplica">
      <formula>NOT(ISERROR(SEARCH("No Aplica",R206)))</formula>
    </cfRule>
    <cfRule type="containsText" dxfId="5196" priority="5489" operator="containsText" text="Fallido">
      <formula>NOT(ISERROR(SEARCH("Fallido",R206)))</formula>
    </cfRule>
    <cfRule type="containsText" dxfId="5195" priority="5490" operator="containsText" text="Éxitoso">
      <formula>NOT(ISERROR(SEARCH("Éxitoso",R206)))</formula>
    </cfRule>
  </conditionalFormatting>
  <conditionalFormatting sqref="S206">
    <cfRule type="containsText" dxfId="5194" priority="5481" operator="containsText" text="No se pudo ejecutar">
      <formula>NOT(ISERROR(SEARCH("No se pudo ejecutar",S206)))</formula>
    </cfRule>
    <cfRule type="containsText" dxfId="5193" priority="5482" operator="containsText" text="Pendiente">
      <formula>NOT(ISERROR(SEARCH("Pendiente",S206)))</formula>
    </cfRule>
    <cfRule type="containsText" dxfId="5192" priority="5483" operator="containsText" text="No Aplica">
      <formula>NOT(ISERROR(SEARCH("No Aplica",S206)))</formula>
    </cfRule>
    <cfRule type="containsText" dxfId="5191" priority="5484" operator="containsText" text="Fallido">
      <formula>NOT(ISERROR(SEARCH("Fallido",S206)))</formula>
    </cfRule>
    <cfRule type="containsText" dxfId="5190" priority="5485" operator="containsText" text="Éxitoso">
      <formula>NOT(ISERROR(SEARCH("Éxitoso",S206)))</formula>
    </cfRule>
  </conditionalFormatting>
  <conditionalFormatting sqref="T206">
    <cfRule type="containsText" dxfId="5189" priority="5476" operator="containsText" text="No se pudo ejecutar">
      <formula>NOT(ISERROR(SEARCH("No se pudo ejecutar",T206)))</formula>
    </cfRule>
    <cfRule type="containsText" dxfId="5188" priority="5477" operator="containsText" text="Pendiente">
      <formula>NOT(ISERROR(SEARCH("Pendiente",T206)))</formula>
    </cfRule>
    <cfRule type="containsText" dxfId="5187" priority="5478" operator="containsText" text="No Aplica">
      <formula>NOT(ISERROR(SEARCH("No Aplica",T206)))</formula>
    </cfRule>
    <cfRule type="containsText" dxfId="5186" priority="5479" operator="containsText" text="Fallido">
      <formula>NOT(ISERROR(SEARCH("Fallido",T206)))</formula>
    </cfRule>
    <cfRule type="containsText" dxfId="5185" priority="5480" operator="containsText" text="Éxitoso">
      <formula>NOT(ISERROR(SEARCH("Éxitoso",T206)))</formula>
    </cfRule>
  </conditionalFormatting>
  <conditionalFormatting sqref="U206">
    <cfRule type="containsText" dxfId="5184" priority="5471" operator="containsText" text="No se pudo ejecutar">
      <formula>NOT(ISERROR(SEARCH("No se pudo ejecutar",U206)))</formula>
    </cfRule>
    <cfRule type="containsText" dxfId="5183" priority="5472" operator="containsText" text="Pendiente">
      <formula>NOT(ISERROR(SEARCH("Pendiente",U206)))</formula>
    </cfRule>
    <cfRule type="containsText" dxfId="5182" priority="5473" operator="containsText" text="No Aplica">
      <formula>NOT(ISERROR(SEARCH("No Aplica",U206)))</formula>
    </cfRule>
    <cfRule type="containsText" dxfId="5181" priority="5474" operator="containsText" text="Fallido">
      <formula>NOT(ISERROR(SEARCH("Fallido",U206)))</formula>
    </cfRule>
    <cfRule type="containsText" dxfId="5180" priority="5475" operator="containsText" text="Éxitoso">
      <formula>NOT(ISERROR(SEARCH("Éxitoso",U206)))</formula>
    </cfRule>
  </conditionalFormatting>
  <conditionalFormatting sqref="V206">
    <cfRule type="containsText" dxfId="5179" priority="5466" operator="containsText" text="No se pudo ejecutar">
      <formula>NOT(ISERROR(SEARCH("No se pudo ejecutar",V206)))</formula>
    </cfRule>
    <cfRule type="containsText" dxfId="5178" priority="5467" operator="containsText" text="Pendiente">
      <formula>NOT(ISERROR(SEARCH("Pendiente",V206)))</formula>
    </cfRule>
    <cfRule type="containsText" dxfId="5177" priority="5468" operator="containsText" text="No Aplica">
      <formula>NOT(ISERROR(SEARCH("No Aplica",V206)))</formula>
    </cfRule>
    <cfRule type="containsText" dxfId="5176" priority="5469" operator="containsText" text="Fallido">
      <formula>NOT(ISERROR(SEARCH("Fallido",V206)))</formula>
    </cfRule>
    <cfRule type="containsText" dxfId="5175" priority="5470" operator="containsText" text="Éxitoso">
      <formula>NOT(ISERROR(SEARCH("Éxitoso",V206)))</formula>
    </cfRule>
  </conditionalFormatting>
  <conditionalFormatting sqref="W206">
    <cfRule type="containsText" dxfId="5174" priority="5461" operator="containsText" text="No se pudo ejecutar">
      <formula>NOT(ISERROR(SEARCH("No se pudo ejecutar",W206)))</formula>
    </cfRule>
    <cfRule type="containsText" dxfId="5173" priority="5462" operator="containsText" text="Pendiente">
      <formula>NOT(ISERROR(SEARCH("Pendiente",W206)))</formula>
    </cfRule>
    <cfRule type="containsText" dxfId="5172" priority="5463" operator="containsText" text="No Aplica">
      <formula>NOT(ISERROR(SEARCH("No Aplica",W206)))</formula>
    </cfRule>
    <cfRule type="containsText" dxfId="5171" priority="5464" operator="containsText" text="Fallido">
      <formula>NOT(ISERROR(SEARCH("Fallido",W206)))</formula>
    </cfRule>
    <cfRule type="containsText" dxfId="5170" priority="5465" operator="containsText" text="Éxitoso">
      <formula>NOT(ISERROR(SEARCH("Éxitoso",W206)))</formula>
    </cfRule>
  </conditionalFormatting>
  <conditionalFormatting sqref="M206">
    <cfRule type="containsText" dxfId="5169" priority="5456" operator="containsText" text="No se pudo ejecutar">
      <formula>NOT(ISERROR(SEARCH("No se pudo ejecutar",M206)))</formula>
    </cfRule>
    <cfRule type="containsText" dxfId="5168" priority="5457" operator="containsText" text="Pendiente">
      <formula>NOT(ISERROR(SEARCH("Pendiente",M206)))</formula>
    </cfRule>
    <cfRule type="containsText" dxfId="5167" priority="5458" operator="containsText" text="No Aplica">
      <formula>NOT(ISERROR(SEARCH("No Aplica",M206)))</formula>
    </cfRule>
    <cfRule type="containsText" dxfId="5166" priority="5459" operator="containsText" text="Fallido">
      <formula>NOT(ISERROR(SEARCH("Fallido",M206)))</formula>
    </cfRule>
    <cfRule type="containsText" dxfId="5165" priority="5460" operator="containsText" text="Éxitoso">
      <formula>NOT(ISERROR(SEARCH("Éxitoso",M206)))</formula>
    </cfRule>
  </conditionalFormatting>
  <conditionalFormatting sqref="G206">
    <cfRule type="containsText" dxfId="5164" priority="5453" operator="containsText" text="Bajo">
      <formula>NOT(ISERROR(SEARCH("Bajo",G206)))</formula>
    </cfRule>
    <cfRule type="containsText" dxfId="5163" priority="5454" operator="containsText" text="Medio">
      <formula>NOT(ISERROR(SEARCH("Medio",G206)))</formula>
    </cfRule>
    <cfRule type="containsText" dxfId="5162" priority="5455" operator="containsText" text="Alto">
      <formula>NOT(ISERROR(SEARCH("Alto",G206)))</formula>
    </cfRule>
  </conditionalFormatting>
  <conditionalFormatting sqref="N207">
    <cfRule type="containsText" dxfId="5161" priority="5448" operator="containsText" text="No se pudo ejecutar">
      <formula>NOT(ISERROR(SEARCH("No se pudo ejecutar",N207)))</formula>
    </cfRule>
    <cfRule type="containsText" dxfId="5160" priority="5449" operator="containsText" text="Pendiente">
      <formula>NOT(ISERROR(SEARCH("Pendiente",N207)))</formula>
    </cfRule>
    <cfRule type="containsText" dxfId="5159" priority="5450" operator="containsText" text="No Aplica">
      <formula>NOT(ISERROR(SEARCH("No Aplica",N207)))</formula>
    </cfRule>
    <cfRule type="containsText" dxfId="5158" priority="5451" operator="containsText" text="Fallido">
      <formula>NOT(ISERROR(SEARCH("Fallido",N207)))</formula>
    </cfRule>
    <cfRule type="containsText" dxfId="5157" priority="5452" operator="containsText" text="Éxitoso">
      <formula>NOT(ISERROR(SEARCH("Éxitoso",N207)))</formula>
    </cfRule>
  </conditionalFormatting>
  <conditionalFormatting sqref="O207">
    <cfRule type="containsText" dxfId="5156" priority="5443" operator="containsText" text="No se pudo ejecutar">
      <formula>NOT(ISERROR(SEARCH("No se pudo ejecutar",O207)))</formula>
    </cfRule>
    <cfRule type="containsText" dxfId="5155" priority="5444" operator="containsText" text="Pendiente">
      <formula>NOT(ISERROR(SEARCH("Pendiente",O207)))</formula>
    </cfRule>
    <cfRule type="containsText" dxfId="5154" priority="5445" operator="containsText" text="No Aplica">
      <formula>NOT(ISERROR(SEARCH("No Aplica",O207)))</formula>
    </cfRule>
    <cfRule type="containsText" dxfId="5153" priority="5446" operator="containsText" text="Fallido">
      <formula>NOT(ISERROR(SEARCH("Fallido",O207)))</formula>
    </cfRule>
    <cfRule type="containsText" dxfId="5152" priority="5447" operator="containsText" text="Éxitoso">
      <formula>NOT(ISERROR(SEARCH("Éxitoso",O207)))</formula>
    </cfRule>
  </conditionalFormatting>
  <conditionalFormatting sqref="P207">
    <cfRule type="containsText" dxfId="5151" priority="5438" operator="containsText" text="No se pudo ejecutar">
      <formula>NOT(ISERROR(SEARCH("No se pudo ejecutar",P207)))</formula>
    </cfRule>
    <cfRule type="containsText" dxfId="5150" priority="5439" operator="containsText" text="Pendiente">
      <formula>NOT(ISERROR(SEARCH("Pendiente",P207)))</formula>
    </cfRule>
    <cfRule type="containsText" dxfId="5149" priority="5440" operator="containsText" text="No Aplica">
      <formula>NOT(ISERROR(SEARCH("No Aplica",P207)))</formula>
    </cfRule>
    <cfRule type="containsText" dxfId="5148" priority="5441" operator="containsText" text="Fallido">
      <formula>NOT(ISERROR(SEARCH("Fallido",P207)))</formula>
    </cfRule>
    <cfRule type="containsText" dxfId="5147" priority="5442" operator="containsText" text="Éxitoso">
      <formula>NOT(ISERROR(SEARCH("Éxitoso",P207)))</formula>
    </cfRule>
  </conditionalFormatting>
  <conditionalFormatting sqref="Q207">
    <cfRule type="containsText" dxfId="5146" priority="5433" operator="containsText" text="No se pudo ejecutar">
      <formula>NOT(ISERROR(SEARCH("No se pudo ejecutar",Q207)))</formula>
    </cfRule>
    <cfRule type="containsText" dxfId="5145" priority="5434" operator="containsText" text="Pendiente">
      <formula>NOT(ISERROR(SEARCH("Pendiente",Q207)))</formula>
    </cfRule>
    <cfRule type="containsText" dxfId="5144" priority="5435" operator="containsText" text="No Aplica">
      <formula>NOT(ISERROR(SEARCH("No Aplica",Q207)))</formula>
    </cfRule>
    <cfRule type="containsText" dxfId="5143" priority="5436" operator="containsText" text="Fallido">
      <formula>NOT(ISERROR(SEARCH("Fallido",Q207)))</formula>
    </cfRule>
    <cfRule type="containsText" dxfId="5142" priority="5437" operator="containsText" text="Éxitoso">
      <formula>NOT(ISERROR(SEARCH("Éxitoso",Q207)))</formula>
    </cfRule>
  </conditionalFormatting>
  <conditionalFormatting sqref="R207">
    <cfRule type="containsText" dxfId="5141" priority="5428" operator="containsText" text="No se pudo ejecutar">
      <formula>NOT(ISERROR(SEARCH("No se pudo ejecutar",R207)))</formula>
    </cfRule>
    <cfRule type="containsText" dxfId="5140" priority="5429" operator="containsText" text="Pendiente">
      <formula>NOT(ISERROR(SEARCH("Pendiente",R207)))</formula>
    </cfRule>
    <cfRule type="containsText" dxfId="5139" priority="5430" operator="containsText" text="No Aplica">
      <formula>NOT(ISERROR(SEARCH("No Aplica",R207)))</formula>
    </cfRule>
    <cfRule type="containsText" dxfId="5138" priority="5431" operator="containsText" text="Fallido">
      <formula>NOT(ISERROR(SEARCH("Fallido",R207)))</formula>
    </cfRule>
    <cfRule type="containsText" dxfId="5137" priority="5432" operator="containsText" text="Éxitoso">
      <formula>NOT(ISERROR(SEARCH("Éxitoso",R207)))</formula>
    </cfRule>
  </conditionalFormatting>
  <conditionalFormatting sqref="S207">
    <cfRule type="containsText" dxfId="5136" priority="5423" operator="containsText" text="No se pudo ejecutar">
      <formula>NOT(ISERROR(SEARCH("No se pudo ejecutar",S207)))</formula>
    </cfRule>
    <cfRule type="containsText" dxfId="5135" priority="5424" operator="containsText" text="Pendiente">
      <formula>NOT(ISERROR(SEARCH("Pendiente",S207)))</formula>
    </cfRule>
    <cfRule type="containsText" dxfId="5134" priority="5425" operator="containsText" text="No Aplica">
      <formula>NOT(ISERROR(SEARCH("No Aplica",S207)))</formula>
    </cfRule>
    <cfRule type="containsText" dxfId="5133" priority="5426" operator="containsText" text="Fallido">
      <formula>NOT(ISERROR(SEARCH("Fallido",S207)))</formula>
    </cfRule>
    <cfRule type="containsText" dxfId="5132" priority="5427" operator="containsText" text="Éxitoso">
      <formula>NOT(ISERROR(SEARCH("Éxitoso",S207)))</formula>
    </cfRule>
  </conditionalFormatting>
  <conditionalFormatting sqref="T207">
    <cfRule type="containsText" dxfId="5131" priority="5418" operator="containsText" text="No se pudo ejecutar">
      <formula>NOT(ISERROR(SEARCH("No se pudo ejecutar",T207)))</formula>
    </cfRule>
    <cfRule type="containsText" dxfId="5130" priority="5419" operator="containsText" text="Pendiente">
      <formula>NOT(ISERROR(SEARCH("Pendiente",T207)))</formula>
    </cfRule>
    <cfRule type="containsText" dxfId="5129" priority="5420" operator="containsText" text="No Aplica">
      <formula>NOT(ISERROR(SEARCH("No Aplica",T207)))</formula>
    </cfRule>
    <cfRule type="containsText" dxfId="5128" priority="5421" operator="containsText" text="Fallido">
      <formula>NOT(ISERROR(SEARCH("Fallido",T207)))</formula>
    </cfRule>
    <cfRule type="containsText" dxfId="5127" priority="5422" operator="containsText" text="Éxitoso">
      <formula>NOT(ISERROR(SEARCH("Éxitoso",T207)))</formula>
    </cfRule>
  </conditionalFormatting>
  <conditionalFormatting sqref="U207">
    <cfRule type="containsText" dxfId="5126" priority="5413" operator="containsText" text="No se pudo ejecutar">
      <formula>NOT(ISERROR(SEARCH("No se pudo ejecutar",U207)))</formula>
    </cfRule>
    <cfRule type="containsText" dxfId="5125" priority="5414" operator="containsText" text="Pendiente">
      <formula>NOT(ISERROR(SEARCH("Pendiente",U207)))</formula>
    </cfRule>
    <cfRule type="containsText" dxfId="5124" priority="5415" operator="containsText" text="No Aplica">
      <formula>NOT(ISERROR(SEARCH("No Aplica",U207)))</formula>
    </cfRule>
    <cfRule type="containsText" dxfId="5123" priority="5416" operator="containsText" text="Fallido">
      <formula>NOT(ISERROR(SEARCH("Fallido",U207)))</formula>
    </cfRule>
    <cfRule type="containsText" dxfId="5122" priority="5417" operator="containsText" text="Éxitoso">
      <formula>NOT(ISERROR(SEARCH("Éxitoso",U207)))</formula>
    </cfRule>
  </conditionalFormatting>
  <conditionalFormatting sqref="V207">
    <cfRule type="containsText" dxfId="5121" priority="5408" operator="containsText" text="No se pudo ejecutar">
      <formula>NOT(ISERROR(SEARCH("No se pudo ejecutar",V207)))</formula>
    </cfRule>
    <cfRule type="containsText" dxfId="5120" priority="5409" operator="containsText" text="Pendiente">
      <formula>NOT(ISERROR(SEARCH("Pendiente",V207)))</formula>
    </cfRule>
    <cfRule type="containsText" dxfId="5119" priority="5410" operator="containsText" text="No Aplica">
      <formula>NOT(ISERROR(SEARCH("No Aplica",V207)))</formula>
    </cfRule>
    <cfRule type="containsText" dxfId="5118" priority="5411" operator="containsText" text="Fallido">
      <formula>NOT(ISERROR(SEARCH("Fallido",V207)))</formula>
    </cfRule>
    <cfRule type="containsText" dxfId="5117" priority="5412" operator="containsText" text="Éxitoso">
      <formula>NOT(ISERROR(SEARCH("Éxitoso",V207)))</formula>
    </cfRule>
  </conditionalFormatting>
  <conditionalFormatting sqref="W207">
    <cfRule type="containsText" dxfId="5116" priority="5403" operator="containsText" text="No se pudo ejecutar">
      <formula>NOT(ISERROR(SEARCH("No se pudo ejecutar",W207)))</formula>
    </cfRule>
    <cfRule type="containsText" dxfId="5115" priority="5404" operator="containsText" text="Pendiente">
      <formula>NOT(ISERROR(SEARCH("Pendiente",W207)))</formula>
    </cfRule>
    <cfRule type="containsText" dxfId="5114" priority="5405" operator="containsText" text="No Aplica">
      <formula>NOT(ISERROR(SEARCH("No Aplica",W207)))</formula>
    </cfRule>
    <cfRule type="containsText" dxfId="5113" priority="5406" operator="containsText" text="Fallido">
      <formula>NOT(ISERROR(SEARCH("Fallido",W207)))</formula>
    </cfRule>
    <cfRule type="containsText" dxfId="5112" priority="5407" operator="containsText" text="Éxitoso">
      <formula>NOT(ISERROR(SEARCH("Éxitoso",W207)))</formula>
    </cfRule>
  </conditionalFormatting>
  <conditionalFormatting sqref="M207">
    <cfRule type="containsText" dxfId="5111" priority="5398" operator="containsText" text="No se pudo ejecutar">
      <formula>NOT(ISERROR(SEARCH("No se pudo ejecutar",M207)))</formula>
    </cfRule>
    <cfRule type="containsText" dxfId="5110" priority="5399" operator="containsText" text="Pendiente">
      <formula>NOT(ISERROR(SEARCH("Pendiente",M207)))</formula>
    </cfRule>
    <cfRule type="containsText" dxfId="5109" priority="5400" operator="containsText" text="No Aplica">
      <formula>NOT(ISERROR(SEARCH("No Aplica",M207)))</formula>
    </cfRule>
    <cfRule type="containsText" dxfId="5108" priority="5401" operator="containsText" text="Fallido">
      <formula>NOT(ISERROR(SEARCH("Fallido",M207)))</formula>
    </cfRule>
    <cfRule type="containsText" dxfId="5107" priority="5402" operator="containsText" text="Éxitoso">
      <formula>NOT(ISERROR(SEARCH("Éxitoso",M207)))</formula>
    </cfRule>
  </conditionalFormatting>
  <conditionalFormatting sqref="G207">
    <cfRule type="containsText" dxfId="5106" priority="5395" operator="containsText" text="Bajo">
      <formula>NOT(ISERROR(SEARCH("Bajo",G207)))</formula>
    </cfRule>
    <cfRule type="containsText" dxfId="5105" priority="5396" operator="containsText" text="Medio">
      <formula>NOT(ISERROR(SEARCH("Medio",G207)))</formula>
    </cfRule>
    <cfRule type="containsText" dxfId="5104" priority="5397" operator="containsText" text="Alto">
      <formula>NOT(ISERROR(SEARCH("Alto",G207)))</formula>
    </cfRule>
  </conditionalFormatting>
  <conditionalFormatting sqref="N208">
    <cfRule type="containsText" dxfId="5103" priority="5390" operator="containsText" text="No se pudo ejecutar">
      <formula>NOT(ISERROR(SEARCH("No se pudo ejecutar",N208)))</formula>
    </cfRule>
    <cfRule type="containsText" dxfId="5102" priority="5391" operator="containsText" text="Pendiente">
      <formula>NOT(ISERROR(SEARCH("Pendiente",N208)))</formula>
    </cfRule>
    <cfRule type="containsText" dxfId="5101" priority="5392" operator="containsText" text="No Aplica">
      <formula>NOT(ISERROR(SEARCH("No Aplica",N208)))</formula>
    </cfRule>
    <cfRule type="containsText" dxfId="5100" priority="5393" operator="containsText" text="Fallido">
      <formula>NOT(ISERROR(SEARCH("Fallido",N208)))</formula>
    </cfRule>
    <cfRule type="containsText" dxfId="5099" priority="5394" operator="containsText" text="Éxitoso">
      <formula>NOT(ISERROR(SEARCH("Éxitoso",N208)))</formula>
    </cfRule>
  </conditionalFormatting>
  <conditionalFormatting sqref="O208">
    <cfRule type="containsText" dxfId="5098" priority="5385" operator="containsText" text="No se pudo ejecutar">
      <formula>NOT(ISERROR(SEARCH("No se pudo ejecutar",O208)))</formula>
    </cfRule>
    <cfRule type="containsText" dxfId="5097" priority="5386" operator="containsText" text="Pendiente">
      <formula>NOT(ISERROR(SEARCH("Pendiente",O208)))</formula>
    </cfRule>
    <cfRule type="containsText" dxfId="5096" priority="5387" operator="containsText" text="No Aplica">
      <formula>NOT(ISERROR(SEARCH("No Aplica",O208)))</formula>
    </cfRule>
    <cfRule type="containsText" dxfId="5095" priority="5388" operator="containsText" text="Fallido">
      <formula>NOT(ISERROR(SEARCH("Fallido",O208)))</formula>
    </cfRule>
    <cfRule type="containsText" dxfId="5094" priority="5389" operator="containsText" text="Éxitoso">
      <formula>NOT(ISERROR(SEARCH("Éxitoso",O208)))</formula>
    </cfRule>
  </conditionalFormatting>
  <conditionalFormatting sqref="P208">
    <cfRule type="containsText" dxfId="5093" priority="5380" operator="containsText" text="No se pudo ejecutar">
      <formula>NOT(ISERROR(SEARCH("No se pudo ejecutar",P208)))</formula>
    </cfRule>
    <cfRule type="containsText" dxfId="5092" priority="5381" operator="containsText" text="Pendiente">
      <formula>NOT(ISERROR(SEARCH("Pendiente",P208)))</formula>
    </cfRule>
    <cfRule type="containsText" dxfId="5091" priority="5382" operator="containsText" text="No Aplica">
      <formula>NOT(ISERROR(SEARCH("No Aplica",P208)))</formula>
    </cfRule>
    <cfRule type="containsText" dxfId="5090" priority="5383" operator="containsText" text="Fallido">
      <formula>NOT(ISERROR(SEARCH("Fallido",P208)))</formula>
    </cfRule>
    <cfRule type="containsText" dxfId="5089" priority="5384" operator="containsText" text="Éxitoso">
      <formula>NOT(ISERROR(SEARCH("Éxitoso",P208)))</formula>
    </cfRule>
  </conditionalFormatting>
  <conditionalFormatting sqref="Q208">
    <cfRule type="containsText" dxfId="5088" priority="5375" operator="containsText" text="No se pudo ejecutar">
      <formula>NOT(ISERROR(SEARCH("No se pudo ejecutar",Q208)))</formula>
    </cfRule>
    <cfRule type="containsText" dxfId="5087" priority="5376" operator="containsText" text="Pendiente">
      <formula>NOT(ISERROR(SEARCH("Pendiente",Q208)))</formula>
    </cfRule>
    <cfRule type="containsText" dxfId="5086" priority="5377" operator="containsText" text="No Aplica">
      <formula>NOT(ISERROR(SEARCH("No Aplica",Q208)))</formula>
    </cfRule>
    <cfRule type="containsText" dxfId="5085" priority="5378" operator="containsText" text="Fallido">
      <formula>NOT(ISERROR(SEARCH("Fallido",Q208)))</formula>
    </cfRule>
    <cfRule type="containsText" dxfId="5084" priority="5379" operator="containsText" text="Éxitoso">
      <formula>NOT(ISERROR(SEARCH("Éxitoso",Q208)))</formula>
    </cfRule>
  </conditionalFormatting>
  <conditionalFormatting sqref="R208">
    <cfRule type="containsText" dxfId="5083" priority="5370" operator="containsText" text="No se pudo ejecutar">
      <formula>NOT(ISERROR(SEARCH("No se pudo ejecutar",R208)))</formula>
    </cfRule>
    <cfRule type="containsText" dxfId="5082" priority="5371" operator="containsText" text="Pendiente">
      <formula>NOT(ISERROR(SEARCH("Pendiente",R208)))</formula>
    </cfRule>
    <cfRule type="containsText" dxfId="5081" priority="5372" operator="containsText" text="No Aplica">
      <formula>NOT(ISERROR(SEARCH("No Aplica",R208)))</formula>
    </cfRule>
    <cfRule type="containsText" dxfId="5080" priority="5373" operator="containsText" text="Fallido">
      <formula>NOT(ISERROR(SEARCH("Fallido",R208)))</formula>
    </cfRule>
    <cfRule type="containsText" dxfId="5079" priority="5374" operator="containsText" text="Éxitoso">
      <formula>NOT(ISERROR(SEARCH("Éxitoso",R208)))</formula>
    </cfRule>
  </conditionalFormatting>
  <conditionalFormatting sqref="S208">
    <cfRule type="containsText" dxfId="5078" priority="5365" operator="containsText" text="No se pudo ejecutar">
      <formula>NOT(ISERROR(SEARCH("No se pudo ejecutar",S208)))</formula>
    </cfRule>
    <cfRule type="containsText" dxfId="5077" priority="5366" operator="containsText" text="Pendiente">
      <formula>NOT(ISERROR(SEARCH("Pendiente",S208)))</formula>
    </cfRule>
    <cfRule type="containsText" dxfId="5076" priority="5367" operator="containsText" text="No Aplica">
      <formula>NOT(ISERROR(SEARCH("No Aplica",S208)))</formula>
    </cfRule>
    <cfRule type="containsText" dxfId="5075" priority="5368" operator="containsText" text="Fallido">
      <formula>NOT(ISERROR(SEARCH("Fallido",S208)))</formula>
    </cfRule>
    <cfRule type="containsText" dxfId="5074" priority="5369" operator="containsText" text="Éxitoso">
      <formula>NOT(ISERROR(SEARCH("Éxitoso",S208)))</formula>
    </cfRule>
  </conditionalFormatting>
  <conditionalFormatting sqref="T208">
    <cfRule type="containsText" dxfId="5073" priority="5360" operator="containsText" text="No se pudo ejecutar">
      <formula>NOT(ISERROR(SEARCH("No se pudo ejecutar",T208)))</formula>
    </cfRule>
    <cfRule type="containsText" dxfId="5072" priority="5361" operator="containsText" text="Pendiente">
      <formula>NOT(ISERROR(SEARCH("Pendiente",T208)))</formula>
    </cfRule>
    <cfRule type="containsText" dxfId="5071" priority="5362" operator="containsText" text="No Aplica">
      <formula>NOT(ISERROR(SEARCH("No Aplica",T208)))</formula>
    </cfRule>
    <cfRule type="containsText" dxfId="5070" priority="5363" operator="containsText" text="Fallido">
      <formula>NOT(ISERROR(SEARCH("Fallido",T208)))</formula>
    </cfRule>
    <cfRule type="containsText" dxfId="5069" priority="5364" operator="containsText" text="Éxitoso">
      <formula>NOT(ISERROR(SEARCH("Éxitoso",T208)))</formula>
    </cfRule>
  </conditionalFormatting>
  <conditionalFormatting sqref="U208">
    <cfRule type="containsText" dxfId="5068" priority="5355" operator="containsText" text="No se pudo ejecutar">
      <formula>NOT(ISERROR(SEARCH("No se pudo ejecutar",U208)))</formula>
    </cfRule>
    <cfRule type="containsText" dxfId="5067" priority="5356" operator="containsText" text="Pendiente">
      <formula>NOT(ISERROR(SEARCH("Pendiente",U208)))</formula>
    </cfRule>
    <cfRule type="containsText" dxfId="5066" priority="5357" operator="containsText" text="No Aplica">
      <formula>NOT(ISERROR(SEARCH("No Aplica",U208)))</formula>
    </cfRule>
    <cfRule type="containsText" dxfId="5065" priority="5358" operator="containsText" text="Fallido">
      <formula>NOT(ISERROR(SEARCH("Fallido",U208)))</formula>
    </cfRule>
    <cfRule type="containsText" dxfId="5064" priority="5359" operator="containsText" text="Éxitoso">
      <formula>NOT(ISERROR(SEARCH("Éxitoso",U208)))</formula>
    </cfRule>
  </conditionalFormatting>
  <conditionalFormatting sqref="V208">
    <cfRule type="containsText" dxfId="5063" priority="5350" operator="containsText" text="No se pudo ejecutar">
      <formula>NOT(ISERROR(SEARCH("No se pudo ejecutar",V208)))</formula>
    </cfRule>
    <cfRule type="containsText" dxfId="5062" priority="5351" operator="containsText" text="Pendiente">
      <formula>NOT(ISERROR(SEARCH("Pendiente",V208)))</formula>
    </cfRule>
    <cfRule type="containsText" dxfId="5061" priority="5352" operator="containsText" text="No Aplica">
      <formula>NOT(ISERROR(SEARCH("No Aplica",V208)))</formula>
    </cfRule>
    <cfRule type="containsText" dxfId="5060" priority="5353" operator="containsText" text="Fallido">
      <formula>NOT(ISERROR(SEARCH("Fallido",V208)))</formula>
    </cfRule>
    <cfRule type="containsText" dxfId="5059" priority="5354" operator="containsText" text="Éxitoso">
      <formula>NOT(ISERROR(SEARCH("Éxitoso",V208)))</formula>
    </cfRule>
  </conditionalFormatting>
  <conditionalFormatting sqref="W208">
    <cfRule type="containsText" dxfId="5058" priority="5345" operator="containsText" text="No se pudo ejecutar">
      <formula>NOT(ISERROR(SEARCH("No se pudo ejecutar",W208)))</formula>
    </cfRule>
    <cfRule type="containsText" dxfId="5057" priority="5346" operator="containsText" text="Pendiente">
      <formula>NOT(ISERROR(SEARCH("Pendiente",W208)))</formula>
    </cfRule>
    <cfRule type="containsText" dxfId="5056" priority="5347" operator="containsText" text="No Aplica">
      <formula>NOT(ISERROR(SEARCH("No Aplica",W208)))</formula>
    </cfRule>
    <cfRule type="containsText" dxfId="5055" priority="5348" operator="containsText" text="Fallido">
      <formula>NOT(ISERROR(SEARCH("Fallido",W208)))</formula>
    </cfRule>
    <cfRule type="containsText" dxfId="5054" priority="5349" operator="containsText" text="Éxitoso">
      <formula>NOT(ISERROR(SEARCH("Éxitoso",W208)))</formula>
    </cfRule>
  </conditionalFormatting>
  <conditionalFormatting sqref="M208">
    <cfRule type="containsText" dxfId="5053" priority="5340" operator="containsText" text="No se pudo ejecutar">
      <formula>NOT(ISERROR(SEARCH("No se pudo ejecutar",M208)))</formula>
    </cfRule>
    <cfRule type="containsText" dxfId="5052" priority="5341" operator="containsText" text="Pendiente">
      <formula>NOT(ISERROR(SEARCH("Pendiente",M208)))</formula>
    </cfRule>
    <cfRule type="containsText" dxfId="5051" priority="5342" operator="containsText" text="No Aplica">
      <formula>NOT(ISERROR(SEARCH("No Aplica",M208)))</formula>
    </cfRule>
    <cfRule type="containsText" dxfId="5050" priority="5343" operator="containsText" text="Fallido">
      <formula>NOT(ISERROR(SEARCH("Fallido",M208)))</formula>
    </cfRule>
    <cfRule type="containsText" dxfId="5049" priority="5344" operator="containsText" text="Éxitoso">
      <formula>NOT(ISERROR(SEARCH("Éxitoso",M208)))</formula>
    </cfRule>
  </conditionalFormatting>
  <conditionalFormatting sqref="G208">
    <cfRule type="containsText" dxfId="5048" priority="5337" operator="containsText" text="Bajo">
      <formula>NOT(ISERROR(SEARCH("Bajo",G208)))</formula>
    </cfRule>
    <cfRule type="containsText" dxfId="5047" priority="5338" operator="containsText" text="Medio">
      <formula>NOT(ISERROR(SEARCH("Medio",G208)))</formula>
    </cfRule>
    <cfRule type="containsText" dxfId="5046" priority="5339" operator="containsText" text="Alto">
      <formula>NOT(ISERROR(SEARCH("Alto",G208)))</formula>
    </cfRule>
  </conditionalFormatting>
  <conditionalFormatting sqref="N209">
    <cfRule type="containsText" dxfId="5045" priority="5332" operator="containsText" text="No se pudo ejecutar">
      <formula>NOT(ISERROR(SEARCH("No se pudo ejecutar",N209)))</formula>
    </cfRule>
    <cfRule type="containsText" dxfId="5044" priority="5333" operator="containsText" text="Pendiente">
      <formula>NOT(ISERROR(SEARCH("Pendiente",N209)))</formula>
    </cfRule>
    <cfRule type="containsText" dxfId="5043" priority="5334" operator="containsText" text="No Aplica">
      <formula>NOT(ISERROR(SEARCH("No Aplica",N209)))</formula>
    </cfRule>
    <cfRule type="containsText" dxfId="5042" priority="5335" operator="containsText" text="Fallido">
      <formula>NOT(ISERROR(SEARCH("Fallido",N209)))</formula>
    </cfRule>
    <cfRule type="containsText" dxfId="5041" priority="5336" operator="containsText" text="Éxitoso">
      <formula>NOT(ISERROR(SEARCH("Éxitoso",N209)))</formula>
    </cfRule>
  </conditionalFormatting>
  <conditionalFormatting sqref="O209">
    <cfRule type="containsText" dxfId="5040" priority="5327" operator="containsText" text="No se pudo ejecutar">
      <formula>NOT(ISERROR(SEARCH("No se pudo ejecutar",O209)))</formula>
    </cfRule>
    <cfRule type="containsText" dxfId="5039" priority="5328" operator="containsText" text="Pendiente">
      <formula>NOT(ISERROR(SEARCH("Pendiente",O209)))</formula>
    </cfRule>
    <cfRule type="containsText" dxfId="5038" priority="5329" operator="containsText" text="No Aplica">
      <formula>NOT(ISERROR(SEARCH("No Aplica",O209)))</formula>
    </cfRule>
    <cfRule type="containsText" dxfId="5037" priority="5330" operator="containsText" text="Fallido">
      <formula>NOT(ISERROR(SEARCH("Fallido",O209)))</formula>
    </cfRule>
    <cfRule type="containsText" dxfId="5036" priority="5331" operator="containsText" text="Éxitoso">
      <formula>NOT(ISERROR(SEARCH("Éxitoso",O209)))</formula>
    </cfRule>
  </conditionalFormatting>
  <conditionalFormatting sqref="P209">
    <cfRule type="containsText" dxfId="5035" priority="5322" operator="containsText" text="No se pudo ejecutar">
      <formula>NOT(ISERROR(SEARCH("No se pudo ejecutar",P209)))</formula>
    </cfRule>
    <cfRule type="containsText" dxfId="5034" priority="5323" operator="containsText" text="Pendiente">
      <formula>NOT(ISERROR(SEARCH("Pendiente",P209)))</formula>
    </cfRule>
    <cfRule type="containsText" dxfId="5033" priority="5324" operator="containsText" text="No Aplica">
      <formula>NOT(ISERROR(SEARCH("No Aplica",P209)))</formula>
    </cfRule>
    <cfRule type="containsText" dxfId="5032" priority="5325" operator="containsText" text="Fallido">
      <formula>NOT(ISERROR(SEARCH("Fallido",P209)))</formula>
    </cfRule>
    <cfRule type="containsText" dxfId="5031" priority="5326" operator="containsText" text="Éxitoso">
      <formula>NOT(ISERROR(SEARCH("Éxitoso",P209)))</formula>
    </cfRule>
  </conditionalFormatting>
  <conditionalFormatting sqref="Q209">
    <cfRule type="containsText" dxfId="5030" priority="5317" operator="containsText" text="No se pudo ejecutar">
      <formula>NOT(ISERROR(SEARCH("No se pudo ejecutar",Q209)))</formula>
    </cfRule>
    <cfRule type="containsText" dxfId="5029" priority="5318" operator="containsText" text="Pendiente">
      <formula>NOT(ISERROR(SEARCH("Pendiente",Q209)))</formula>
    </cfRule>
    <cfRule type="containsText" dxfId="5028" priority="5319" operator="containsText" text="No Aplica">
      <formula>NOT(ISERROR(SEARCH("No Aplica",Q209)))</formula>
    </cfRule>
    <cfRule type="containsText" dxfId="5027" priority="5320" operator="containsText" text="Fallido">
      <formula>NOT(ISERROR(SEARCH("Fallido",Q209)))</formula>
    </cfRule>
    <cfRule type="containsText" dxfId="5026" priority="5321" operator="containsText" text="Éxitoso">
      <formula>NOT(ISERROR(SEARCH("Éxitoso",Q209)))</formula>
    </cfRule>
  </conditionalFormatting>
  <conditionalFormatting sqref="R209">
    <cfRule type="containsText" dxfId="5025" priority="5312" operator="containsText" text="No se pudo ejecutar">
      <formula>NOT(ISERROR(SEARCH("No se pudo ejecutar",R209)))</formula>
    </cfRule>
    <cfRule type="containsText" dxfId="5024" priority="5313" operator="containsText" text="Pendiente">
      <formula>NOT(ISERROR(SEARCH("Pendiente",R209)))</formula>
    </cfRule>
    <cfRule type="containsText" dxfId="5023" priority="5314" operator="containsText" text="No Aplica">
      <formula>NOT(ISERROR(SEARCH("No Aplica",R209)))</formula>
    </cfRule>
    <cfRule type="containsText" dxfId="5022" priority="5315" operator="containsText" text="Fallido">
      <formula>NOT(ISERROR(SEARCH("Fallido",R209)))</formula>
    </cfRule>
    <cfRule type="containsText" dxfId="5021" priority="5316" operator="containsText" text="Éxitoso">
      <formula>NOT(ISERROR(SEARCH("Éxitoso",R209)))</formula>
    </cfRule>
  </conditionalFormatting>
  <conditionalFormatting sqref="S209">
    <cfRule type="containsText" dxfId="5020" priority="5307" operator="containsText" text="No se pudo ejecutar">
      <formula>NOT(ISERROR(SEARCH("No se pudo ejecutar",S209)))</formula>
    </cfRule>
    <cfRule type="containsText" dxfId="5019" priority="5308" operator="containsText" text="Pendiente">
      <formula>NOT(ISERROR(SEARCH("Pendiente",S209)))</formula>
    </cfRule>
    <cfRule type="containsText" dxfId="5018" priority="5309" operator="containsText" text="No Aplica">
      <formula>NOT(ISERROR(SEARCH("No Aplica",S209)))</formula>
    </cfRule>
    <cfRule type="containsText" dxfId="5017" priority="5310" operator="containsText" text="Fallido">
      <formula>NOT(ISERROR(SEARCH("Fallido",S209)))</formula>
    </cfRule>
    <cfRule type="containsText" dxfId="5016" priority="5311" operator="containsText" text="Éxitoso">
      <formula>NOT(ISERROR(SEARCH("Éxitoso",S209)))</formula>
    </cfRule>
  </conditionalFormatting>
  <conditionalFormatting sqref="T209">
    <cfRule type="containsText" dxfId="5015" priority="5302" operator="containsText" text="No se pudo ejecutar">
      <formula>NOT(ISERROR(SEARCH("No se pudo ejecutar",T209)))</formula>
    </cfRule>
    <cfRule type="containsText" dxfId="5014" priority="5303" operator="containsText" text="Pendiente">
      <formula>NOT(ISERROR(SEARCH("Pendiente",T209)))</formula>
    </cfRule>
    <cfRule type="containsText" dxfId="5013" priority="5304" operator="containsText" text="No Aplica">
      <formula>NOT(ISERROR(SEARCH("No Aplica",T209)))</formula>
    </cfRule>
    <cfRule type="containsText" dxfId="5012" priority="5305" operator="containsText" text="Fallido">
      <formula>NOT(ISERROR(SEARCH("Fallido",T209)))</formula>
    </cfRule>
    <cfRule type="containsText" dxfId="5011" priority="5306" operator="containsText" text="Éxitoso">
      <formula>NOT(ISERROR(SEARCH("Éxitoso",T209)))</formula>
    </cfRule>
  </conditionalFormatting>
  <conditionalFormatting sqref="U209">
    <cfRule type="containsText" dxfId="5010" priority="5297" operator="containsText" text="No se pudo ejecutar">
      <formula>NOT(ISERROR(SEARCH("No se pudo ejecutar",U209)))</formula>
    </cfRule>
    <cfRule type="containsText" dxfId="5009" priority="5298" operator="containsText" text="Pendiente">
      <formula>NOT(ISERROR(SEARCH("Pendiente",U209)))</formula>
    </cfRule>
    <cfRule type="containsText" dxfId="5008" priority="5299" operator="containsText" text="No Aplica">
      <formula>NOT(ISERROR(SEARCH("No Aplica",U209)))</formula>
    </cfRule>
    <cfRule type="containsText" dxfId="5007" priority="5300" operator="containsText" text="Fallido">
      <formula>NOT(ISERROR(SEARCH("Fallido",U209)))</formula>
    </cfRule>
    <cfRule type="containsText" dxfId="5006" priority="5301" operator="containsText" text="Éxitoso">
      <formula>NOT(ISERROR(SEARCH("Éxitoso",U209)))</formula>
    </cfRule>
  </conditionalFormatting>
  <conditionalFormatting sqref="V209">
    <cfRule type="containsText" dxfId="5005" priority="5292" operator="containsText" text="No se pudo ejecutar">
      <formula>NOT(ISERROR(SEARCH("No se pudo ejecutar",V209)))</formula>
    </cfRule>
    <cfRule type="containsText" dxfId="5004" priority="5293" operator="containsText" text="Pendiente">
      <formula>NOT(ISERROR(SEARCH("Pendiente",V209)))</formula>
    </cfRule>
    <cfRule type="containsText" dxfId="5003" priority="5294" operator="containsText" text="No Aplica">
      <formula>NOT(ISERROR(SEARCH("No Aplica",V209)))</formula>
    </cfRule>
    <cfRule type="containsText" dxfId="5002" priority="5295" operator="containsText" text="Fallido">
      <formula>NOT(ISERROR(SEARCH("Fallido",V209)))</formula>
    </cfRule>
    <cfRule type="containsText" dxfId="5001" priority="5296" operator="containsText" text="Éxitoso">
      <formula>NOT(ISERROR(SEARCH("Éxitoso",V209)))</formula>
    </cfRule>
  </conditionalFormatting>
  <conditionalFormatting sqref="W209">
    <cfRule type="containsText" dxfId="5000" priority="5287" operator="containsText" text="No se pudo ejecutar">
      <formula>NOT(ISERROR(SEARCH("No se pudo ejecutar",W209)))</formula>
    </cfRule>
    <cfRule type="containsText" dxfId="4999" priority="5288" operator="containsText" text="Pendiente">
      <formula>NOT(ISERROR(SEARCH("Pendiente",W209)))</formula>
    </cfRule>
    <cfRule type="containsText" dxfId="4998" priority="5289" operator="containsText" text="No Aplica">
      <formula>NOT(ISERROR(SEARCH("No Aplica",W209)))</formula>
    </cfRule>
    <cfRule type="containsText" dxfId="4997" priority="5290" operator="containsText" text="Fallido">
      <formula>NOT(ISERROR(SEARCH("Fallido",W209)))</formula>
    </cfRule>
    <cfRule type="containsText" dxfId="4996" priority="5291" operator="containsText" text="Éxitoso">
      <formula>NOT(ISERROR(SEARCH("Éxitoso",W209)))</formula>
    </cfRule>
  </conditionalFormatting>
  <conditionalFormatting sqref="M209">
    <cfRule type="containsText" dxfId="4995" priority="5282" operator="containsText" text="No se pudo ejecutar">
      <formula>NOT(ISERROR(SEARCH("No se pudo ejecutar",M209)))</formula>
    </cfRule>
    <cfRule type="containsText" dxfId="4994" priority="5283" operator="containsText" text="Pendiente">
      <formula>NOT(ISERROR(SEARCH("Pendiente",M209)))</formula>
    </cfRule>
    <cfRule type="containsText" dxfId="4993" priority="5284" operator="containsText" text="No Aplica">
      <formula>NOT(ISERROR(SEARCH("No Aplica",M209)))</formula>
    </cfRule>
    <cfRule type="containsText" dxfId="4992" priority="5285" operator="containsText" text="Fallido">
      <formula>NOT(ISERROR(SEARCH("Fallido",M209)))</formula>
    </cfRule>
    <cfRule type="containsText" dxfId="4991" priority="5286" operator="containsText" text="Éxitoso">
      <formula>NOT(ISERROR(SEARCH("Éxitoso",M209)))</formula>
    </cfRule>
  </conditionalFormatting>
  <conditionalFormatting sqref="G209">
    <cfRule type="containsText" dxfId="4990" priority="5279" operator="containsText" text="Bajo">
      <formula>NOT(ISERROR(SEARCH("Bajo",G209)))</formula>
    </cfRule>
    <cfRule type="containsText" dxfId="4989" priority="5280" operator="containsText" text="Medio">
      <formula>NOT(ISERROR(SEARCH("Medio",G209)))</formula>
    </cfRule>
    <cfRule type="containsText" dxfId="4988" priority="5281" operator="containsText" text="Alto">
      <formula>NOT(ISERROR(SEARCH("Alto",G209)))</formula>
    </cfRule>
  </conditionalFormatting>
  <conditionalFormatting sqref="N210">
    <cfRule type="containsText" dxfId="4987" priority="5274" operator="containsText" text="No se pudo ejecutar">
      <formula>NOT(ISERROR(SEARCH("No se pudo ejecutar",N210)))</formula>
    </cfRule>
    <cfRule type="containsText" dxfId="4986" priority="5275" operator="containsText" text="Pendiente">
      <formula>NOT(ISERROR(SEARCH("Pendiente",N210)))</formula>
    </cfRule>
    <cfRule type="containsText" dxfId="4985" priority="5276" operator="containsText" text="No Aplica">
      <formula>NOT(ISERROR(SEARCH("No Aplica",N210)))</formula>
    </cfRule>
    <cfRule type="containsText" dxfId="4984" priority="5277" operator="containsText" text="Fallido">
      <formula>NOT(ISERROR(SEARCH("Fallido",N210)))</formula>
    </cfRule>
    <cfRule type="containsText" dxfId="4983" priority="5278" operator="containsText" text="Éxitoso">
      <formula>NOT(ISERROR(SEARCH("Éxitoso",N210)))</formula>
    </cfRule>
  </conditionalFormatting>
  <conditionalFormatting sqref="O210">
    <cfRule type="containsText" dxfId="4982" priority="5269" operator="containsText" text="No se pudo ejecutar">
      <formula>NOT(ISERROR(SEARCH("No se pudo ejecutar",O210)))</formula>
    </cfRule>
    <cfRule type="containsText" dxfId="4981" priority="5270" operator="containsText" text="Pendiente">
      <formula>NOT(ISERROR(SEARCH("Pendiente",O210)))</formula>
    </cfRule>
    <cfRule type="containsText" dxfId="4980" priority="5271" operator="containsText" text="No Aplica">
      <formula>NOT(ISERROR(SEARCH("No Aplica",O210)))</formula>
    </cfRule>
    <cfRule type="containsText" dxfId="4979" priority="5272" operator="containsText" text="Fallido">
      <formula>NOT(ISERROR(SEARCH("Fallido",O210)))</formula>
    </cfRule>
    <cfRule type="containsText" dxfId="4978" priority="5273" operator="containsText" text="Éxitoso">
      <formula>NOT(ISERROR(SEARCH("Éxitoso",O210)))</formula>
    </cfRule>
  </conditionalFormatting>
  <conditionalFormatting sqref="P210">
    <cfRule type="containsText" dxfId="4977" priority="5264" operator="containsText" text="No se pudo ejecutar">
      <formula>NOT(ISERROR(SEARCH("No se pudo ejecutar",P210)))</formula>
    </cfRule>
    <cfRule type="containsText" dxfId="4976" priority="5265" operator="containsText" text="Pendiente">
      <formula>NOT(ISERROR(SEARCH("Pendiente",P210)))</formula>
    </cfRule>
    <cfRule type="containsText" dxfId="4975" priority="5266" operator="containsText" text="No Aplica">
      <formula>NOT(ISERROR(SEARCH("No Aplica",P210)))</formula>
    </cfRule>
    <cfRule type="containsText" dxfId="4974" priority="5267" operator="containsText" text="Fallido">
      <formula>NOT(ISERROR(SEARCH("Fallido",P210)))</formula>
    </cfRule>
    <cfRule type="containsText" dxfId="4973" priority="5268" operator="containsText" text="Éxitoso">
      <formula>NOT(ISERROR(SEARCH("Éxitoso",P210)))</formula>
    </cfRule>
  </conditionalFormatting>
  <conditionalFormatting sqref="Q210">
    <cfRule type="containsText" dxfId="4972" priority="5259" operator="containsText" text="No se pudo ejecutar">
      <formula>NOT(ISERROR(SEARCH("No se pudo ejecutar",Q210)))</formula>
    </cfRule>
    <cfRule type="containsText" dxfId="4971" priority="5260" operator="containsText" text="Pendiente">
      <formula>NOT(ISERROR(SEARCH("Pendiente",Q210)))</formula>
    </cfRule>
    <cfRule type="containsText" dxfId="4970" priority="5261" operator="containsText" text="No Aplica">
      <formula>NOT(ISERROR(SEARCH("No Aplica",Q210)))</formula>
    </cfRule>
    <cfRule type="containsText" dxfId="4969" priority="5262" operator="containsText" text="Fallido">
      <formula>NOT(ISERROR(SEARCH("Fallido",Q210)))</formula>
    </cfRule>
    <cfRule type="containsText" dxfId="4968" priority="5263" operator="containsText" text="Éxitoso">
      <formula>NOT(ISERROR(SEARCH("Éxitoso",Q210)))</formula>
    </cfRule>
  </conditionalFormatting>
  <conditionalFormatting sqref="R210">
    <cfRule type="containsText" dxfId="4967" priority="5254" operator="containsText" text="No se pudo ejecutar">
      <formula>NOT(ISERROR(SEARCH("No se pudo ejecutar",R210)))</formula>
    </cfRule>
    <cfRule type="containsText" dxfId="4966" priority="5255" operator="containsText" text="Pendiente">
      <formula>NOT(ISERROR(SEARCH("Pendiente",R210)))</formula>
    </cfRule>
    <cfRule type="containsText" dxfId="4965" priority="5256" operator="containsText" text="No Aplica">
      <formula>NOT(ISERROR(SEARCH("No Aplica",R210)))</formula>
    </cfRule>
    <cfRule type="containsText" dxfId="4964" priority="5257" operator="containsText" text="Fallido">
      <formula>NOT(ISERROR(SEARCH("Fallido",R210)))</formula>
    </cfRule>
    <cfRule type="containsText" dxfId="4963" priority="5258" operator="containsText" text="Éxitoso">
      <formula>NOT(ISERROR(SEARCH("Éxitoso",R210)))</formula>
    </cfRule>
  </conditionalFormatting>
  <conditionalFormatting sqref="S210">
    <cfRule type="containsText" dxfId="4962" priority="5249" operator="containsText" text="No se pudo ejecutar">
      <formula>NOT(ISERROR(SEARCH("No se pudo ejecutar",S210)))</formula>
    </cfRule>
    <cfRule type="containsText" dxfId="4961" priority="5250" operator="containsText" text="Pendiente">
      <formula>NOT(ISERROR(SEARCH("Pendiente",S210)))</formula>
    </cfRule>
    <cfRule type="containsText" dxfId="4960" priority="5251" operator="containsText" text="No Aplica">
      <formula>NOT(ISERROR(SEARCH("No Aplica",S210)))</formula>
    </cfRule>
    <cfRule type="containsText" dxfId="4959" priority="5252" operator="containsText" text="Fallido">
      <formula>NOT(ISERROR(SEARCH("Fallido",S210)))</formula>
    </cfRule>
    <cfRule type="containsText" dxfId="4958" priority="5253" operator="containsText" text="Éxitoso">
      <formula>NOT(ISERROR(SEARCH("Éxitoso",S210)))</formula>
    </cfRule>
  </conditionalFormatting>
  <conditionalFormatting sqref="T210">
    <cfRule type="containsText" dxfId="4957" priority="5244" operator="containsText" text="No se pudo ejecutar">
      <formula>NOT(ISERROR(SEARCH("No se pudo ejecutar",T210)))</formula>
    </cfRule>
    <cfRule type="containsText" dxfId="4956" priority="5245" operator="containsText" text="Pendiente">
      <formula>NOT(ISERROR(SEARCH("Pendiente",T210)))</formula>
    </cfRule>
    <cfRule type="containsText" dxfId="4955" priority="5246" operator="containsText" text="No Aplica">
      <formula>NOT(ISERROR(SEARCH("No Aplica",T210)))</formula>
    </cfRule>
    <cfRule type="containsText" dxfId="4954" priority="5247" operator="containsText" text="Fallido">
      <formula>NOT(ISERROR(SEARCH("Fallido",T210)))</formula>
    </cfRule>
    <cfRule type="containsText" dxfId="4953" priority="5248" operator="containsText" text="Éxitoso">
      <formula>NOT(ISERROR(SEARCH("Éxitoso",T210)))</formula>
    </cfRule>
  </conditionalFormatting>
  <conditionalFormatting sqref="U210">
    <cfRule type="containsText" dxfId="4952" priority="5239" operator="containsText" text="No se pudo ejecutar">
      <formula>NOT(ISERROR(SEARCH("No se pudo ejecutar",U210)))</formula>
    </cfRule>
    <cfRule type="containsText" dxfId="4951" priority="5240" operator="containsText" text="Pendiente">
      <formula>NOT(ISERROR(SEARCH("Pendiente",U210)))</formula>
    </cfRule>
    <cfRule type="containsText" dxfId="4950" priority="5241" operator="containsText" text="No Aplica">
      <formula>NOT(ISERROR(SEARCH("No Aplica",U210)))</formula>
    </cfRule>
    <cfRule type="containsText" dxfId="4949" priority="5242" operator="containsText" text="Fallido">
      <formula>NOT(ISERROR(SEARCH("Fallido",U210)))</formula>
    </cfRule>
    <cfRule type="containsText" dxfId="4948" priority="5243" operator="containsText" text="Éxitoso">
      <formula>NOT(ISERROR(SEARCH("Éxitoso",U210)))</formula>
    </cfRule>
  </conditionalFormatting>
  <conditionalFormatting sqref="V210">
    <cfRule type="containsText" dxfId="4947" priority="5234" operator="containsText" text="No se pudo ejecutar">
      <formula>NOT(ISERROR(SEARCH("No se pudo ejecutar",V210)))</formula>
    </cfRule>
    <cfRule type="containsText" dxfId="4946" priority="5235" operator="containsText" text="Pendiente">
      <formula>NOT(ISERROR(SEARCH("Pendiente",V210)))</formula>
    </cfRule>
    <cfRule type="containsText" dxfId="4945" priority="5236" operator="containsText" text="No Aplica">
      <formula>NOT(ISERROR(SEARCH("No Aplica",V210)))</formula>
    </cfRule>
    <cfRule type="containsText" dxfId="4944" priority="5237" operator="containsText" text="Fallido">
      <formula>NOT(ISERROR(SEARCH("Fallido",V210)))</formula>
    </cfRule>
    <cfRule type="containsText" dxfId="4943" priority="5238" operator="containsText" text="Éxitoso">
      <formula>NOT(ISERROR(SEARCH("Éxitoso",V210)))</formula>
    </cfRule>
  </conditionalFormatting>
  <conditionalFormatting sqref="W210">
    <cfRule type="containsText" dxfId="4942" priority="5229" operator="containsText" text="No se pudo ejecutar">
      <formula>NOT(ISERROR(SEARCH("No se pudo ejecutar",W210)))</formula>
    </cfRule>
    <cfRule type="containsText" dxfId="4941" priority="5230" operator="containsText" text="Pendiente">
      <formula>NOT(ISERROR(SEARCH("Pendiente",W210)))</formula>
    </cfRule>
    <cfRule type="containsText" dxfId="4940" priority="5231" operator="containsText" text="No Aplica">
      <formula>NOT(ISERROR(SEARCH("No Aplica",W210)))</formula>
    </cfRule>
    <cfRule type="containsText" dxfId="4939" priority="5232" operator="containsText" text="Fallido">
      <formula>NOT(ISERROR(SEARCH("Fallido",W210)))</formula>
    </cfRule>
    <cfRule type="containsText" dxfId="4938" priority="5233" operator="containsText" text="Éxitoso">
      <formula>NOT(ISERROR(SEARCH("Éxitoso",W210)))</formula>
    </cfRule>
  </conditionalFormatting>
  <conditionalFormatting sqref="M210">
    <cfRule type="containsText" dxfId="4937" priority="5224" operator="containsText" text="No se pudo ejecutar">
      <formula>NOT(ISERROR(SEARCH("No se pudo ejecutar",M210)))</formula>
    </cfRule>
    <cfRule type="containsText" dxfId="4936" priority="5225" operator="containsText" text="Pendiente">
      <formula>NOT(ISERROR(SEARCH("Pendiente",M210)))</formula>
    </cfRule>
    <cfRule type="containsText" dxfId="4935" priority="5226" operator="containsText" text="No Aplica">
      <formula>NOT(ISERROR(SEARCH("No Aplica",M210)))</formula>
    </cfRule>
    <cfRule type="containsText" dxfId="4934" priority="5227" operator="containsText" text="Fallido">
      <formula>NOT(ISERROR(SEARCH("Fallido",M210)))</formula>
    </cfRule>
    <cfRule type="containsText" dxfId="4933" priority="5228" operator="containsText" text="Éxitoso">
      <formula>NOT(ISERROR(SEARCH("Éxitoso",M210)))</formula>
    </cfRule>
  </conditionalFormatting>
  <conditionalFormatting sqref="G210">
    <cfRule type="containsText" dxfId="4932" priority="5221" operator="containsText" text="Bajo">
      <formula>NOT(ISERROR(SEARCH("Bajo",G210)))</formula>
    </cfRule>
    <cfRule type="containsText" dxfId="4931" priority="5222" operator="containsText" text="Medio">
      <formula>NOT(ISERROR(SEARCH("Medio",G210)))</formula>
    </cfRule>
    <cfRule type="containsText" dxfId="4930" priority="5223" operator="containsText" text="Alto">
      <formula>NOT(ISERROR(SEARCH("Alto",G210)))</formula>
    </cfRule>
  </conditionalFormatting>
  <conditionalFormatting sqref="N211">
    <cfRule type="containsText" dxfId="4929" priority="5216" operator="containsText" text="No se pudo ejecutar">
      <formula>NOT(ISERROR(SEARCH("No se pudo ejecutar",N211)))</formula>
    </cfRule>
    <cfRule type="containsText" dxfId="4928" priority="5217" operator="containsText" text="Pendiente">
      <formula>NOT(ISERROR(SEARCH("Pendiente",N211)))</formula>
    </cfRule>
    <cfRule type="containsText" dxfId="4927" priority="5218" operator="containsText" text="No Aplica">
      <formula>NOT(ISERROR(SEARCH("No Aplica",N211)))</formula>
    </cfRule>
    <cfRule type="containsText" dxfId="4926" priority="5219" operator="containsText" text="Fallido">
      <formula>NOT(ISERROR(SEARCH("Fallido",N211)))</formula>
    </cfRule>
    <cfRule type="containsText" dxfId="4925" priority="5220" operator="containsText" text="Éxitoso">
      <formula>NOT(ISERROR(SEARCH("Éxitoso",N211)))</formula>
    </cfRule>
  </conditionalFormatting>
  <conditionalFormatting sqref="O211">
    <cfRule type="containsText" dxfId="4924" priority="5211" operator="containsText" text="No se pudo ejecutar">
      <formula>NOT(ISERROR(SEARCH("No se pudo ejecutar",O211)))</formula>
    </cfRule>
    <cfRule type="containsText" dxfId="4923" priority="5212" operator="containsText" text="Pendiente">
      <formula>NOT(ISERROR(SEARCH("Pendiente",O211)))</formula>
    </cfRule>
    <cfRule type="containsText" dxfId="4922" priority="5213" operator="containsText" text="No Aplica">
      <formula>NOT(ISERROR(SEARCH("No Aplica",O211)))</formula>
    </cfRule>
    <cfRule type="containsText" dxfId="4921" priority="5214" operator="containsText" text="Fallido">
      <formula>NOT(ISERROR(SEARCH("Fallido",O211)))</formula>
    </cfRule>
    <cfRule type="containsText" dxfId="4920" priority="5215" operator="containsText" text="Éxitoso">
      <formula>NOT(ISERROR(SEARCH("Éxitoso",O211)))</formula>
    </cfRule>
  </conditionalFormatting>
  <conditionalFormatting sqref="P211">
    <cfRule type="containsText" dxfId="4919" priority="5206" operator="containsText" text="No se pudo ejecutar">
      <formula>NOT(ISERROR(SEARCH("No se pudo ejecutar",P211)))</formula>
    </cfRule>
    <cfRule type="containsText" dxfId="4918" priority="5207" operator="containsText" text="Pendiente">
      <formula>NOT(ISERROR(SEARCH("Pendiente",P211)))</formula>
    </cfRule>
    <cfRule type="containsText" dxfId="4917" priority="5208" operator="containsText" text="No Aplica">
      <formula>NOT(ISERROR(SEARCH("No Aplica",P211)))</formula>
    </cfRule>
    <cfRule type="containsText" dxfId="4916" priority="5209" operator="containsText" text="Fallido">
      <formula>NOT(ISERROR(SEARCH("Fallido",P211)))</formula>
    </cfRule>
    <cfRule type="containsText" dxfId="4915" priority="5210" operator="containsText" text="Éxitoso">
      <formula>NOT(ISERROR(SEARCH("Éxitoso",P211)))</formula>
    </cfRule>
  </conditionalFormatting>
  <conditionalFormatting sqref="Q211">
    <cfRule type="containsText" dxfId="4914" priority="5201" operator="containsText" text="No se pudo ejecutar">
      <formula>NOT(ISERROR(SEARCH("No se pudo ejecutar",Q211)))</formula>
    </cfRule>
    <cfRule type="containsText" dxfId="4913" priority="5202" operator="containsText" text="Pendiente">
      <formula>NOT(ISERROR(SEARCH("Pendiente",Q211)))</formula>
    </cfRule>
    <cfRule type="containsText" dxfId="4912" priority="5203" operator="containsText" text="No Aplica">
      <formula>NOT(ISERROR(SEARCH("No Aplica",Q211)))</formula>
    </cfRule>
    <cfRule type="containsText" dxfId="4911" priority="5204" operator="containsText" text="Fallido">
      <formula>NOT(ISERROR(SEARCH("Fallido",Q211)))</formula>
    </cfRule>
    <cfRule type="containsText" dxfId="4910" priority="5205" operator="containsText" text="Éxitoso">
      <formula>NOT(ISERROR(SEARCH("Éxitoso",Q211)))</formula>
    </cfRule>
  </conditionalFormatting>
  <conditionalFormatting sqref="R211">
    <cfRule type="containsText" dxfId="4909" priority="5196" operator="containsText" text="No se pudo ejecutar">
      <formula>NOT(ISERROR(SEARCH("No se pudo ejecutar",R211)))</formula>
    </cfRule>
    <cfRule type="containsText" dxfId="4908" priority="5197" operator="containsText" text="Pendiente">
      <formula>NOT(ISERROR(SEARCH("Pendiente",R211)))</formula>
    </cfRule>
    <cfRule type="containsText" dxfId="4907" priority="5198" operator="containsText" text="No Aplica">
      <formula>NOT(ISERROR(SEARCH("No Aplica",R211)))</formula>
    </cfRule>
    <cfRule type="containsText" dxfId="4906" priority="5199" operator="containsText" text="Fallido">
      <formula>NOT(ISERROR(SEARCH("Fallido",R211)))</formula>
    </cfRule>
    <cfRule type="containsText" dxfId="4905" priority="5200" operator="containsText" text="Éxitoso">
      <formula>NOT(ISERROR(SEARCH("Éxitoso",R211)))</formula>
    </cfRule>
  </conditionalFormatting>
  <conditionalFormatting sqref="S211">
    <cfRule type="containsText" dxfId="4904" priority="5191" operator="containsText" text="No se pudo ejecutar">
      <formula>NOT(ISERROR(SEARCH("No se pudo ejecutar",S211)))</formula>
    </cfRule>
    <cfRule type="containsText" dxfId="4903" priority="5192" operator="containsText" text="Pendiente">
      <formula>NOT(ISERROR(SEARCH("Pendiente",S211)))</formula>
    </cfRule>
    <cfRule type="containsText" dxfId="4902" priority="5193" operator="containsText" text="No Aplica">
      <formula>NOT(ISERROR(SEARCH("No Aplica",S211)))</formula>
    </cfRule>
    <cfRule type="containsText" dxfId="4901" priority="5194" operator="containsText" text="Fallido">
      <formula>NOT(ISERROR(SEARCH("Fallido",S211)))</formula>
    </cfRule>
    <cfRule type="containsText" dxfId="4900" priority="5195" operator="containsText" text="Éxitoso">
      <formula>NOT(ISERROR(SEARCH("Éxitoso",S211)))</formula>
    </cfRule>
  </conditionalFormatting>
  <conditionalFormatting sqref="T211">
    <cfRule type="containsText" dxfId="4899" priority="5186" operator="containsText" text="No se pudo ejecutar">
      <formula>NOT(ISERROR(SEARCH("No se pudo ejecutar",T211)))</formula>
    </cfRule>
    <cfRule type="containsText" dxfId="4898" priority="5187" operator="containsText" text="Pendiente">
      <formula>NOT(ISERROR(SEARCH("Pendiente",T211)))</formula>
    </cfRule>
    <cfRule type="containsText" dxfId="4897" priority="5188" operator="containsText" text="No Aplica">
      <formula>NOT(ISERROR(SEARCH("No Aplica",T211)))</formula>
    </cfRule>
    <cfRule type="containsText" dxfId="4896" priority="5189" operator="containsText" text="Fallido">
      <formula>NOT(ISERROR(SEARCH("Fallido",T211)))</formula>
    </cfRule>
    <cfRule type="containsText" dxfId="4895" priority="5190" operator="containsText" text="Éxitoso">
      <formula>NOT(ISERROR(SEARCH("Éxitoso",T211)))</formula>
    </cfRule>
  </conditionalFormatting>
  <conditionalFormatting sqref="U211">
    <cfRule type="containsText" dxfId="4894" priority="5181" operator="containsText" text="No se pudo ejecutar">
      <formula>NOT(ISERROR(SEARCH("No se pudo ejecutar",U211)))</formula>
    </cfRule>
    <cfRule type="containsText" dxfId="4893" priority="5182" operator="containsText" text="Pendiente">
      <formula>NOT(ISERROR(SEARCH("Pendiente",U211)))</formula>
    </cfRule>
    <cfRule type="containsText" dxfId="4892" priority="5183" operator="containsText" text="No Aplica">
      <formula>NOT(ISERROR(SEARCH("No Aplica",U211)))</formula>
    </cfRule>
    <cfRule type="containsText" dxfId="4891" priority="5184" operator="containsText" text="Fallido">
      <formula>NOT(ISERROR(SEARCH("Fallido",U211)))</formula>
    </cfRule>
    <cfRule type="containsText" dxfId="4890" priority="5185" operator="containsText" text="Éxitoso">
      <formula>NOT(ISERROR(SEARCH("Éxitoso",U211)))</formula>
    </cfRule>
  </conditionalFormatting>
  <conditionalFormatting sqref="V211">
    <cfRule type="containsText" dxfId="4889" priority="5176" operator="containsText" text="No se pudo ejecutar">
      <formula>NOT(ISERROR(SEARCH("No se pudo ejecutar",V211)))</formula>
    </cfRule>
    <cfRule type="containsText" dxfId="4888" priority="5177" operator="containsText" text="Pendiente">
      <formula>NOT(ISERROR(SEARCH("Pendiente",V211)))</formula>
    </cfRule>
    <cfRule type="containsText" dxfId="4887" priority="5178" operator="containsText" text="No Aplica">
      <formula>NOT(ISERROR(SEARCH("No Aplica",V211)))</formula>
    </cfRule>
    <cfRule type="containsText" dxfId="4886" priority="5179" operator="containsText" text="Fallido">
      <formula>NOT(ISERROR(SEARCH("Fallido",V211)))</formula>
    </cfRule>
    <cfRule type="containsText" dxfId="4885" priority="5180" operator="containsText" text="Éxitoso">
      <formula>NOT(ISERROR(SEARCH("Éxitoso",V211)))</formula>
    </cfRule>
  </conditionalFormatting>
  <conditionalFormatting sqref="W211">
    <cfRule type="containsText" dxfId="4884" priority="5171" operator="containsText" text="No se pudo ejecutar">
      <formula>NOT(ISERROR(SEARCH("No se pudo ejecutar",W211)))</formula>
    </cfRule>
    <cfRule type="containsText" dxfId="4883" priority="5172" operator="containsText" text="Pendiente">
      <formula>NOT(ISERROR(SEARCH("Pendiente",W211)))</formula>
    </cfRule>
    <cfRule type="containsText" dxfId="4882" priority="5173" operator="containsText" text="No Aplica">
      <formula>NOT(ISERROR(SEARCH("No Aplica",W211)))</formula>
    </cfRule>
    <cfRule type="containsText" dxfId="4881" priority="5174" operator="containsText" text="Fallido">
      <formula>NOT(ISERROR(SEARCH("Fallido",W211)))</formula>
    </cfRule>
    <cfRule type="containsText" dxfId="4880" priority="5175" operator="containsText" text="Éxitoso">
      <formula>NOT(ISERROR(SEARCH("Éxitoso",W211)))</formula>
    </cfRule>
  </conditionalFormatting>
  <conditionalFormatting sqref="M211">
    <cfRule type="containsText" dxfId="4879" priority="5166" operator="containsText" text="No se pudo ejecutar">
      <formula>NOT(ISERROR(SEARCH("No se pudo ejecutar",M211)))</formula>
    </cfRule>
    <cfRule type="containsText" dxfId="4878" priority="5167" operator="containsText" text="Pendiente">
      <formula>NOT(ISERROR(SEARCH("Pendiente",M211)))</formula>
    </cfRule>
    <cfRule type="containsText" dxfId="4877" priority="5168" operator="containsText" text="No Aplica">
      <formula>NOT(ISERROR(SEARCH("No Aplica",M211)))</formula>
    </cfRule>
    <cfRule type="containsText" dxfId="4876" priority="5169" operator="containsText" text="Fallido">
      <formula>NOT(ISERROR(SEARCH("Fallido",M211)))</formula>
    </cfRule>
    <cfRule type="containsText" dxfId="4875" priority="5170" operator="containsText" text="Éxitoso">
      <formula>NOT(ISERROR(SEARCH("Éxitoso",M211)))</formula>
    </cfRule>
  </conditionalFormatting>
  <conditionalFormatting sqref="G211">
    <cfRule type="containsText" dxfId="4874" priority="5163" operator="containsText" text="Bajo">
      <formula>NOT(ISERROR(SEARCH("Bajo",G211)))</formula>
    </cfRule>
    <cfRule type="containsText" dxfId="4873" priority="5164" operator="containsText" text="Medio">
      <formula>NOT(ISERROR(SEARCH("Medio",G211)))</formula>
    </cfRule>
    <cfRule type="containsText" dxfId="4872" priority="5165" operator="containsText" text="Alto">
      <formula>NOT(ISERROR(SEARCH("Alto",G211)))</formula>
    </cfRule>
  </conditionalFormatting>
  <conditionalFormatting sqref="N212">
    <cfRule type="containsText" dxfId="4871" priority="5158" operator="containsText" text="No se pudo ejecutar">
      <formula>NOT(ISERROR(SEARCH("No se pudo ejecutar",N212)))</formula>
    </cfRule>
    <cfRule type="containsText" dxfId="4870" priority="5159" operator="containsText" text="Pendiente">
      <formula>NOT(ISERROR(SEARCH("Pendiente",N212)))</formula>
    </cfRule>
    <cfRule type="containsText" dxfId="4869" priority="5160" operator="containsText" text="No Aplica">
      <formula>NOT(ISERROR(SEARCH("No Aplica",N212)))</formula>
    </cfRule>
    <cfRule type="containsText" dxfId="4868" priority="5161" operator="containsText" text="Fallido">
      <formula>NOT(ISERROR(SEARCH("Fallido",N212)))</formula>
    </cfRule>
    <cfRule type="containsText" dxfId="4867" priority="5162" operator="containsText" text="Éxitoso">
      <formula>NOT(ISERROR(SEARCH("Éxitoso",N212)))</formula>
    </cfRule>
  </conditionalFormatting>
  <conditionalFormatting sqref="O212">
    <cfRule type="containsText" dxfId="4866" priority="5153" operator="containsText" text="No se pudo ejecutar">
      <formula>NOT(ISERROR(SEARCH("No se pudo ejecutar",O212)))</formula>
    </cfRule>
    <cfRule type="containsText" dxfId="4865" priority="5154" operator="containsText" text="Pendiente">
      <formula>NOT(ISERROR(SEARCH("Pendiente",O212)))</formula>
    </cfRule>
    <cfRule type="containsText" dxfId="4864" priority="5155" operator="containsText" text="No Aplica">
      <formula>NOT(ISERROR(SEARCH("No Aplica",O212)))</formula>
    </cfRule>
    <cfRule type="containsText" dxfId="4863" priority="5156" operator="containsText" text="Fallido">
      <formula>NOT(ISERROR(SEARCH("Fallido",O212)))</formula>
    </cfRule>
    <cfRule type="containsText" dxfId="4862" priority="5157" operator="containsText" text="Éxitoso">
      <formula>NOT(ISERROR(SEARCH("Éxitoso",O212)))</formula>
    </cfRule>
  </conditionalFormatting>
  <conditionalFormatting sqref="P212">
    <cfRule type="containsText" dxfId="4861" priority="5148" operator="containsText" text="No se pudo ejecutar">
      <formula>NOT(ISERROR(SEARCH("No se pudo ejecutar",P212)))</formula>
    </cfRule>
    <cfRule type="containsText" dxfId="4860" priority="5149" operator="containsText" text="Pendiente">
      <formula>NOT(ISERROR(SEARCH("Pendiente",P212)))</formula>
    </cfRule>
    <cfRule type="containsText" dxfId="4859" priority="5150" operator="containsText" text="No Aplica">
      <formula>NOT(ISERROR(SEARCH("No Aplica",P212)))</formula>
    </cfRule>
    <cfRule type="containsText" dxfId="4858" priority="5151" operator="containsText" text="Fallido">
      <formula>NOT(ISERROR(SEARCH("Fallido",P212)))</formula>
    </cfRule>
    <cfRule type="containsText" dxfId="4857" priority="5152" operator="containsText" text="Éxitoso">
      <formula>NOT(ISERROR(SEARCH("Éxitoso",P212)))</formula>
    </cfRule>
  </conditionalFormatting>
  <conditionalFormatting sqref="Q212">
    <cfRule type="containsText" dxfId="4856" priority="5143" operator="containsText" text="No se pudo ejecutar">
      <formula>NOT(ISERROR(SEARCH("No se pudo ejecutar",Q212)))</formula>
    </cfRule>
    <cfRule type="containsText" dxfId="4855" priority="5144" operator="containsText" text="Pendiente">
      <formula>NOT(ISERROR(SEARCH("Pendiente",Q212)))</formula>
    </cfRule>
    <cfRule type="containsText" dxfId="4854" priority="5145" operator="containsText" text="No Aplica">
      <formula>NOT(ISERROR(SEARCH("No Aplica",Q212)))</formula>
    </cfRule>
    <cfRule type="containsText" dxfId="4853" priority="5146" operator="containsText" text="Fallido">
      <formula>NOT(ISERROR(SEARCH("Fallido",Q212)))</formula>
    </cfRule>
    <cfRule type="containsText" dxfId="4852" priority="5147" operator="containsText" text="Éxitoso">
      <formula>NOT(ISERROR(SEARCH("Éxitoso",Q212)))</formula>
    </cfRule>
  </conditionalFormatting>
  <conditionalFormatting sqref="R212">
    <cfRule type="containsText" dxfId="4851" priority="5138" operator="containsText" text="No se pudo ejecutar">
      <formula>NOT(ISERROR(SEARCH("No se pudo ejecutar",R212)))</formula>
    </cfRule>
    <cfRule type="containsText" dxfId="4850" priority="5139" operator="containsText" text="Pendiente">
      <formula>NOT(ISERROR(SEARCH("Pendiente",R212)))</formula>
    </cfRule>
    <cfRule type="containsText" dxfId="4849" priority="5140" operator="containsText" text="No Aplica">
      <formula>NOT(ISERROR(SEARCH("No Aplica",R212)))</formula>
    </cfRule>
    <cfRule type="containsText" dxfId="4848" priority="5141" operator="containsText" text="Fallido">
      <formula>NOT(ISERROR(SEARCH("Fallido",R212)))</formula>
    </cfRule>
    <cfRule type="containsText" dxfId="4847" priority="5142" operator="containsText" text="Éxitoso">
      <formula>NOT(ISERROR(SEARCH("Éxitoso",R212)))</formula>
    </cfRule>
  </conditionalFormatting>
  <conditionalFormatting sqref="S212">
    <cfRule type="containsText" dxfId="4846" priority="5133" operator="containsText" text="No se pudo ejecutar">
      <formula>NOT(ISERROR(SEARCH("No se pudo ejecutar",S212)))</formula>
    </cfRule>
    <cfRule type="containsText" dxfId="4845" priority="5134" operator="containsText" text="Pendiente">
      <formula>NOT(ISERROR(SEARCH("Pendiente",S212)))</formula>
    </cfRule>
    <cfRule type="containsText" dxfId="4844" priority="5135" operator="containsText" text="No Aplica">
      <formula>NOT(ISERROR(SEARCH("No Aplica",S212)))</formula>
    </cfRule>
    <cfRule type="containsText" dxfId="4843" priority="5136" operator="containsText" text="Fallido">
      <formula>NOT(ISERROR(SEARCH("Fallido",S212)))</formula>
    </cfRule>
    <cfRule type="containsText" dxfId="4842" priority="5137" operator="containsText" text="Éxitoso">
      <formula>NOT(ISERROR(SEARCH("Éxitoso",S212)))</formula>
    </cfRule>
  </conditionalFormatting>
  <conditionalFormatting sqref="T212">
    <cfRule type="containsText" dxfId="4841" priority="5128" operator="containsText" text="No se pudo ejecutar">
      <formula>NOT(ISERROR(SEARCH("No se pudo ejecutar",T212)))</formula>
    </cfRule>
    <cfRule type="containsText" dxfId="4840" priority="5129" operator="containsText" text="Pendiente">
      <formula>NOT(ISERROR(SEARCH("Pendiente",T212)))</formula>
    </cfRule>
    <cfRule type="containsText" dxfId="4839" priority="5130" operator="containsText" text="No Aplica">
      <formula>NOT(ISERROR(SEARCH("No Aplica",T212)))</formula>
    </cfRule>
    <cfRule type="containsText" dxfId="4838" priority="5131" operator="containsText" text="Fallido">
      <formula>NOT(ISERROR(SEARCH("Fallido",T212)))</formula>
    </cfRule>
    <cfRule type="containsText" dxfId="4837" priority="5132" operator="containsText" text="Éxitoso">
      <formula>NOT(ISERROR(SEARCH("Éxitoso",T212)))</formula>
    </cfRule>
  </conditionalFormatting>
  <conditionalFormatting sqref="U212">
    <cfRule type="containsText" dxfId="4836" priority="5123" operator="containsText" text="No se pudo ejecutar">
      <formula>NOT(ISERROR(SEARCH("No se pudo ejecutar",U212)))</formula>
    </cfRule>
    <cfRule type="containsText" dxfId="4835" priority="5124" operator="containsText" text="Pendiente">
      <formula>NOT(ISERROR(SEARCH("Pendiente",U212)))</formula>
    </cfRule>
    <cfRule type="containsText" dxfId="4834" priority="5125" operator="containsText" text="No Aplica">
      <formula>NOT(ISERROR(SEARCH("No Aplica",U212)))</formula>
    </cfRule>
    <cfRule type="containsText" dxfId="4833" priority="5126" operator="containsText" text="Fallido">
      <formula>NOT(ISERROR(SEARCH("Fallido",U212)))</formula>
    </cfRule>
    <cfRule type="containsText" dxfId="4832" priority="5127" operator="containsText" text="Éxitoso">
      <formula>NOT(ISERROR(SEARCH("Éxitoso",U212)))</formula>
    </cfRule>
  </conditionalFormatting>
  <conditionalFormatting sqref="V212">
    <cfRule type="containsText" dxfId="4831" priority="5118" operator="containsText" text="No se pudo ejecutar">
      <formula>NOT(ISERROR(SEARCH("No se pudo ejecutar",V212)))</formula>
    </cfRule>
    <cfRule type="containsText" dxfId="4830" priority="5119" operator="containsText" text="Pendiente">
      <formula>NOT(ISERROR(SEARCH("Pendiente",V212)))</formula>
    </cfRule>
    <cfRule type="containsText" dxfId="4829" priority="5120" operator="containsText" text="No Aplica">
      <formula>NOT(ISERROR(SEARCH("No Aplica",V212)))</formula>
    </cfRule>
    <cfRule type="containsText" dxfId="4828" priority="5121" operator="containsText" text="Fallido">
      <formula>NOT(ISERROR(SEARCH("Fallido",V212)))</formula>
    </cfRule>
    <cfRule type="containsText" dxfId="4827" priority="5122" operator="containsText" text="Éxitoso">
      <formula>NOT(ISERROR(SEARCH("Éxitoso",V212)))</formula>
    </cfRule>
  </conditionalFormatting>
  <conditionalFormatting sqref="W212">
    <cfRule type="containsText" dxfId="4826" priority="5113" operator="containsText" text="No se pudo ejecutar">
      <formula>NOT(ISERROR(SEARCH("No se pudo ejecutar",W212)))</formula>
    </cfRule>
    <cfRule type="containsText" dxfId="4825" priority="5114" operator="containsText" text="Pendiente">
      <formula>NOT(ISERROR(SEARCH("Pendiente",W212)))</formula>
    </cfRule>
    <cfRule type="containsText" dxfId="4824" priority="5115" operator="containsText" text="No Aplica">
      <formula>NOT(ISERROR(SEARCH("No Aplica",W212)))</formula>
    </cfRule>
    <cfRule type="containsText" dxfId="4823" priority="5116" operator="containsText" text="Fallido">
      <formula>NOT(ISERROR(SEARCH("Fallido",W212)))</formula>
    </cfRule>
    <cfRule type="containsText" dxfId="4822" priority="5117" operator="containsText" text="Éxitoso">
      <formula>NOT(ISERROR(SEARCH("Éxitoso",W212)))</formula>
    </cfRule>
  </conditionalFormatting>
  <conditionalFormatting sqref="M212">
    <cfRule type="containsText" dxfId="4821" priority="5108" operator="containsText" text="No se pudo ejecutar">
      <formula>NOT(ISERROR(SEARCH("No se pudo ejecutar",M212)))</formula>
    </cfRule>
    <cfRule type="containsText" dxfId="4820" priority="5109" operator="containsText" text="Pendiente">
      <formula>NOT(ISERROR(SEARCH("Pendiente",M212)))</formula>
    </cfRule>
    <cfRule type="containsText" dxfId="4819" priority="5110" operator="containsText" text="No Aplica">
      <formula>NOT(ISERROR(SEARCH("No Aplica",M212)))</formula>
    </cfRule>
    <cfRule type="containsText" dxfId="4818" priority="5111" operator="containsText" text="Fallido">
      <formula>NOT(ISERROR(SEARCH("Fallido",M212)))</formula>
    </cfRule>
    <cfRule type="containsText" dxfId="4817" priority="5112" operator="containsText" text="Éxitoso">
      <formula>NOT(ISERROR(SEARCH("Éxitoso",M212)))</formula>
    </cfRule>
  </conditionalFormatting>
  <conditionalFormatting sqref="G212">
    <cfRule type="containsText" dxfId="4816" priority="5105" operator="containsText" text="Bajo">
      <formula>NOT(ISERROR(SEARCH("Bajo",G212)))</formula>
    </cfRule>
    <cfRule type="containsText" dxfId="4815" priority="5106" operator="containsText" text="Medio">
      <formula>NOT(ISERROR(SEARCH("Medio",G212)))</formula>
    </cfRule>
    <cfRule type="containsText" dxfId="4814" priority="5107" operator="containsText" text="Alto">
      <formula>NOT(ISERROR(SEARCH("Alto",G212)))</formula>
    </cfRule>
  </conditionalFormatting>
  <conditionalFormatting sqref="N213">
    <cfRule type="containsText" dxfId="4813" priority="5100" operator="containsText" text="No se pudo ejecutar">
      <formula>NOT(ISERROR(SEARCH("No se pudo ejecutar",N213)))</formula>
    </cfRule>
    <cfRule type="containsText" dxfId="4812" priority="5101" operator="containsText" text="Pendiente">
      <formula>NOT(ISERROR(SEARCH("Pendiente",N213)))</formula>
    </cfRule>
    <cfRule type="containsText" dxfId="4811" priority="5102" operator="containsText" text="No Aplica">
      <formula>NOT(ISERROR(SEARCH("No Aplica",N213)))</formula>
    </cfRule>
    <cfRule type="containsText" dxfId="4810" priority="5103" operator="containsText" text="Fallido">
      <formula>NOT(ISERROR(SEARCH("Fallido",N213)))</formula>
    </cfRule>
    <cfRule type="containsText" dxfId="4809" priority="5104" operator="containsText" text="Éxitoso">
      <formula>NOT(ISERROR(SEARCH("Éxitoso",N213)))</formula>
    </cfRule>
  </conditionalFormatting>
  <conditionalFormatting sqref="O213">
    <cfRule type="containsText" dxfId="4808" priority="5095" operator="containsText" text="No se pudo ejecutar">
      <formula>NOT(ISERROR(SEARCH("No se pudo ejecutar",O213)))</formula>
    </cfRule>
    <cfRule type="containsText" dxfId="4807" priority="5096" operator="containsText" text="Pendiente">
      <formula>NOT(ISERROR(SEARCH("Pendiente",O213)))</formula>
    </cfRule>
    <cfRule type="containsText" dxfId="4806" priority="5097" operator="containsText" text="No Aplica">
      <formula>NOT(ISERROR(SEARCH("No Aplica",O213)))</formula>
    </cfRule>
    <cfRule type="containsText" dxfId="4805" priority="5098" operator="containsText" text="Fallido">
      <formula>NOT(ISERROR(SEARCH("Fallido",O213)))</formula>
    </cfRule>
    <cfRule type="containsText" dxfId="4804" priority="5099" operator="containsText" text="Éxitoso">
      <formula>NOT(ISERROR(SEARCH("Éxitoso",O213)))</formula>
    </cfRule>
  </conditionalFormatting>
  <conditionalFormatting sqref="P213">
    <cfRule type="containsText" dxfId="4803" priority="5090" operator="containsText" text="No se pudo ejecutar">
      <formula>NOT(ISERROR(SEARCH("No se pudo ejecutar",P213)))</formula>
    </cfRule>
    <cfRule type="containsText" dxfId="4802" priority="5091" operator="containsText" text="Pendiente">
      <formula>NOT(ISERROR(SEARCH("Pendiente",P213)))</formula>
    </cfRule>
    <cfRule type="containsText" dxfId="4801" priority="5092" operator="containsText" text="No Aplica">
      <formula>NOT(ISERROR(SEARCH("No Aplica",P213)))</formula>
    </cfRule>
    <cfRule type="containsText" dxfId="4800" priority="5093" operator="containsText" text="Fallido">
      <formula>NOT(ISERROR(SEARCH("Fallido",P213)))</formula>
    </cfRule>
    <cfRule type="containsText" dxfId="4799" priority="5094" operator="containsText" text="Éxitoso">
      <formula>NOT(ISERROR(SEARCH("Éxitoso",P213)))</formula>
    </cfRule>
  </conditionalFormatting>
  <conditionalFormatting sqref="Q213">
    <cfRule type="containsText" dxfId="4798" priority="5085" operator="containsText" text="No se pudo ejecutar">
      <formula>NOT(ISERROR(SEARCH("No se pudo ejecutar",Q213)))</formula>
    </cfRule>
    <cfRule type="containsText" dxfId="4797" priority="5086" operator="containsText" text="Pendiente">
      <formula>NOT(ISERROR(SEARCH("Pendiente",Q213)))</formula>
    </cfRule>
    <cfRule type="containsText" dxfId="4796" priority="5087" operator="containsText" text="No Aplica">
      <formula>NOT(ISERROR(SEARCH("No Aplica",Q213)))</formula>
    </cfRule>
    <cfRule type="containsText" dxfId="4795" priority="5088" operator="containsText" text="Fallido">
      <formula>NOT(ISERROR(SEARCH("Fallido",Q213)))</formula>
    </cfRule>
    <cfRule type="containsText" dxfId="4794" priority="5089" operator="containsText" text="Éxitoso">
      <formula>NOT(ISERROR(SEARCH("Éxitoso",Q213)))</formula>
    </cfRule>
  </conditionalFormatting>
  <conditionalFormatting sqref="R213">
    <cfRule type="containsText" dxfId="4793" priority="5080" operator="containsText" text="No se pudo ejecutar">
      <formula>NOT(ISERROR(SEARCH("No se pudo ejecutar",R213)))</formula>
    </cfRule>
    <cfRule type="containsText" dxfId="4792" priority="5081" operator="containsText" text="Pendiente">
      <formula>NOT(ISERROR(SEARCH("Pendiente",R213)))</formula>
    </cfRule>
    <cfRule type="containsText" dxfId="4791" priority="5082" operator="containsText" text="No Aplica">
      <formula>NOT(ISERROR(SEARCH("No Aplica",R213)))</formula>
    </cfRule>
    <cfRule type="containsText" dxfId="4790" priority="5083" operator="containsText" text="Fallido">
      <formula>NOT(ISERROR(SEARCH("Fallido",R213)))</formula>
    </cfRule>
    <cfRule type="containsText" dxfId="4789" priority="5084" operator="containsText" text="Éxitoso">
      <formula>NOT(ISERROR(SEARCH("Éxitoso",R213)))</formula>
    </cfRule>
  </conditionalFormatting>
  <conditionalFormatting sqref="S213">
    <cfRule type="containsText" dxfId="4788" priority="5075" operator="containsText" text="No se pudo ejecutar">
      <formula>NOT(ISERROR(SEARCH("No se pudo ejecutar",S213)))</formula>
    </cfRule>
    <cfRule type="containsText" dxfId="4787" priority="5076" operator="containsText" text="Pendiente">
      <formula>NOT(ISERROR(SEARCH("Pendiente",S213)))</formula>
    </cfRule>
    <cfRule type="containsText" dxfId="4786" priority="5077" operator="containsText" text="No Aplica">
      <formula>NOT(ISERROR(SEARCH("No Aplica",S213)))</formula>
    </cfRule>
    <cfRule type="containsText" dxfId="4785" priority="5078" operator="containsText" text="Fallido">
      <formula>NOT(ISERROR(SEARCH("Fallido",S213)))</formula>
    </cfRule>
    <cfRule type="containsText" dxfId="4784" priority="5079" operator="containsText" text="Éxitoso">
      <formula>NOT(ISERROR(SEARCH("Éxitoso",S213)))</formula>
    </cfRule>
  </conditionalFormatting>
  <conditionalFormatting sqref="T213">
    <cfRule type="containsText" dxfId="4783" priority="5070" operator="containsText" text="No se pudo ejecutar">
      <formula>NOT(ISERROR(SEARCH("No se pudo ejecutar",T213)))</formula>
    </cfRule>
    <cfRule type="containsText" dxfId="4782" priority="5071" operator="containsText" text="Pendiente">
      <formula>NOT(ISERROR(SEARCH("Pendiente",T213)))</formula>
    </cfRule>
    <cfRule type="containsText" dxfId="4781" priority="5072" operator="containsText" text="No Aplica">
      <formula>NOT(ISERROR(SEARCH("No Aplica",T213)))</formula>
    </cfRule>
    <cfRule type="containsText" dxfId="4780" priority="5073" operator="containsText" text="Fallido">
      <formula>NOT(ISERROR(SEARCH("Fallido",T213)))</formula>
    </cfRule>
    <cfRule type="containsText" dxfId="4779" priority="5074" operator="containsText" text="Éxitoso">
      <formula>NOT(ISERROR(SEARCH("Éxitoso",T213)))</formula>
    </cfRule>
  </conditionalFormatting>
  <conditionalFormatting sqref="U213">
    <cfRule type="containsText" dxfId="4778" priority="5065" operator="containsText" text="No se pudo ejecutar">
      <formula>NOT(ISERROR(SEARCH("No se pudo ejecutar",U213)))</formula>
    </cfRule>
    <cfRule type="containsText" dxfId="4777" priority="5066" operator="containsText" text="Pendiente">
      <formula>NOT(ISERROR(SEARCH("Pendiente",U213)))</formula>
    </cfRule>
    <cfRule type="containsText" dxfId="4776" priority="5067" operator="containsText" text="No Aplica">
      <formula>NOT(ISERROR(SEARCH("No Aplica",U213)))</formula>
    </cfRule>
    <cfRule type="containsText" dxfId="4775" priority="5068" operator="containsText" text="Fallido">
      <formula>NOT(ISERROR(SEARCH("Fallido",U213)))</formula>
    </cfRule>
    <cfRule type="containsText" dxfId="4774" priority="5069" operator="containsText" text="Éxitoso">
      <formula>NOT(ISERROR(SEARCH("Éxitoso",U213)))</formula>
    </cfRule>
  </conditionalFormatting>
  <conditionalFormatting sqref="V213">
    <cfRule type="containsText" dxfId="4773" priority="5060" operator="containsText" text="No se pudo ejecutar">
      <formula>NOT(ISERROR(SEARCH("No se pudo ejecutar",V213)))</formula>
    </cfRule>
    <cfRule type="containsText" dxfId="4772" priority="5061" operator="containsText" text="Pendiente">
      <formula>NOT(ISERROR(SEARCH("Pendiente",V213)))</formula>
    </cfRule>
    <cfRule type="containsText" dxfId="4771" priority="5062" operator="containsText" text="No Aplica">
      <formula>NOT(ISERROR(SEARCH("No Aplica",V213)))</formula>
    </cfRule>
    <cfRule type="containsText" dxfId="4770" priority="5063" operator="containsText" text="Fallido">
      <formula>NOT(ISERROR(SEARCH("Fallido",V213)))</formula>
    </cfRule>
    <cfRule type="containsText" dxfId="4769" priority="5064" operator="containsText" text="Éxitoso">
      <formula>NOT(ISERROR(SEARCH("Éxitoso",V213)))</formula>
    </cfRule>
  </conditionalFormatting>
  <conditionalFormatting sqref="W213">
    <cfRule type="containsText" dxfId="4768" priority="5055" operator="containsText" text="No se pudo ejecutar">
      <formula>NOT(ISERROR(SEARCH("No se pudo ejecutar",W213)))</formula>
    </cfRule>
    <cfRule type="containsText" dxfId="4767" priority="5056" operator="containsText" text="Pendiente">
      <formula>NOT(ISERROR(SEARCH("Pendiente",W213)))</formula>
    </cfRule>
    <cfRule type="containsText" dxfId="4766" priority="5057" operator="containsText" text="No Aplica">
      <formula>NOT(ISERROR(SEARCH("No Aplica",W213)))</formula>
    </cfRule>
    <cfRule type="containsText" dxfId="4765" priority="5058" operator="containsText" text="Fallido">
      <formula>NOT(ISERROR(SEARCH("Fallido",W213)))</formula>
    </cfRule>
    <cfRule type="containsText" dxfId="4764" priority="5059" operator="containsText" text="Éxitoso">
      <formula>NOT(ISERROR(SEARCH("Éxitoso",W213)))</formula>
    </cfRule>
  </conditionalFormatting>
  <conditionalFormatting sqref="M213">
    <cfRule type="containsText" dxfId="4763" priority="5050" operator="containsText" text="No se pudo ejecutar">
      <formula>NOT(ISERROR(SEARCH("No se pudo ejecutar",M213)))</formula>
    </cfRule>
    <cfRule type="containsText" dxfId="4762" priority="5051" operator="containsText" text="Pendiente">
      <formula>NOT(ISERROR(SEARCH("Pendiente",M213)))</formula>
    </cfRule>
    <cfRule type="containsText" dxfId="4761" priority="5052" operator="containsText" text="No Aplica">
      <formula>NOT(ISERROR(SEARCH("No Aplica",M213)))</formula>
    </cfRule>
    <cfRule type="containsText" dxfId="4760" priority="5053" operator="containsText" text="Fallido">
      <formula>NOT(ISERROR(SEARCH("Fallido",M213)))</formula>
    </cfRule>
    <cfRule type="containsText" dxfId="4759" priority="5054" operator="containsText" text="Éxitoso">
      <formula>NOT(ISERROR(SEARCH("Éxitoso",M213)))</formula>
    </cfRule>
  </conditionalFormatting>
  <conditionalFormatting sqref="G213">
    <cfRule type="containsText" dxfId="4758" priority="5047" operator="containsText" text="Bajo">
      <formula>NOT(ISERROR(SEARCH("Bajo",G213)))</formula>
    </cfRule>
    <cfRule type="containsText" dxfId="4757" priority="5048" operator="containsText" text="Medio">
      <formula>NOT(ISERROR(SEARCH("Medio",G213)))</formula>
    </cfRule>
    <cfRule type="containsText" dxfId="4756" priority="5049" operator="containsText" text="Alto">
      <formula>NOT(ISERROR(SEARCH("Alto",G213)))</formula>
    </cfRule>
  </conditionalFormatting>
  <conditionalFormatting sqref="N214">
    <cfRule type="containsText" dxfId="4755" priority="5042" operator="containsText" text="No se pudo ejecutar">
      <formula>NOT(ISERROR(SEARCH("No se pudo ejecutar",N214)))</formula>
    </cfRule>
    <cfRule type="containsText" dxfId="4754" priority="5043" operator="containsText" text="Pendiente">
      <formula>NOT(ISERROR(SEARCH("Pendiente",N214)))</formula>
    </cfRule>
    <cfRule type="containsText" dxfId="4753" priority="5044" operator="containsText" text="No Aplica">
      <formula>NOT(ISERROR(SEARCH("No Aplica",N214)))</formula>
    </cfRule>
    <cfRule type="containsText" dxfId="4752" priority="5045" operator="containsText" text="Fallido">
      <formula>NOT(ISERROR(SEARCH("Fallido",N214)))</formula>
    </cfRule>
    <cfRule type="containsText" dxfId="4751" priority="5046" operator="containsText" text="Éxitoso">
      <formula>NOT(ISERROR(SEARCH("Éxitoso",N214)))</formula>
    </cfRule>
  </conditionalFormatting>
  <conditionalFormatting sqref="O214">
    <cfRule type="containsText" dxfId="4750" priority="5037" operator="containsText" text="No se pudo ejecutar">
      <formula>NOT(ISERROR(SEARCH("No se pudo ejecutar",O214)))</formula>
    </cfRule>
    <cfRule type="containsText" dxfId="4749" priority="5038" operator="containsText" text="Pendiente">
      <formula>NOT(ISERROR(SEARCH("Pendiente",O214)))</formula>
    </cfRule>
    <cfRule type="containsText" dxfId="4748" priority="5039" operator="containsText" text="No Aplica">
      <formula>NOT(ISERROR(SEARCH("No Aplica",O214)))</formula>
    </cfRule>
    <cfRule type="containsText" dxfId="4747" priority="5040" operator="containsText" text="Fallido">
      <formula>NOT(ISERROR(SEARCH("Fallido",O214)))</formula>
    </cfRule>
    <cfRule type="containsText" dxfId="4746" priority="5041" operator="containsText" text="Éxitoso">
      <formula>NOT(ISERROR(SEARCH("Éxitoso",O214)))</formula>
    </cfRule>
  </conditionalFormatting>
  <conditionalFormatting sqref="P214">
    <cfRule type="containsText" dxfId="4745" priority="5032" operator="containsText" text="No se pudo ejecutar">
      <formula>NOT(ISERROR(SEARCH("No se pudo ejecutar",P214)))</formula>
    </cfRule>
    <cfRule type="containsText" dxfId="4744" priority="5033" operator="containsText" text="Pendiente">
      <formula>NOT(ISERROR(SEARCH("Pendiente",P214)))</formula>
    </cfRule>
    <cfRule type="containsText" dxfId="4743" priority="5034" operator="containsText" text="No Aplica">
      <formula>NOT(ISERROR(SEARCH("No Aplica",P214)))</formula>
    </cfRule>
    <cfRule type="containsText" dxfId="4742" priority="5035" operator="containsText" text="Fallido">
      <formula>NOT(ISERROR(SEARCH("Fallido",P214)))</formula>
    </cfRule>
    <cfRule type="containsText" dxfId="4741" priority="5036" operator="containsText" text="Éxitoso">
      <formula>NOT(ISERROR(SEARCH("Éxitoso",P214)))</formula>
    </cfRule>
  </conditionalFormatting>
  <conditionalFormatting sqref="Q214">
    <cfRule type="containsText" dxfId="4740" priority="5027" operator="containsText" text="No se pudo ejecutar">
      <formula>NOT(ISERROR(SEARCH("No se pudo ejecutar",Q214)))</formula>
    </cfRule>
    <cfRule type="containsText" dxfId="4739" priority="5028" operator="containsText" text="Pendiente">
      <formula>NOT(ISERROR(SEARCH("Pendiente",Q214)))</formula>
    </cfRule>
    <cfRule type="containsText" dxfId="4738" priority="5029" operator="containsText" text="No Aplica">
      <formula>NOT(ISERROR(SEARCH("No Aplica",Q214)))</formula>
    </cfRule>
    <cfRule type="containsText" dxfId="4737" priority="5030" operator="containsText" text="Fallido">
      <formula>NOT(ISERROR(SEARCH("Fallido",Q214)))</formula>
    </cfRule>
    <cfRule type="containsText" dxfId="4736" priority="5031" operator="containsText" text="Éxitoso">
      <formula>NOT(ISERROR(SEARCH("Éxitoso",Q214)))</formula>
    </cfRule>
  </conditionalFormatting>
  <conditionalFormatting sqref="R214">
    <cfRule type="containsText" dxfId="4735" priority="5022" operator="containsText" text="No se pudo ejecutar">
      <formula>NOT(ISERROR(SEARCH("No se pudo ejecutar",R214)))</formula>
    </cfRule>
    <cfRule type="containsText" dxfId="4734" priority="5023" operator="containsText" text="Pendiente">
      <formula>NOT(ISERROR(SEARCH("Pendiente",R214)))</formula>
    </cfRule>
    <cfRule type="containsText" dxfId="4733" priority="5024" operator="containsText" text="No Aplica">
      <formula>NOT(ISERROR(SEARCH("No Aplica",R214)))</formula>
    </cfRule>
    <cfRule type="containsText" dxfId="4732" priority="5025" operator="containsText" text="Fallido">
      <formula>NOT(ISERROR(SEARCH("Fallido",R214)))</formula>
    </cfRule>
    <cfRule type="containsText" dxfId="4731" priority="5026" operator="containsText" text="Éxitoso">
      <formula>NOT(ISERROR(SEARCH("Éxitoso",R214)))</formula>
    </cfRule>
  </conditionalFormatting>
  <conditionalFormatting sqref="S214">
    <cfRule type="containsText" dxfId="4730" priority="5017" operator="containsText" text="No se pudo ejecutar">
      <formula>NOT(ISERROR(SEARCH("No se pudo ejecutar",S214)))</formula>
    </cfRule>
    <cfRule type="containsText" dxfId="4729" priority="5018" operator="containsText" text="Pendiente">
      <formula>NOT(ISERROR(SEARCH("Pendiente",S214)))</formula>
    </cfRule>
    <cfRule type="containsText" dxfId="4728" priority="5019" operator="containsText" text="No Aplica">
      <formula>NOT(ISERROR(SEARCH("No Aplica",S214)))</formula>
    </cfRule>
    <cfRule type="containsText" dxfId="4727" priority="5020" operator="containsText" text="Fallido">
      <formula>NOT(ISERROR(SEARCH("Fallido",S214)))</formula>
    </cfRule>
    <cfRule type="containsText" dxfId="4726" priority="5021" operator="containsText" text="Éxitoso">
      <formula>NOT(ISERROR(SEARCH("Éxitoso",S214)))</formula>
    </cfRule>
  </conditionalFormatting>
  <conditionalFormatting sqref="T214">
    <cfRule type="containsText" dxfId="4725" priority="5012" operator="containsText" text="No se pudo ejecutar">
      <formula>NOT(ISERROR(SEARCH("No se pudo ejecutar",T214)))</formula>
    </cfRule>
    <cfRule type="containsText" dxfId="4724" priority="5013" operator="containsText" text="Pendiente">
      <formula>NOT(ISERROR(SEARCH("Pendiente",T214)))</formula>
    </cfRule>
    <cfRule type="containsText" dxfId="4723" priority="5014" operator="containsText" text="No Aplica">
      <formula>NOT(ISERROR(SEARCH("No Aplica",T214)))</formula>
    </cfRule>
    <cfRule type="containsText" dxfId="4722" priority="5015" operator="containsText" text="Fallido">
      <formula>NOT(ISERROR(SEARCH("Fallido",T214)))</formula>
    </cfRule>
    <cfRule type="containsText" dxfId="4721" priority="5016" operator="containsText" text="Éxitoso">
      <formula>NOT(ISERROR(SEARCH("Éxitoso",T214)))</formula>
    </cfRule>
  </conditionalFormatting>
  <conditionalFormatting sqref="U214">
    <cfRule type="containsText" dxfId="4720" priority="5007" operator="containsText" text="No se pudo ejecutar">
      <formula>NOT(ISERROR(SEARCH("No se pudo ejecutar",U214)))</formula>
    </cfRule>
    <cfRule type="containsText" dxfId="4719" priority="5008" operator="containsText" text="Pendiente">
      <formula>NOT(ISERROR(SEARCH("Pendiente",U214)))</formula>
    </cfRule>
    <cfRule type="containsText" dxfId="4718" priority="5009" operator="containsText" text="No Aplica">
      <formula>NOT(ISERROR(SEARCH("No Aplica",U214)))</formula>
    </cfRule>
    <cfRule type="containsText" dxfId="4717" priority="5010" operator="containsText" text="Fallido">
      <formula>NOT(ISERROR(SEARCH("Fallido",U214)))</formula>
    </cfRule>
    <cfRule type="containsText" dxfId="4716" priority="5011" operator="containsText" text="Éxitoso">
      <formula>NOT(ISERROR(SEARCH("Éxitoso",U214)))</formula>
    </cfRule>
  </conditionalFormatting>
  <conditionalFormatting sqref="V214">
    <cfRule type="containsText" dxfId="4715" priority="5002" operator="containsText" text="No se pudo ejecutar">
      <formula>NOT(ISERROR(SEARCH("No se pudo ejecutar",V214)))</formula>
    </cfRule>
    <cfRule type="containsText" dxfId="4714" priority="5003" operator="containsText" text="Pendiente">
      <formula>NOT(ISERROR(SEARCH("Pendiente",V214)))</formula>
    </cfRule>
    <cfRule type="containsText" dxfId="4713" priority="5004" operator="containsText" text="No Aplica">
      <formula>NOT(ISERROR(SEARCH("No Aplica",V214)))</formula>
    </cfRule>
    <cfRule type="containsText" dxfId="4712" priority="5005" operator="containsText" text="Fallido">
      <formula>NOT(ISERROR(SEARCH("Fallido",V214)))</formula>
    </cfRule>
    <cfRule type="containsText" dxfId="4711" priority="5006" operator="containsText" text="Éxitoso">
      <formula>NOT(ISERROR(SEARCH("Éxitoso",V214)))</formula>
    </cfRule>
  </conditionalFormatting>
  <conditionalFormatting sqref="W214">
    <cfRule type="containsText" dxfId="4710" priority="4997" operator="containsText" text="No se pudo ejecutar">
      <formula>NOT(ISERROR(SEARCH("No se pudo ejecutar",W214)))</formula>
    </cfRule>
    <cfRule type="containsText" dxfId="4709" priority="4998" operator="containsText" text="Pendiente">
      <formula>NOT(ISERROR(SEARCH("Pendiente",W214)))</formula>
    </cfRule>
    <cfRule type="containsText" dxfId="4708" priority="4999" operator="containsText" text="No Aplica">
      <formula>NOT(ISERROR(SEARCH("No Aplica",W214)))</formula>
    </cfRule>
    <cfRule type="containsText" dxfId="4707" priority="5000" operator="containsText" text="Fallido">
      <formula>NOT(ISERROR(SEARCH("Fallido",W214)))</formula>
    </cfRule>
    <cfRule type="containsText" dxfId="4706" priority="5001" operator="containsText" text="Éxitoso">
      <formula>NOT(ISERROR(SEARCH("Éxitoso",W214)))</formula>
    </cfRule>
  </conditionalFormatting>
  <conditionalFormatting sqref="M214">
    <cfRule type="containsText" dxfId="4705" priority="4992" operator="containsText" text="No se pudo ejecutar">
      <formula>NOT(ISERROR(SEARCH("No se pudo ejecutar",M214)))</formula>
    </cfRule>
    <cfRule type="containsText" dxfId="4704" priority="4993" operator="containsText" text="Pendiente">
      <formula>NOT(ISERROR(SEARCH("Pendiente",M214)))</formula>
    </cfRule>
    <cfRule type="containsText" dxfId="4703" priority="4994" operator="containsText" text="No Aplica">
      <formula>NOT(ISERROR(SEARCH("No Aplica",M214)))</formula>
    </cfRule>
    <cfRule type="containsText" dxfId="4702" priority="4995" operator="containsText" text="Fallido">
      <formula>NOT(ISERROR(SEARCH("Fallido",M214)))</formula>
    </cfRule>
    <cfRule type="containsText" dxfId="4701" priority="4996" operator="containsText" text="Éxitoso">
      <formula>NOT(ISERROR(SEARCH("Éxitoso",M214)))</formula>
    </cfRule>
  </conditionalFormatting>
  <conditionalFormatting sqref="G214">
    <cfRule type="containsText" dxfId="4700" priority="4989" operator="containsText" text="Bajo">
      <formula>NOT(ISERROR(SEARCH("Bajo",G214)))</formula>
    </cfRule>
    <cfRule type="containsText" dxfId="4699" priority="4990" operator="containsText" text="Medio">
      <formula>NOT(ISERROR(SEARCH("Medio",G214)))</formula>
    </cfRule>
    <cfRule type="containsText" dxfId="4698" priority="4991" operator="containsText" text="Alto">
      <formula>NOT(ISERROR(SEARCH("Alto",G214)))</formula>
    </cfRule>
  </conditionalFormatting>
  <conditionalFormatting sqref="N215">
    <cfRule type="containsText" dxfId="4697" priority="4984" operator="containsText" text="No se pudo ejecutar">
      <formula>NOT(ISERROR(SEARCH("No se pudo ejecutar",N215)))</formula>
    </cfRule>
    <cfRule type="containsText" dxfId="4696" priority="4985" operator="containsText" text="Pendiente">
      <formula>NOT(ISERROR(SEARCH("Pendiente",N215)))</formula>
    </cfRule>
    <cfRule type="containsText" dxfId="4695" priority="4986" operator="containsText" text="No Aplica">
      <formula>NOT(ISERROR(SEARCH("No Aplica",N215)))</formula>
    </cfRule>
    <cfRule type="containsText" dxfId="4694" priority="4987" operator="containsText" text="Fallido">
      <formula>NOT(ISERROR(SEARCH("Fallido",N215)))</formula>
    </cfRule>
    <cfRule type="containsText" dxfId="4693" priority="4988" operator="containsText" text="Éxitoso">
      <formula>NOT(ISERROR(SEARCH("Éxitoso",N215)))</formula>
    </cfRule>
  </conditionalFormatting>
  <conditionalFormatting sqref="O215">
    <cfRule type="containsText" dxfId="4692" priority="4979" operator="containsText" text="No se pudo ejecutar">
      <formula>NOT(ISERROR(SEARCH("No se pudo ejecutar",O215)))</formula>
    </cfRule>
    <cfRule type="containsText" dxfId="4691" priority="4980" operator="containsText" text="Pendiente">
      <formula>NOT(ISERROR(SEARCH("Pendiente",O215)))</formula>
    </cfRule>
    <cfRule type="containsText" dxfId="4690" priority="4981" operator="containsText" text="No Aplica">
      <formula>NOT(ISERROR(SEARCH("No Aplica",O215)))</formula>
    </cfRule>
    <cfRule type="containsText" dxfId="4689" priority="4982" operator="containsText" text="Fallido">
      <formula>NOT(ISERROR(SEARCH("Fallido",O215)))</formula>
    </cfRule>
    <cfRule type="containsText" dxfId="4688" priority="4983" operator="containsText" text="Éxitoso">
      <formula>NOT(ISERROR(SEARCH("Éxitoso",O215)))</formula>
    </cfRule>
  </conditionalFormatting>
  <conditionalFormatting sqref="P215">
    <cfRule type="containsText" dxfId="4687" priority="4974" operator="containsText" text="No se pudo ejecutar">
      <formula>NOT(ISERROR(SEARCH("No se pudo ejecutar",P215)))</formula>
    </cfRule>
    <cfRule type="containsText" dxfId="4686" priority="4975" operator="containsText" text="Pendiente">
      <formula>NOT(ISERROR(SEARCH("Pendiente",P215)))</formula>
    </cfRule>
    <cfRule type="containsText" dxfId="4685" priority="4976" operator="containsText" text="No Aplica">
      <formula>NOT(ISERROR(SEARCH("No Aplica",P215)))</formula>
    </cfRule>
    <cfRule type="containsText" dxfId="4684" priority="4977" operator="containsText" text="Fallido">
      <formula>NOT(ISERROR(SEARCH("Fallido",P215)))</formula>
    </cfRule>
    <cfRule type="containsText" dxfId="4683" priority="4978" operator="containsText" text="Éxitoso">
      <formula>NOT(ISERROR(SEARCH("Éxitoso",P215)))</formula>
    </cfRule>
  </conditionalFormatting>
  <conditionalFormatting sqref="Q215">
    <cfRule type="containsText" dxfId="4682" priority="4969" operator="containsText" text="No se pudo ejecutar">
      <formula>NOT(ISERROR(SEARCH("No se pudo ejecutar",Q215)))</formula>
    </cfRule>
    <cfRule type="containsText" dxfId="4681" priority="4970" operator="containsText" text="Pendiente">
      <formula>NOT(ISERROR(SEARCH("Pendiente",Q215)))</formula>
    </cfRule>
    <cfRule type="containsText" dxfId="4680" priority="4971" operator="containsText" text="No Aplica">
      <formula>NOT(ISERROR(SEARCH("No Aplica",Q215)))</formula>
    </cfRule>
    <cfRule type="containsText" dxfId="4679" priority="4972" operator="containsText" text="Fallido">
      <formula>NOT(ISERROR(SEARCH("Fallido",Q215)))</formula>
    </cfRule>
    <cfRule type="containsText" dxfId="4678" priority="4973" operator="containsText" text="Éxitoso">
      <formula>NOT(ISERROR(SEARCH("Éxitoso",Q215)))</formula>
    </cfRule>
  </conditionalFormatting>
  <conditionalFormatting sqref="R215">
    <cfRule type="containsText" dxfId="4677" priority="4964" operator="containsText" text="No se pudo ejecutar">
      <formula>NOT(ISERROR(SEARCH("No se pudo ejecutar",R215)))</formula>
    </cfRule>
    <cfRule type="containsText" dxfId="4676" priority="4965" operator="containsText" text="Pendiente">
      <formula>NOT(ISERROR(SEARCH("Pendiente",R215)))</formula>
    </cfRule>
    <cfRule type="containsText" dxfId="4675" priority="4966" operator="containsText" text="No Aplica">
      <formula>NOT(ISERROR(SEARCH("No Aplica",R215)))</formula>
    </cfRule>
    <cfRule type="containsText" dxfId="4674" priority="4967" operator="containsText" text="Fallido">
      <formula>NOT(ISERROR(SEARCH("Fallido",R215)))</formula>
    </cfRule>
    <cfRule type="containsText" dxfId="4673" priority="4968" operator="containsText" text="Éxitoso">
      <formula>NOT(ISERROR(SEARCH("Éxitoso",R215)))</formula>
    </cfRule>
  </conditionalFormatting>
  <conditionalFormatting sqref="S215">
    <cfRule type="containsText" dxfId="4672" priority="4959" operator="containsText" text="No se pudo ejecutar">
      <formula>NOT(ISERROR(SEARCH("No se pudo ejecutar",S215)))</formula>
    </cfRule>
    <cfRule type="containsText" dxfId="4671" priority="4960" operator="containsText" text="Pendiente">
      <formula>NOT(ISERROR(SEARCH("Pendiente",S215)))</formula>
    </cfRule>
    <cfRule type="containsText" dxfId="4670" priority="4961" operator="containsText" text="No Aplica">
      <formula>NOT(ISERROR(SEARCH("No Aplica",S215)))</formula>
    </cfRule>
    <cfRule type="containsText" dxfId="4669" priority="4962" operator="containsText" text="Fallido">
      <formula>NOT(ISERROR(SEARCH("Fallido",S215)))</formula>
    </cfRule>
    <cfRule type="containsText" dxfId="4668" priority="4963" operator="containsText" text="Éxitoso">
      <formula>NOT(ISERROR(SEARCH("Éxitoso",S215)))</formula>
    </cfRule>
  </conditionalFormatting>
  <conditionalFormatting sqref="T215">
    <cfRule type="containsText" dxfId="4667" priority="4954" operator="containsText" text="No se pudo ejecutar">
      <formula>NOT(ISERROR(SEARCH("No se pudo ejecutar",T215)))</formula>
    </cfRule>
    <cfRule type="containsText" dxfId="4666" priority="4955" operator="containsText" text="Pendiente">
      <formula>NOT(ISERROR(SEARCH("Pendiente",T215)))</formula>
    </cfRule>
    <cfRule type="containsText" dxfId="4665" priority="4956" operator="containsText" text="No Aplica">
      <formula>NOT(ISERROR(SEARCH("No Aplica",T215)))</formula>
    </cfRule>
    <cfRule type="containsText" dxfId="4664" priority="4957" operator="containsText" text="Fallido">
      <formula>NOT(ISERROR(SEARCH("Fallido",T215)))</formula>
    </cfRule>
    <cfRule type="containsText" dxfId="4663" priority="4958" operator="containsText" text="Éxitoso">
      <formula>NOT(ISERROR(SEARCH("Éxitoso",T215)))</formula>
    </cfRule>
  </conditionalFormatting>
  <conditionalFormatting sqref="U215">
    <cfRule type="containsText" dxfId="4662" priority="4949" operator="containsText" text="No se pudo ejecutar">
      <formula>NOT(ISERROR(SEARCH("No se pudo ejecutar",U215)))</formula>
    </cfRule>
    <cfRule type="containsText" dxfId="4661" priority="4950" operator="containsText" text="Pendiente">
      <formula>NOT(ISERROR(SEARCH("Pendiente",U215)))</formula>
    </cfRule>
    <cfRule type="containsText" dxfId="4660" priority="4951" operator="containsText" text="No Aplica">
      <formula>NOT(ISERROR(SEARCH("No Aplica",U215)))</formula>
    </cfRule>
    <cfRule type="containsText" dxfId="4659" priority="4952" operator="containsText" text="Fallido">
      <formula>NOT(ISERROR(SEARCH("Fallido",U215)))</formula>
    </cfRule>
    <cfRule type="containsText" dxfId="4658" priority="4953" operator="containsText" text="Éxitoso">
      <formula>NOT(ISERROR(SEARCH("Éxitoso",U215)))</formula>
    </cfRule>
  </conditionalFormatting>
  <conditionalFormatting sqref="V215">
    <cfRule type="containsText" dxfId="4657" priority="4944" operator="containsText" text="No se pudo ejecutar">
      <formula>NOT(ISERROR(SEARCH("No se pudo ejecutar",V215)))</formula>
    </cfRule>
    <cfRule type="containsText" dxfId="4656" priority="4945" operator="containsText" text="Pendiente">
      <formula>NOT(ISERROR(SEARCH("Pendiente",V215)))</formula>
    </cfRule>
    <cfRule type="containsText" dxfId="4655" priority="4946" operator="containsText" text="No Aplica">
      <formula>NOT(ISERROR(SEARCH("No Aplica",V215)))</formula>
    </cfRule>
    <cfRule type="containsText" dxfId="4654" priority="4947" operator="containsText" text="Fallido">
      <formula>NOT(ISERROR(SEARCH("Fallido",V215)))</formula>
    </cfRule>
    <cfRule type="containsText" dxfId="4653" priority="4948" operator="containsText" text="Éxitoso">
      <formula>NOT(ISERROR(SEARCH("Éxitoso",V215)))</formula>
    </cfRule>
  </conditionalFormatting>
  <conditionalFormatting sqref="W215">
    <cfRule type="containsText" dxfId="4652" priority="4939" operator="containsText" text="No se pudo ejecutar">
      <formula>NOT(ISERROR(SEARCH("No se pudo ejecutar",W215)))</formula>
    </cfRule>
    <cfRule type="containsText" dxfId="4651" priority="4940" operator="containsText" text="Pendiente">
      <formula>NOT(ISERROR(SEARCH("Pendiente",W215)))</formula>
    </cfRule>
    <cfRule type="containsText" dxfId="4650" priority="4941" operator="containsText" text="No Aplica">
      <formula>NOT(ISERROR(SEARCH("No Aplica",W215)))</formula>
    </cfRule>
    <cfRule type="containsText" dxfId="4649" priority="4942" operator="containsText" text="Fallido">
      <formula>NOT(ISERROR(SEARCH("Fallido",W215)))</formula>
    </cfRule>
    <cfRule type="containsText" dxfId="4648" priority="4943" operator="containsText" text="Éxitoso">
      <formula>NOT(ISERROR(SEARCH("Éxitoso",W215)))</formula>
    </cfRule>
  </conditionalFormatting>
  <conditionalFormatting sqref="M215">
    <cfRule type="containsText" dxfId="4647" priority="4934" operator="containsText" text="No se pudo ejecutar">
      <formula>NOT(ISERROR(SEARCH("No se pudo ejecutar",M215)))</formula>
    </cfRule>
    <cfRule type="containsText" dxfId="4646" priority="4935" operator="containsText" text="Pendiente">
      <formula>NOT(ISERROR(SEARCH("Pendiente",M215)))</formula>
    </cfRule>
    <cfRule type="containsText" dxfId="4645" priority="4936" operator="containsText" text="No Aplica">
      <formula>NOT(ISERROR(SEARCH("No Aplica",M215)))</formula>
    </cfRule>
    <cfRule type="containsText" dxfId="4644" priority="4937" operator="containsText" text="Fallido">
      <formula>NOT(ISERROR(SEARCH("Fallido",M215)))</formula>
    </cfRule>
    <cfRule type="containsText" dxfId="4643" priority="4938" operator="containsText" text="Éxitoso">
      <formula>NOT(ISERROR(SEARCH("Éxitoso",M215)))</formula>
    </cfRule>
  </conditionalFormatting>
  <conditionalFormatting sqref="G215">
    <cfRule type="containsText" dxfId="4642" priority="4931" operator="containsText" text="Bajo">
      <formula>NOT(ISERROR(SEARCH("Bajo",G215)))</formula>
    </cfRule>
    <cfRule type="containsText" dxfId="4641" priority="4932" operator="containsText" text="Medio">
      <formula>NOT(ISERROR(SEARCH("Medio",G215)))</formula>
    </cfRule>
    <cfRule type="containsText" dxfId="4640" priority="4933" operator="containsText" text="Alto">
      <formula>NOT(ISERROR(SEARCH("Alto",G215)))</formula>
    </cfRule>
  </conditionalFormatting>
  <conditionalFormatting sqref="N216">
    <cfRule type="containsText" dxfId="4639" priority="4926" operator="containsText" text="No se pudo ejecutar">
      <formula>NOT(ISERROR(SEARCH("No se pudo ejecutar",N216)))</formula>
    </cfRule>
    <cfRule type="containsText" dxfId="4638" priority="4927" operator="containsText" text="Pendiente">
      <formula>NOT(ISERROR(SEARCH("Pendiente",N216)))</formula>
    </cfRule>
    <cfRule type="containsText" dxfId="4637" priority="4928" operator="containsText" text="No Aplica">
      <formula>NOT(ISERROR(SEARCH("No Aplica",N216)))</formula>
    </cfRule>
    <cfRule type="containsText" dxfId="4636" priority="4929" operator="containsText" text="Fallido">
      <formula>NOT(ISERROR(SEARCH("Fallido",N216)))</formula>
    </cfRule>
    <cfRule type="containsText" dxfId="4635" priority="4930" operator="containsText" text="Éxitoso">
      <formula>NOT(ISERROR(SEARCH("Éxitoso",N216)))</formula>
    </cfRule>
  </conditionalFormatting>
  <conditionalFormatting sqref="O216">
    <cfRule type="containsText" dxfId="4634" priority="4921" operator="containsText" text="No se pudo ejecutar">
      <formula>NOT(ISERROR(SEARCH("No se pudo ejecutar",O216)))</formula>
    </cfRule>
    <cfRule type="containsText" dxfId="4633" priority="4922" operator="containsText" text="Pendiente">
      <formula>NOT(ISERROR(SEARCH("Pendiente",O216)))</formula>
    </cfRule>
    <cfRule type="containsText" dxfId="4632" priority="4923" operator="containsText" text="No Aplica">
      <formula>NOT(ISERROR(SEARCH("No Aplica",O216)))</formula>
    </cfRule>
    <cfRule type="containsText" dxfId="4631" priority="4924" operator="containsText" text="Fallido">
      <formula>NOT(ISERROR(SEARCH("Fallido",O216)))</formula>
    </cfRule>
    <cfRule type="containsText" dxfId="4630" priority="4925" operator="containsText" text="Éxitoso">
      <formula>NOT(ISERROR(SEARCH("Éxitoso",O216)))</formula>
    </cfRule>
  </conditionalFormatting>
  <conditionalFormatting sqref="P216">
    <cfRule type="containsText" dxfId="4629" priority="4916" operator="containsText" text="No se pudo ejecutar">
      <formula>NOT(ISERROR(SEARCH("No se pudo ejecutar",P216)))</formula>
    </cfRule>
    <cfRule type="containsText" dxfId="4628" priority="4917" operator="containsText" text="Pendiente">
      <formula>NOT(ISERROR(SEARCH("Pendiente",P216)))</formula>
    </cfRule>
    <cfRule type="containsText" dxfId="4627" priority="4918" operator="containsText" text="No Aplica">
      <formula>NOT(ISERROR(SEARCH("No Aplica",P216)))</formula>
    </cfRule>
    <cfRule type="containsText" dxfId="4626" priority="4919" operator="containsText" text="Fallido">
      <formula>NOT(ISERROR(SEARCH("Fallido",P216)))</formula>
    </cfRule>
    <cfRule type="containsText" dxfId="4625" priority="4920" operator="containsText" text="Éxitoso">
      <formula>NOT(ISERROR(SEARCH("Éxitoso",P216)))</formula>
    </cfRule>
  </conditionalFormatting>
  <conditionalFormatting sqref="Q216">
    <cfRule type="containsText" dxfId="4624" priority="4911" operator="containsText" text="No se pudo ejecutar">
      <formula>NOT(ISERROR(SEARCH("No se pudo ejecutar",Q216)))</formula>
    </cfRule>
    <cfRule type="containsText" dxfId="4623" priority="4912" operator="containsText" text="Pendiente">
      <formula>NOT(ISERROR(SEARCH("Pendiente",Q216)))</formula>
    </cfRule>
    <cfRule type="containsText" dxfId="4622" priority="4913" operator="containsText" text="No Aplica">
      <formula>NOT(ISERROR(SEARCH("No Aplica",Q216)))</formula>
    </cfRule>
    <cfRule type="containsText" dxfId="4621" priority="4914" operator="containsText" text="Fallido">
      <formula>NOT(ISERROR(SEARCH("Fallido",Q216)))</formula>
    </cfRule>
    <cfRule type="containsText" dxfId="4620" priority="4915" operator="containsText" text="Éxitoso">
      <formula>NOT(ISERROR(SEARCH("Éxitoso",Q216)))</formula>
    </cfRule>
  </conditionalFormatting>
  <conditionalFormatting sqref="R216">
    <cfRule type="containsText" dxfId="4619" priority="4906" operator="containsText" text="No se pudo ejecutar">
      <formula>NOT(ISERROR(SEARCH("No se pudo ejecutar",R216)))</formula>
    </cfRule>
    <cfRule type="containsText" dxfId="4618" priority="4907" operator="containsText" text="Pendiente">
      <formula>NOT(ISERROR(SEARCH("Pendiente",R216)))</formula>
    </cfRule>
    <cfRule type="containsText" dxfId="4617" priority="4908" operator="containsText" text="No Aplica">
      <formula>NOT(ISERROR(SEARCH("No Aplica",R216)))</formula>
    </cfRule>
    <cfRule type="containsText" dxfId="4616" priority="4909" operator="containsText" text="Fallido">
      <formula>NOT(ISERROR(SEARCH("Fallido",R216)))</formula>
    </cfRule>
    <cfRule type="containsText" dxfId="4615" priority="4910" operator="containsText" text="Éxitoso">
      <formula>NOT(ISERROR(SEARCH("Éxitoso",R216)))</formula>
    </cfRule>
  </conditionalFormatting>
  <conditionalFormatting sqref="S216">
    <cfRule type="containsText" dxfId="4614" priority="4901" operator="containsText" text="No se pudo ejecutar">
      <formula>NOT(ISERROR(SEARCH("No se pudo ejecutar",S216)))</formula>
    </cfRule>
    <cfRule type="containsText" dxfId="4613" priority="4902" operator="containsText" text="Pendiente">
      <formula>NOT(ISERROR(SEARCH("Pendiente",S216)))</formula>
    </cfRule>
    <cfRule type="containsText" dxfId="4612" priority="4903" operator="containsText" text="No Aplica">
      <formula>NOT(ISERROR(SEARCH("No Aplica",S216)))</formula>
    </cfRule>
    <cfRule type="containsText" dxfId="4611" priority="4904" operator="containsText" text="Fallido">
      <formula>NOT(ISERROR(SEARCH("Fallido",S216)))</formula>
    </cfRule>
    <cfRule type="containsText" dxfId="4610" priority="4905" operator="containsText" text="Éxitoso">
      <formula>NOT(ISERROR(SEARCH("Éxitoso",S216)))</formula>
    </cfRule>
  </conditionalFormatting>
  <conditionalFormatting sqref="T216">
    <cfRule type="containsText" dxfId="4609" priority="4896" operator="containsText" text="No se pudo ejecutar">
      <formula>NOT(ISERROR(SEARCH("No se pudo ejecutar",T216)))</formula>
    </cfRule>
    <cfRule type="containsText" dxfId="4608" priority="4897" operator="containsText" text="Pendiente">
      <formula>NOT(ISERROR(SEARCH("Pendiente",T216)))</formula>
    </cfRule>
    <cfRule type="containsText" dxfId="4607" priority="4898" operator="containsText" text="No Aplica">
      <formula>NOT(ISERROR(SEARCH("No Aplica",T216)))</formula>
    </cfRule>
    <cfRule type="containsText" dxfId="4606" priority="4899" operator="containsText" text="Fallido">
      <formula>NOT(ISERROR(SEARCH("Fallido",T216)))</formula>
    </cfRule>
    <cfRule type="containsText" dxfId="4605" priority="4900" operator="containsText" text="Éxitoso">
      <formula>NOT(ISERROR(SEARCH("Éxitoso",T216)))</formula>
    </cfRule>
  </conditionalFormatting>
  <conditionalFormatting sqref="U216">
    <cfRule type="containsText" dxfId="4604" priority="4891" operator="containsText" text="No se pudo ejecutar">
      <formula>NOT(ISERROR(SEARCH("No se pudo ejecutar",U216)))</formula>
    </cfRule>
    <cfRule type="containsText" dxfId="4603" priority="4892" operator="containsText" text="Pendiente">
      <formula>NOT(ISERROR(SEARCH("Pendiente",U216)))</formula>
    </cfRule>
    <cfRule type="containsText" dxfId="4602" priority="4893" operator="containsText" text="No Aplica">
      <formula>NOT(ISERROR(SEARCH("No Aplica",U216)))</formula>
    </cfRule>
    <cfRule type="containsText" dxfId="4601" priority="4894" operator="containsText" text="Fallido">
      <formula>NOT(ISERROR(SEARCH("Fallido",U216)))</formula>
    </cfRule>
    <cfRule type="containsText" dxfId="4600" priority="4895" operator="containsText" text="Éxitoso">
      <formula>NOT(ISERROR(SEARCH("Éxitoso",U216)))</formula>
    </cfRule>
  </conditionalFormatting>
  <conditionalFormatting sqref="V216">
    <cfRule type="containsText" dxfId="4599" priority="4886" operator="containsText" text="No se pudo ejecutar">
      <formula>NOT(ISERROR(SEARCH("No se pudo ejecutar",V216)))</formula>
    </cfRule>
    <cfRule type="containsText" dxfId="4598" priority="4887" operator="containsText" text="Pendiente">
      <formula>NOT(ISERROR(SEARCH("Pendiente",V216)))</formula>
    </cfRule>
    <cfRule type="containsText" dxfId="4597" priority="4888" operator="containsText" text="No Aplica">
      <formula>NOT(ISERROR(SEARCH("No Aplica",V216)))</formula>
    </cfRule>
    <cfRule type="containsText" dxfId="4596" priority="4889" operator="containsText" text="Fallido">
      <formula>NOT(ISERROR(SEARCH("Fallido",V216)))</formula>
    </cfRule>
    <cfRule type="containsText" dxfId="4595" priority="4890" operator="containsText" text="Éxitoso">
      <formula>NOT(ISERROR(SEARCH("Éxitoso",V216)))</formula>
    </cfRule>
  </conditionalFormatting>
  <conditionalFormatting sqref="W216">
    <cfRule type="containsText" dxfId="4594" priority="4881" operator="containsText" text="No se pudo ejecutar">
      <formula>NOT(ISERROR(SEARCH("No se pudo ejecutar",W216)))</formula>
    </cfRule>
    <cfRule type="containsText" dxfId="4593" priority="4882" operator="containsText" text="Pendiente">
      <formula>NOT(ISERROR(SEARCH("Pendiente",W216)))</formula>
    </cfRule>
    <cfRule type="containsText" dxfId="4592" priority="4883" operator="containsText" text="No Aplica">
      <formula>NOT(ISERROR(SEARCH("No Aplica",W216)))</formula>
    </cfRule>
    <cfRule type="containsText" dxfId="4591" priority="4884" operator="containsText" text="Fallido">
      <formula>NOT(ISERROR(SEARCH("Fallido",W216)))</formula>
    </cfRule>
    <cfRule type="containsText" dxfId="4590" priority="4885" operator="containsText" text="Éxitoso">
      <formula>NOT(ISERROR(SEARCH("Éxitoso",W216)))</formula>
    </cfRule>
  </conditionalFormatting>
  <conditionalFormatting sqref="M216">
    <cfRule type="containsText" dxfId="4589" priority="4876" operator="containsText" text="No se pudo ejecutar">
      <formula>NOT(ISERROR(SEARCH("No se pudo ejecutar",M216)))</formula>
    </cfRule>
    <cfRule type="containsText" dxfId="4588" priority="4877" operator="containsText" text="Pendiente">
      <formula>NOT(ISERROR(SEARCH("Pendiente",M216)))</formula>
    </cfRule>
    <cfRule type="containsText" dxfId="4587" priority="4878" operator="containsText" text="No Aplica">
      <formula>NOT(ISERROR(SEARCH("No Aplica",M216)))</formula>
    </cfRule>
    <cfRule type="containsText" dxfId="4586" priority="4879" operator="containsText" text="Fallido">
      <formula>NOT(ISERROR(SEARCH("Fallido",M216)))</formula>
    </cfRule>
    <cfRule type="containsText" dxfId="4585" priority="4880" operator="containsText" text="Éxitoso">
      <formula>NOT(ISERROR(SEARCH("Éxitoso",M216)))</formula>
    </cfRule>
  </conditionalFormatting>
  <conditionalFormatting sqref="G216">
    <cfRule type="containsText" dxfId="4584" priority="4873" operator="containsText" text="Bajo">
      <formula>NOT(ISERROR(SEARCH("Bajo",G216)))</formula>
    </cfRule>
    <cfRule type="containsText" dxfId="4583" priority="4874" operator="containsText" text="Medio">
      <formula>NOT(ISERROR(SEARCH("Medio",G216)))</formula>
    </cfRule>
    <cfRule type="containsText" dxfId="4582" priority="4875" operator="containsText" text="Alto">
      <formula>NOT(ISERROR(SEARCH("Alto",G216)))</formula>
    </cfRule>
  </conditionalFormatting>
  <conditionalFormatting sqref="N217">
    <cfRule type="containsText" dxfId="4581" priority="4868" operator="containsText" text="No se pudo ejecutar">
      <formula>NOT(ISERROR(SEARCH("No se pudo ejecutar",N217)))</formula>
    </cfRule>
    <cfRule type="containsText" dxfId="4580" priority="4869" operator="containsText" text="Pendiente">
      <formula>NOT(ISERROR(SEARCH("Pendiente",N217)))</formula>
    </cfRule>
    <cfRule type="containsText" dxfId="4579" priority="4870" operator="containsText" text="No Aplica">
      <formula>NOT(ISERROR(SEARCH("No Aplica",N217)))</formula>
    </cfRule>
    <cfRule type="containsText" dxfId="4578" priority="4871" operator="containsText" text="Fallido">
      <formula>NOT(ISERROR(SEARCH("Fallido",N217)))</formula>
    </cfRule>
    <cfRule type="containsText" dxfId="4577" priority="4872" operator="containsText" text="Éxitoso">
      <formula>NOT(ISERROR(SEARCH("Éxitoso",N217)))</formula>
    </cfRule>
  </conditionalFormatting>
  <conditionalFormatting sqref="O217">
    <cfRule type="containsText" dxfId="4576" priority="4863" operator="containsText" text="No se pudo ejecutar">
      <formula>NOT(ISERROR(SEARCH("No se pudo ejecutar",O217)))</formula>
    </cfRule>
    <cfRule type="containsText" dxfId="4575" priority="4864" operator="containsText" text="Pendiente">
      <formula>NOT(ISERROR(SEARCH("Pendiente",O217)))</formula>
    </cfRule>
    <cfRule type="containsText" dxfId="4574" priority="4865" operator="containsText" text="No Aplica">
      <formula>NOT(ISERROR(SEARCH("No Aplica",O217)))</formula>
    </cfRule>
    <cfRule type="containsText" dxfId="4573" priority="4866" operator="containsText" text="Fallido">
      <formula>NOT(ISERROR(SEARCH("Fallido",O217)))</formula>
    </cfRule>
    <cfRule type="containsText" dxfId="4572" priority="4867" operator="containsText" text="Éxitoso">
      <formula>NOT(ISERROR(SEARCH("Éxitoso",O217)))</formula>
    </cfRule>
  </conditionalFormatting>
  <conditionalFormatting sqref="P217">
    <cfRule type="containsText" dxfId="4571" priority="4858" operator="containsText" text="No se pudo ejecutar">
      <formula>NOT(ISERROR(SEARCH("No se pudo ejecutar",P217)))</formula>
    </cfRule>
    <cfRule type="containsText" dxfId="4570" priority="4859" operator="containsText" text="Pendiente">
      <formula>NOT(ISERROR(SEARCH("Pendiente",P217)))</formula>
    </cfRule>
    <cfRule type="containsText" dxfId="4569" priority="4860" operator="containsText" text="No Aplica">
      <formula>NOT(ISERROR(SEARCH("No Aplica",P217)))</formula>
    </cfRule>
    <cfRule type="containsText" dxfId="4568" priority="4861" operator="containsText" text="Fallido">
      <formula>NOT(ISERROR(SEARCH("Fallido",P217)))</formula>
    </cfRule>
    <cfRule type="containsText" dxfId="4567" priority="4862" operator="containsText" text="Éxitoso">
      <formula>NOT(ISERROR(SEARCH("Éxitoso",P217)))</formula>
    </cfRule>
  </conditionalFormatting>
  <conditionalFormatting sqref="Q217">
    <cfRule type="containsText" dxfId="4566" priority="4853" operator="containsText" text="No se pudo ejecutar">
      <formula>NOT(ISERROR(SEARCH("No se pudo ejecutar",Q217)))</formula>
    </cfRule>
    <cfRule type="containsText" dxfId="4565" priority="4854" operator="containsText" text="Pendiente">
      <formula>NOT(ISERROR(SEARCH("Pendiente",Q217)))</formula>
    </cfRule>
    <cfRule type="containsText" dxfId="4564" priority="4855" operator="containsText" text="No Aplica">
      <formula>NOT(ISERROR(SEARCH("No Aplica",Q217)))</formula>
    </cfRule>
    <cfRule type="containsText" dxfId="4563" priority="4856" operator="containsText" text="Fallido">
      <formula>NOT(ISERROR(SEARCH("Fallido",Q217)))</formula>
    </cfRule>
    <cfRule type="containsText" dxfId="4562" priority="4857" operator="containsText" text="Éxitoso">
      <formula>NOT(ISERROR(SEARCH("Éxitoso",Q217)))</formula>
    </cfRule>
  </conditionalFormatting>
  <conditionalFormatting sqref="R217">
    <cfRule type="containsText" dxfId="4561" priority="4848" operator="containsText" text="No se pudo ejecutar">
      <formula>NOT(ISERROR(SEARCH("No se pudo ejecutar",R217)))</formula>
    </cfRule>
    <cfRule type="containsText" dxfId="4560" priority="4849" operator="containsText" text="Pendiente">
      <formula>NOT(ISERROR(SEARCH("Pendiente",R217)))</formula>
    </cfRule>
    <cfRule type="containsText" dxfId="4559" priority="4850" operator="containsText" text="No Aplica">
      <formula>NOT(ISERROR(SEARCH("No Aplica",R217)))</formula>
    </cfRule>
    <cfRule type="containsText" dxfId="4558" priority="4851" operator="containsText" text="Fallido">
      <formula>NOT(ISERROR(SEARCH("Fallido",R217)))</formula>
    </cfRule>
    <cfRule type="containsText" dxfId="4557" priority="4852" operator="containsText" text="Éxitoso">
      <formula>NOT(ISERROR(SEARCH("Éxitoso",R217)))</formula>
    </cfRule>
  </conditionalFormatting>
  <conditionalFormatting sqref="S217">
    <cfRule type="containsText" dxfId="4556" priority="4843" operator="containsText" text="No se pudo ejecutar">
      <formula>NOT(ISERROR(SEARCH("No se pudo ejecutar",S217)))</formula>
    </cfRule>
    <cfRule type="containsText" dxfId="4555" priority="4844" operator="containsText" text="Pendiente">
      <formula>NOT(ISERROR(SEARCH("Pendiente",S217)))</formula>
    </cfRule>
    <cfRule type="containsText" dxfId="4554" priority="4845" operator="containsText" text="No Aplica">
      <formula>NOT(ISERROR(SEARCH("No Aplica",S217)))</formula>
    </cfRule>
    <cfRule type="containsText" dxfId="4553" priority="4846" operator="containsText" text="Fallido">
      <formula>NOT(ISERROR(SEARCH("Fallido",S217)))</formula>
    </cfRule>
    <cfRule type="containsText" dxfId="4552" priority="4847" operator="containsText" text="Éxitoso">
      <formula>NOT(ISERROR(SEARCH("Éxitoso",S217)))</formula>
    </cfRule>
  </conditionalFormatting>
  <conditionalFormatting sqref="T217">
    <cfRule type="containsText" dxfId="4551" priority="4838" operator="containsText" text="No se pudo ejecutar">
      <formula>NOT(ISERROR(SEARCH("No se pudo ejecutar",T217)))</formula>
    </cfRule>
    <cfRule type="containsText" dxfId="4550" priority="4839" operator="containsText" text="Pendiente">
      <formula>NOT(ISERROR(SEARCH("Pendiente",T217)))</formula>
    </cfRule>
    <cfRule type="containsText" dxfId="4549" priority="4840" operator="containsText" text="No Aplica">
      <formula>NOT(ISERROR(SEARCH("No Aplica",T217)))</formula>
    </cfRule>
    <cfRule type="containsText" dxfId="4548" priority="4841" operator="containsText" text="Fallido">
      <formula>NOT(ISERROR(SEARCH("Fallido",T217)))</formula>
    </cfRule>
    <cfRule type="containsText" dxfId="4547" priority="4842" operator="containsText" text="Éxitoso">
      <formula>NOT(ISERROR(SEARCH("Éxitoso",T217)))</formula>
    </cfRule>
  </conditionalFormatting>
  <conditionalFormatting sqref="U217">
    <cfRule type="containsText" dxfId="4546" priority="4833" operator="containsText" text="No se pudo ejecutar">
      <formula>NOT(ISERROR(SEARCH("No se pudo ejecutar",U217)))</formula>
    </cfRule>
    <cfRule type="containsText" dxfId="4545" priority="4834" operator="containsText" text="Pendiente">
      <formula>NOT(ISERROR(SEARCH("Pendiente",U217)))</formula>
    </cfRule>
    <cfRule type="containsText" dxfId="4544" priority="4835" operator="containsText" text="No Aplica">
      <formula>NOT(ISERROR(SEARCH("No Aplica",U217)))</formula>
    </cfRule>
    <cfRule type="containsText" dxfId="4543" priority="4836" operator="containsText" text="Fallido">
      <formula>NOT(ISERROR(SEARCH("Fallido",U217)))</formula>
    </cfRule>
    <cfRule type="containsText" dxfId="4542" priority="4837" operator="containsText" text="Éxitoso">
      <formula>NOT(ISERROR(SEARCH("Éxitoso",U217)))</formula>
    </cfRule>
  </conditionalFormatting>
  <conditionalFormatting sqref="V217">
    <cfRule type="containsText" dxfId="4541" priority="4828" operator="containsText" text="No se pudo ejecutar">
      <formula>NOT(ISERROR(SEARCH("No se pudo ejecutar",V217)))</formula>
    </cfRule>
    <cfRule type="containsText" dxfId="4540" priority="4829" operator="containsText" text="Pendiente">
      <formula>NOT(ISERROR(SEARCH("Pendiente",V217)))</formula>
    </cfRule>
    <cfRule type="containsText" dxfId="4539" priority="4830" operator="containsText" text="No Aplica">
      <formula>NOT(ISERROR(SEARCH("No Aplica",V217)))</formula>
    </cfRule>
    <cfRule type="containsText" dxfId="4538" priority="4831" operator="containsText" text="Fallido">
      <formula>NOT(ISERROR(SEARCH("Fallido",V217)))</formula>
    </cfRule>
    <cfRule type="containsText" dxfId="4537" priority="4832" operator="containsText" text="Éxitoso">
      <formula>NOT(ISERROR(SEARCH("Éxitoso",V217)))</formula>
    </cfRule>
  </conditionalFormatting>
  <conditionalFormatting sqref="W217">
    <cfRule type="containsText" dxfId="4536" priority="4823" operator="containsText" text="No se pudo ejecutar">
      <formula>NOT(ISERROR(SEARCH("No se pudo ejecutar",W217)))</formula>
    </cfRule>
    <cfRule type="containsText" dxfId="4535" priority="4824" operator="containsText" text="Pendiente">
      <formula>NOT(ISERROR(SEARCH("Pendiente",W217)))</formula>
    </cfRule>
    <cfRule type="containsText" dxfId="4534" priority="4825" operator="containsText" text="No Aplica">
      <formula>NOT(ISERROR(SEARCH("No Aplica",W217)))</formula>
    </cfRule>
    <cfRule type="containsText" dxfId="4533" priority="4826" operator="containsText" text="Fallido">
      <formula>NOT(ISERROR(SEARCH("Fallido",W217)))</formula>
    </cfRule>
    <cfRule type="containsText" dxfId="4532" priority="4827" operator="containsText" text="Éxitoso">
      <formula>NOT(ISERROR(SEARCH("Éxitoso",W217)))</formula>
    </cfRule>
  </conditionalFormatting>
  <conditionalFormatting sqref="M217">
    <cfRule type="containsText" dxfId="4531" priority="4818" operator="containsText" text="No se pudo ejecutar">
      <formula>NOT(ISERROR(SEARCH("No se pudo ejecutar",M217)))</formula>
    </cfRule>
    <cfRule type="containsText" dxfId="4530" priority="4819" operator="containsText" text="Pendiente">
      <formula>NOT(ISERROR(SEARCH("Pendiente",M217)))</formula>
    </cfRule>
    <cfRule type="containsText" dxfId="4529" priority="4820" operator="containsText" text="No Aplica">
      <formula>NOT(ISERROR(SEARCH("No Aplica",M217)))</formula>
    </cfRule>
    <cfRule type="containsText" dxfId="4528" priority="4821" operator="containsText" text="Fallido">
      <formula>NOT(ISERROR(SEARCH("Fallido",M217)))</formula>
    </cfRule>
    <cfRule type="containsText" dxfId="4527" priority="4822" operator="containsText" text="Éxitoso">
      <formula>NOT(ISERROR(SEARCH("Éxitoso",M217)))</formula>
    </cfRule>
  </conditionalFormatting>
  <conditionalFormatting sqref="G217">
    <cfRule type="containsText" dxfId="4526" priority="4815" operator="containsText" text="Bajo">
      <formula>NOT(ISERROR(SEARCH("Bajo",G217)))</formula>
    </cfRule>
    <cfRule type="containsText" dxfId="4525" priority="4816" operator="containsText" text="Medio">
      <formula>NOT(ISERROR(SEARCH("Medio",G217)))</formula>
    </cfRule>
    <cfRule type="containsText" dxfId="4524" priority="4817" operator="containsText" text="Alto">
      <formula>NOT(ISERROR(SEARCH("Alto",G217)))</formula>
    </cfRule>
  </conditionalFormatting>
  <conditionalFormatting sqref="N218">
    <cfRule type="containsText" dxfId="4523" priority="4810" operator="containsText" text="No se pudo ejecutar">
      <formula>NOT(ISERROR(SEARCH("No se pudo ejecutar",N218)))</formula>
    </cfRule>
    <cfRule type="containsText" dxfId="4522" priority="4811" operator="containsText" text="Pendiente">
      <formula>NOT(ISERROR(SEARCH("Pendiente",N218)))</formula>
    </cfRule>
    <cfRule type="containsText" dxfId="4521" priority="4812" operator="containsText" text="No Aplica">
      <formula>NOT(ISERROR(SEARCH("No Aplica",N218)))</formula>
    </cfRule>
    <cfRule type="containsText" dxfId="4520" priority="4813" operator="containsText" text="Fallido">
      <formula>NOT(ISERROR(SEARCH("Fallido",N218)))</formula>
    </cfRule>
    <cfRule type="containsText" dxfId="4519" priority="4814" operator="containsText" text="Éxitoso">
      <formula>NOT(ISERROR(SEARCH("Éxitoso",N218)))</formula>
    </cfRule>
  </conditionalFormatting>
  <conditionalFormatting sqref="O218">
    <cfRule type="containsText" dxfId="4518" priority="4805" operator="containsText" text="No se pudo ejecutar">
      <formula>NOT(ISERROR(SEARCH("No se pudo ejecutar",O218)))</formula>
    </cfRule>
    <cfRule type="containsText" dxfId="4517" priority="4806" operator="containsText" text="Pendiente">
      <formula>NOT(ISERROR(SEARCH("Pendiente",O218)))</formula>
    </cfRule>
    <cfRule type="containsText" dxfId="4516" priority="4807" operator="containsText" text="No Aplica">
      <formula>NOT(ISERROR(SEARCH("No Aplica",O218)))</formula>
    </cfRule>
    <cfRule type="containsText" dxfId="4515" priority="4808" operator="containsText" text="Fallido">
      <formula>NOT(ISERROR(SEARCH("Fallido",O218)))</formula>
    </cfRule>
    <cfRule type="containsText" dxfId="4514" priority="4809" operator="containsText" text="Éxitoso">
      <formula>NOT(ISERROR(SEARCH("Éxitoso",O218)))</formula>
    </cfRule>
  </conditionalFormatting>
  <conditionalFormatting sqref="P218">
    <cfRule type="containsText" dxfId="4513" priority="4800" operator="containsText" text="No se pudo ejecutar">
      <formula>NOT(ISERROR(SEARCH("No se pudo ejecutar",P218)))</formula>
    </cfRule>
    <cfRule type="containsText" dxfId="4512" priority="4801" operator="containsText" text="Pendiente">
      <formula>NOT(ISERROR(SEARCH("Pendiente",P218)))</formula>
    </cfRule>
    <cfRule type="containsText" dxfId="4511" priority="4802" operator="containsText" text="No Aplica">
      <formula>NOT(ISERROR(SEARCH("No Aplica",P218)))</formula>
    </cfRule>
    <cfRule type="containsText" dxfId="4510" priority="4803" operator="containsText" text="Fallido">
      <formula>NOT(ISERROR(SEARCH("Fallido",P218)))</formula>
    </cfRule>
    <cfRule type="containsText" dxfId="4509" priority="4804" operator="containsText" text="Éxitoso">
      <formula>NOT(ISERROR(SEARCH("Éxitoso",P218)))</formula>
    </cfRule>
  </conditionalFormatting>
  <conditionalFormatting sqref="Q218">
    <cfRule type="containsText" dxfId="4508" priority="4795" operator="containsText" text="No se pudo ejecutar">
      <formula>NOT(ISERROR(SEARCH("No se pudo ejecutar",Q218)))</formula>
    </cfRule>
    <cfRule type="containsText" dxfId="4507" priority="4796" operator="containsText" text="Pendiente">
      <formula>NOT(ISERROR(SEARCH("Pendiente",Q218)))</formula>
    </cfRule>
    <cfRule type="containsText" dxfId="4506" priority="4797" operator="containsText" text="No Aplica">
      <formula>NOT(ISERROR(SEARCH("No Aplica",Q218)))</formula>
    </cfRule>
    <cfRule type="containsText" dxfId="4505" priority="4798" operator="containsText" text="Fallido">
      <formula>NOT(ISERROR(SEARCH("Fallido",Q218)))</formula>
    </cfRule>
    <cfRule type="containsText" dxfId="4504" priority="4799" operator="containsText" text="Éxitoso">
      <formula>NOT(ISERROR(SEARCH("Éxitoso",Q218)))</formula>
    </cfRule>
  </conditionalFormatting>
  <conditionalFormatting sqref="R218">
    <cfRule type="containsText" dxfId="4503" priority="4790" operator="containsText" text="No se pudo ejecutar">
      <formula>NOT(ISERROR(SEARCH("No se pudo ejecutar",R218)))</formula>
    </cfRule>
    <cfRule type="containsText" dxfId="4502" priority="4791" operator="containsText" text="Pendiente">
      <formula>NOT(ISERROR(SEARCH("Pendiente",R218)))</formula>
    </cfRule>
    <cfRule type="containsText" dxfId="4501" priority="4792" operator="containsText" text="No Aplica">
      <formula>NOT(ISERROR(SEARCH("No Aplica",R218)))</formula>
    </cfRule>
    <cfRule type="containsText" dxfId="4500" priority="4793" operator="containsText" text="Fallido">
      <formula>NOT(ISERROR(SEARCH("Fallido",R218)))</formula>
    </cfRule>
    <cfRule type="containsText" dxfId="4499" priority="4794" operator="containsText" text="Éxitoso">
      <formula>NOT(ISERROR(SEARCH("Éxitoso",R218)))</formula>
    </cfRule>
  </conditionalFormatting>
  <conditionalFormatting sqref="S218">
    <cfRule type="containsText" dxfId="4498" priority="4785" operator="containsText" text="No se pudo ejecutar">
      <formula>NOT(ISERROR(SEARCH("No se pudo ejecutar",S218)))</formula>
    </cfRule>
    <cfRule type="containsText" dxfId="4497" priority="4786" operator="containsText" text="Pendiente">
      <formula>NOT(ISERROR(SEARCH("Pendiente",S218)))</formula>
    </cfRule>
    <cfRule type="containsText" dxfId="4496" priority="4787" operator="containsText" text="No Aplica">
      <formula>NOT(ISERROR(SEARCH("No Aplica",S218)))</formula>
    </cfRule>
    <cfRule type="containsText" dxfId="4495" priority="4788" operator="containsText" text="Fallido">
      <formula>NOT(ISERROR(SEARCH("Fallido",S218)))</formula>
    </cfRule>
    <cfRule type="containsText" dxfId="4494" priority="4789" operator="containsText" text="Éxitoso">
      <formula>NOT(ISERROR(SEARCH("Éxitoso",S218)))</formula>
    </cfRule>
  </conditionalFormatting>
  <conditionalFormatting sqref="T218">
    <cfRule type="containsText" dxfId="4493" priority="4780" operator="containsText" text="No se pudo ejecutar">
      <formula>NOT(ISERROR(SEARCH("No se pudo ejecutar",T218)))</formula>
    </cfRule>
    <cfRule type="containsText" dxfId="4492" priority="4781" operator="containsText" text="Pendiente">
      <formula>NOT(ISERROR(SEARCH("Pendiente",T218)))</formula>
    </cfRule>
    <cfRule type="containsText" dxfId="4491" priority="4782" operator="containsText" text="No Aplica">
      <formula>NOT(ISERROR(SEARCH("No Aplica",T218)))</formula>
    </cfRule>
    <cfRule type="containsText" dxfId="4490" priority="4783" operator="containsText" text="Fallido">
      <formula>NOT(ISERROR(SEARCH("Fallido",T218)))</formula>
    </cfRule>
    <cfRule type="containsText" dxfId="4489" priority="4784" operator="containsText" text="Éxitoso">
      <formula>NOT(ISERROR(SEARCH("Éxitoso",T218)))</formula>
    </cfRule>
  </conditionalFormatting>
  <conditionalFormatting sqref="U218">
    <cfRule type="containsText" dxfId="4488" priority="4775" operator="containsText" text="No se pudo ejecutar">
      <formula>NOT(ISERROR(SEARCH("No se pudo ejecutar",U218)))</formula>
    </cfRule>
    <cfRule type="containsText" dxfId="4487" priority="4776" operator="containsText" text="Pendiente">
      <formula>NOT(ISERROR(SEARCH("Pendiente",U218)))</formula>
    </cfRule>
    <cfRule type="containsText" dxfId="4486" priority="4777" operator="containsText" text="No Aplica">
      <formula>NOT(ISERROR(SEARCH("No Aplica",U218)))</formula>
    </cfRule>
    <cfRule type="containsText" dxfId="4485" priority="4778" operator="containsText" text="Fallido">
      <formula>NOT(ISERROR(SEARCH("Fallido",U218)))</formula>
    </cfRule>
    <cfRule type="containsText" dxfId="4484" priority="4779" operator="containsText" text="Éxitoso">
      <formula>NOT(ISERROR(SEARCH("Éxitoso",U218)))</formula>
    </cfRule>
  </conditionalFormatting>
  <conditionalFormatting sqref="V218">
    <cfRule type="containsText" dxfId="4483" priority="4770" operator="containsText" text="No se pudo ejecutar">
      <formula>NOT(ISERROR(SEARCH("No se pudo ejecutar",V218)))</formula>
    </cfRule>
    <cfRule type="containsText" dxfId="4482" priority="4771" operator="containsText" text="Pendiente">
      <formula>NOT(ISERROR(SEARCH("Pendiente",V218)))</formula>
    </cfRule>
    <cfRule type="containsText" dxfId="4481" priority="4772" operator="containsText" text="No Aplica">
      <formula>NOT(ISERROR(SEARCH("No Aplica",V218)))</formula>
    </cfRule>
    <cfRule type="containsText" dxfId="4480" priority="4773" operator="containsText" text="Fallido">
      <formula>NOT(ISERROR(SEARCH("Fallido",V218)))</formula>
    </cfRule>
    <cfRule type="containsText" dxfId="4479" priority="4774" operator="containsText" text="Éxitoso">
      <formula>NOT(ISERROR(SEARCH("Éxitoso",V218)))</formula>
    </cfRule>
  </conditionalFormatting>
  <conditionalFormatting sqref="W218">
    <cfRule type="containsText" dxfId="4478" priority="4765" operator="containsText" text="No se pudo ejecutar">
      <formula>NOT(ISERROR(SEARCH("No se pudo ejecutar",W218)))</formula>
    </cfRule>
    <cfRule type="containsText" dxfId="4477" priority="4766" operator="containsText" text="Pendiente">
      <formula>NOT(ISERROR(SEARCH("Pendiente",W218)))</formula>
    </cfRule>
    <cfRule type="containsText" dxfId="4476" priority="4767" operator="containsText" text="No Aplica">
      <formula>NOT(ISERROR(SEARCH("No Aplica",W218)))</formula>
    </cfRule>
    <cfRule type="containsText" dxfId="4475" priority="4768" operator="containsText" text="Fallido">
      <formula>NOT(ISERROR(SEARCH("Fallido",W218)))</formula>
    </cfRule>
    <cfRule type="containsText" dxfId="4474" priority="4769" operator="containsText" text="Éxitoso">
      <formula>NOT(ISERROR(SEARCH("Éxitoso",W218)))</formula>
    </cfRule>
  </conditionalFormatting>
  <conditionalFormatting sqref="M218">
    <cfRule type="containsText" dxfId="4473" priority="4760" operator="containsText" text="No se pudo ejecutar">
      <formula>NOT(ISERROR(SEARCH("No se pudo ejecutar",M218)))</formula>
    </cfRule>
    <cfRule type="containsText" dxfId="4472" priority="4761" operator="containsText" text="Pendiente">
      <formula>NOT(ISERROR(SEARCH("Pendiente",M218)))</formula>
    </cfRule>
    <cfRule type="containsText" dxfId="4471" priority="4762" operator="containsText" text="No Aplica">
      <formula>NOT(ISERROR(SEARCH("No Aplica",M218)))</formula>
    </cfRule>
    <cfRule type="containsText" dxfId="4470" priority="4763" operator="containsText" text="Fallido">
      <formula>NOT(ISERROR(SEARCH("Fallido",M218)))</formula>
    </cfRule>
    <cfRule type="containsText" dxfId="4469" priority="4764" operator="containsText" text="Éxitoso">
      <formula>NOT(ISERROR(SEARCH("Éxitoso",M218)))</formula>
    </cfRule>
  </conditionalFormatting>
  <conditionalFormatting sqref="G218">
    <cfRule type="containsText" dxfId="4468" priority="4757" operator="containsText" text="Bajo">
      <formula>NOT(ISERROR(SEARCH("Bajo",G218)))</formula>
    </cfRule>
    <cfRule type="containsText" dxfId="4467" priority="4758" operator="containsText" text="Medio">
      <formula>NOT(ISERROR(SEARCH("Medio",G218)))</formula>
    </cfRule>
    <cfRule type="containsText" dxfId="4466" priority="4759" operator="containsText" text="Alto">
      <formula>NOT(ISERROR(SEARCH("Alto",G218)))</formula>
    </cfRule>
  </conditionalFormatting>
  <conditionalFormatting sqref="N219">
    <cfRule type="containsText" dxfId="4465" priority="4752" operator="containsText" text="No se pudo ejecutar">
      <formula>NOT(ISERROR(SEARCH("No se pudo ejecutar",N219)))</formula>
    </cfRule>
    <cfRule type="containsText" dxfId="4464" priority="4753" operator="containsText" text="Pendiente">
      <formula>NOT(ISERROR(SEARCH("Pendiente",N219)))</formula>
    </cfRule>
    <cfRule type="containsText" dxfId="4463" priority="4754" operator="containsText" text="No Aplica">
      <formula>NOT(ISERROR(SEARCH("No Aplica",N219)))</formula>
    </cfRule>
    <cfRule type="containsText" dxfId="4462" priority="4755" operator="containsText" text="Fallido">
      <formula>NOT(ISERROR(SEARCH("Fallido",N219)))</formula>
    </cfRule>
    <cfRule type="containsText" dxfId="4461" priority="4756" operator="containsText" text="Éxitoso">
      <formula>NOT(ISERROR(SEARCH("Éxitoso",N219)))</formula>
    </cfRule>
  </conditionalFormatting>
  <conditionalFormatting sqref="O219">
    <cfRule type="containsText" dxfId="4460" priority="4747" operator="containsText" text="No se pudo ejecutar">
      <formula>NOT(ISERROR(SEARCH("No se pudo ejecutar",O219)))</formula>
    </cfRule>
    <cfRule type="containsText" dxfId="4459" priority="4748" operator="containsText" text="Pendiente">
      <formula>NOT(ISERROR(SEARCH("Pendiente",O219)))</formula>
    </cfRule>
    <cfRule type="containsText" dxfId="4458" priority="4749" operator="containsText" text="No Aplica">
      <formula>NOT(ISERROR(SEARCH("No Aplica",O219)))</formula>
    </cfRule>
    <cfRule type="containsText" dxfId="4457" priority="4750" operator="containsText" text="Fallido">
      <formula>NOT(ISERROR(SEARCH("Fallido",O219)))</formula>
    </cfRule>
    <cfRule type="containsText" dxfId="4456" priority="4751" operator="containsText" text="Éxitoso">
      <formula>NOT(ISERROR(SEARCH("Éxitoso",O219)))</formula>
    </cfRule>
  </conditionalFormatting>
  <conditionalFormatting sqref="P219">
    <cfRule type="containsText" dxfId="4455" priority="4742" operator="containsText" text="No se pudo ejecutar">
      <formula>NOT(ISERROR(SEARCH("No se pudo ejecutar",P219)))</formula>
    </cfRule>
    <cfRule type="containsText" dxfId="4454" priority="4743" operator="containsText" text="Pendiente">
      <formula>NOT(ISERROR(SEARCH("Pendiente",P219)))</formula>
    </cfRule>
    <cfRule type="containsText" dxfId="4453" priority="4744" operator="containsText" text="No Aplica">
      <formula>NOT(ISERROR(SEARCH("No Aplica",P219)))</formula>
    </cfRule>
    <cfRule type="containsText" dxfId="4452" priority="4745" operator="containsText" text="Fallido">
      <formula>NOT(ISERROR(SEARCH("Fallido",P219)))</formula>
    </cfRule>
    <cfRule type="containsText" dxfId="4451" priority="4746" operator="containsText" text="Éxitoso">
      <formula>NOT(ISERROR(SEARCH("Éxitoso",P219)))</formula>
    </cfRule>
  </conditionalFormatting>
  <conditionalFormatting sqref="Q219">
    <cfRule type="containsText" dxfId="4450" priority="4737" operator="containsText" text="No se pudo ejecutar">
      <formula>NOT(ISERROR(SEARCH("No se pudo ejecutar",Q219)))</formula>
    </cfRule>
    <cfRule type="containsText" dxfId="4449" priority="4738" operator="containsText" text="Pendiente">
      <formula>NOT(ISERROR(SEARCH("Pendiente",Q219)))</formula>
    </cfRule>
    <cfRule type="containsText" dxfId="4448" priority="4739" operator="containsText" text="No Aplica">
      <formula>NOT(ISERROR(SEARCH("No Aplica",Q219)))</formula>
    </cfRule>
    <cfRule type="containsText" dxfId="4447" priority="4740" operator="containsText" text="Fallido">
      <formula>NOT(ISERROR(SEARCH("Fallido",Q219)))</formula>
    </cfRule>
    <cfRule type="containsText" dxfId="4446" priority="4741" operator="containsText" text="Éxitoso">
      <formula>NOT(ISERROR(SEARCH("Éxitoso",Q219)))</formula>
    </cfRule>
  </conditionalFormatting>
  <conditionalFormatting sqref="R219">
    <cfRule type="containsText" dxfId="4445" priority="4732" operator="containsText" text="No se pudo ejecutar">
      <formula>NOT(ISERROR(SEARCH("No se pudo ejecutar",R219)))</formula>
    </cfRule>
    <cfRule type="containsText" dxfId="4444" priority="4733" operator="containsText" text="Pendiente">
      <formula>NOT(ISERROR(SEARCH("Pendiente",R219)))</formula>
    </cfRule>
    <cfRule type="containsText" dxfId="4443" priority="4734" operator="containsText" text="No Aplica">
      <formula>NOT(ISERROR(SEARCH("No Aplica",R219)))</formula>
    </cfRule>
    <cfRule type="containsText" dxfId="4442" priority="4735" operator="containsText" text="Fallido">
      <formula>NOT(ISERROR(SEARCH("Fallido",R219)))</formula>
    </cfRule>
    <cfRule type="containsText" dxfId="4441" priority="4736" operator="containsText" text="Éxitoso">
      <formula>NOT(ISERROR(SEARCH("Éxitoso",R219)))</formula>
    </cfRule>
  </conditionalFormatting>
  <conditionalFormatting sqref="S219">
    <cfRule type="containsText" dxfId="4440" priority="4727" operator="containsText" text="No se pudo ejecutar">
      <formula>NOT(ISERROR(SEARCH("No se pudo ejecutar",S219)))</formula>
    </cfRule>
    <cfRule type="containsText" dxfId="4439" priority="4728" operator="containsText" text="Pendiente">
      <formula>NOT(ISERROR(SEARCH("Pendiente",S219)))</formula>
    </cfRule>
    <cfRule type="containsText" dxfId="4438" priority="4729" operator="containsText" text="No Aplica">
      <formula>NOT(ISERROR(SEARCH("No Aplica",S219)))</formula>
    </cfRule>
    <cfRule type="containsText" dxfId="4437" priority="4730" operator="containsText" text="Fallido">
      <formula>NOT(ISERROR(SEARCH("Fallido",S219)))</formula>
    </cfRule>
    <cfRule type="containsText" dxfId="4436" priority="4731" operator="containsText" text="Éxitoso">
      <formula>NOT(ISERROR(SEARCH("Éxitoso",S219)))</formula>
    </cfRule>
  </conditionalFormatting>
  <conditionalFormatting sqref="T219">
    <cfRule type="containsText" dxfId="4435" priority="4722" operator="containsText" text="No se pudo ejecutar">
      <formula>NOT(ISERROR(SEARCH("No se pudo ejecutar",T219)))</formula>
    </cfRule>
    <cfRule type="containsText" dxfId="4434" priority="4723" operator="containsText" text="Pendiente">
      <formula>NOT(ISERROR(SEARCH("Pendiente",T219)))</formula>
    </cfRule>
    <cfRule type="containsText" dxfId="4433" priority="4724" operator="containsText" text="No Aplica">
      <formula>NOT(ISERROR(SEARCH("No Aplica",T219)))</formula>
    </cfRule>
    <cfRule type="containsText" dxfId="4432" priority="4725" operator="containsText" text="Fallido">
      <formula>NOT(ISERROR(SEARCH("Fallido",T219)))</formula>
    </cfRule>
    <cfRule type="containsText" dxfId="4431" priority="4726" operator="containsText" text="Éxitoso">
      <formula>NOT(ISERROR(SEARCH("Éxitoso",T219)))</formula>
    </cfRule>
  </conditionalFormatting>
  <conditionalFormatting sqref="U219">
    <cfRule type="containsText" dxfId="4430" priority="4717" operator="containsText" text="No se pudo ejecutar">
      <formula>NOT(ISERROR(SEARCH("No se pudo ejecutar",U219)))</formula>
    </cfRule>
    <cfRule type="containsText" dxfId="4429" priority="4718" operator="containsText" text="Pendiente">
      <formula>NOT(ISERROR(SEARCH("Pendiente",U219)))</formula>
    </cfRule>
    <cfRule type="containsText" dxfId="4428" priority="4719" operator="containsText" text="No Aplica">
      <formula>NOT(ISERROR(SEARCH("No Aplica",U219)))</formula>
    </cfRule>
    <cfRule type="containsText" dxfId="4427" priority="4720" operator="containsText" text="Fallido">
      <formula>NOT(ISERROR(SEARCH("Fallido",U219)))</formula>
    </cfRule>
    <cfRule type="containsText" dxfId="4426" priority="4721" operator="containsText" text="Éxitoso">
      <formula>NOT(ISERROR(SEARCH("Éxitoso",U219)))</formula>
    </cfRule>
  </conditionalFormatting>
  <conditionalFormatting sqref="V219">
    <cfRule type="containsText" dxfId="4425" priority="4712" operator="containsText" text="No se pudo ejecutar">
      <formula>NOT(ISERROR(SEARCH("No se pudo ejecutar",V219)))</formula>
    </cfRule>
    <cfRule type="containsText" dxfId="4424" priority="4713" operator="containsText" text="Pendiente">
      <formula>NOT(ISERROR(SEARCH("Pendiente",V219)))</formula>
    </cfRule>
    <cfRule type="containsText" dxfId="4423" priority="4714" operator="containsText" text="No Aplica">
      <formula>NOT(ISERROR(SEARCH("No Aplica",V219)))</formula>
    </cfRule>
    <cfRule type="containsText" dxfId="4422" priority="4715" operator="containsText" text="Fallido">
      <formula>NOT(ISERROR(SEARCH("Fallido",V219)))</formula>
    </cfRule>
    <cfRule type="containsText" dxfId="4421" priority="4716" operator="containsText" text="Éxitoso">
      <formula>NOT(ISERROR(SEARCH("Éxitoso",V219)))</formula>
    </cfRule>
  </conditionalFormatting>
  <conditionalFormatting sqref="W219">
    <cfRule type="containsText" dxfId="4420" priority="4707" operator="containsText" text="No se pudo ejecutar">
      <formula>NOT(ISERROR(SEARCH("No se pudo ejecutar",W219)))</formula>
    </cfRule>
    <cfRule type="containsText" dxfId="4419" priority="4708" operator="containsText" text="Pendiente">
      <formula>NOT(ISERROR(SEARCH("Pendiente",W219)))</formula>
    </cfRule>
    <cfRule type="containsText" dxfId="4418" priority="4709" operator="containsText" text="No Aplica">
      <formula>NOT(ISERROR(SEARCH("No Aplica",W219)))</formula>
    </cfRule>
    <cfRule type="containsText" dxfId="4417" priority="4710" operator="containsText" text="Fallido">
      <formula>NOT(ISERROR(SEARCH("Fallido",W219)))</formula>
    </cfRule>
    <cfRule type="containsText" dxfId="4416" priority="4711" operator="containsText" text="Éxitoso">
      <formula>NOT(ISERROR(SEARCH("Éxitoso",W219)))</formula>
    </cfRule>
  </conditionalFormatting>
  <conditionalFormatting sqref="M219">
    <cfRule type="containsText" dxfId="4415" priority="4702" operator="containsText" text="No se pudo ejecutar">
      <formula>NOT(ISERROR(SEARCH("No se pudo ejecutar",M219)))</formula>
    </cfRule>
    <cfRule type="containsText" dxfId="4414" priority="4703" operator="containsText" text="Pendiente">
      <formula>NOT(ISERROR(SEARCH("Pendiente",M219)))</formula>
    </cfRule>
    <cfRule type="containsText" dxfId="4413" priority="4704" operator="containsText" text="No Aplica">
      <formula>NOT(ISERROR(SEARCH("No Aplica",M219)))</formula>
    </cfRule>
    <cfRule type="containsText" dxfId="4412" priority="4705" operator="containsText" text="Fallido">
      <formula>NOT(ISERROR(SEARCH("Fallido",M219)))</formula>
    </cfRule>
    <cfRule type="containsText" dxfId="4411" priority="4706" operator="containsText" text="Éxitoso">
      <formula>NOT(ISERROR(SEARCH("Éxitoso",M219)))</formula>
    </cfRule>
  </conditionalFormatting>
  <conditionalFormatting sqref="G219">
    <cfRule type="containsText" dxfId="4410" priority="4699" operator="containsText" text="Bajo">
      <formula>NOT(ISERROR(SEARCH("Bajo",G219)))</formula>
    </cfRule>
    <cfRule type="containsText" dxfId="4409" priority="4700" operator="containsText" text="Medio">
      <formula>NOT(ISERROR(SEARCH("Medio",G219)))</formula>
    </cfRule>
    <cfRule type="containsText" dxfId="4408" priority="4701" operator="containsText" text="Alto">
      <formula>NOT(ISERROR(SEARCH("Alto",G219)))</formula>
    </cfRule>
  </conditionalFormatting>
  <conditionalFormatting sqref="N220">
    <cfRule type="containsText" dxfId="4407" priority="4694" operator="containsText" text="No se pudo ejecutar">
      <formula>NOT(ISERROR(SEARCH("No se pudo ejecutar",N220)))</formula>
    </cfRule>
    <cfRule type="containsText" dxfId="4406" priority="4695" operator="containsText" text="Pendiente">
      <formula>NOT(ISERROR(SEARCH("Pendiente",N220)))</formula>
    </cfRule>
    <cfRule type="containsText" dxfId="4405" priority="4696" operator="containsText" text="No Aplica">
      <formula>NOT(ISERROR(SEARCH("No Aplica",N220)))</formula>
    </cfRule>
    <cfRule type="containsText" dxfId="4404" priority="4697" operator="containsText" text="Fallido">
      <formula>NOT(ISERROR(SEARCH("Fallido",N220)))</formula>
    </cfRule>
    <cfRule type="containsText" dxfId="4403" priority="4698" operator="containsText" text="Éxitoso">
      <formula>NOT(ISERROR(SEARCH("Éxitoso",N220)))</formula>
    </cfRule>
  </conditionalFormatting>
  <conditionalFormatting sqref="O220">
    <cfRule type="containsText" dxfId="4402" priority="4689" operator="containsText" text="No se pudo ejecutar">
      <formula>NOT(ISERROR(SEARCH("No se pudo ejecutar",O220)))</formula>
    </cfRule>
    <cfRule type="containsText" dxfId="4401" priority="4690" operator="containsText" text="Pendiente">
      <formula>NOT(ISERROR(SEARCH("Pendiente",O220)))</formula>
    </cfRule>
    <cfRule type="containsText" dxfId="4400" priority="4691" operator="containsText" text="No Aplica">
      <formula>NOT(ISERROR(SEARCH("No Aplica",O220)))</formula>
    </cfRule>
    <cfRule type="containsText" dxfId="4399" priority="4692" operator="containsText" text="Fallido">
      <formula>NOT(ISERROR(SEARCH("Fallido",O220)))</formula>
    </cfRule>
    <cfRule type="containsText" dxfId="4398" priority="4693" operator="containsText" text="Éxitoso">
      <formula>NOT(ISERROR(SEARCH("Éxitoso",O220)))</formula>
    </cfRule>
  </conditionalFormatting>
  <conditionalFormatting sqref="P220">
    <cfRule type="containsText" dxfId="4397" priority="4684" operator="containsText" text="No se pudo ejecutar">
      <formula>NOT(ISERROR(SEARCH("No se pudo ejecutar",P220)))</formula>
    </cfRule>
    <cfRule type="containsText" dxfId="4396" priority="4685" operator="containsText" text="Pendiente">
      <formula>NOT(ISERROR(SEARCH("Pendiente",P220)))</formula>
    </cfRule>
    <cfRule type="containsText" dxfId="4395" priority="4686" operator="containsText" text="No Aplica">
      <formula>NOT(ISERROR(SEARCH("No Aplica",P220)))</formula>
    </cfRule>
    <cfRule type="containsText" dxfId="4394" priority="4687" operator="containsText" text="Fallido">
      <formula>NOT(ISERROR(SEARCH("Fallido",P220)))</formula>
    </cfRule>
    <cfRule type="containsText" dxfId="4393" priority="4688" operator="containsText" text="Éxitoso">
      <formula>NOT(ISERROR(SEARCH("Éxitoso",P220)))</formula>
    </cfRule>
  </conditionalFormatting>
  <conditionalFormatting sqref="Q220">
    <cfRule type="containsText" dxfId="4392" priority="4679" operator="containsText" text="No se pudo ejecutar">
      <formula>NOT(ISERROR(SEARCH("No se pudo ejecutar",Q220)))</formula>
    </cfRule>
    <cfRule type="containsText" dxfId="4391" priority="4680" operator="containsText" text="Pendiente">
      <formula>NOT(ISERROR(SEARCH("Pendiente",Q220)))</formula>
    </cfRule>
    <cfRule type="containsText" dxfId="4390" priority="4681" operator="containsText" text="No Aplica">
      <formula>NOT(ISERROR(SEARCH("No Aplica",Q220)))</formula>
    </cfRule>
    <cfRule type="containsText" dxfId="4389" priority="4682" operator="containsText" text="Fallido">
      <formula>NOT(ISERROR(SEARCH("Fallido",Q220)))</formula>
    </cfRule>
    <cfRule type="containsText" dxfId="4388" priority="4683" operator="containsText" text="Éxitoso">
      <formula>NOT(ISERROR(SEARCH("Éxitoso",Q220)))</formula>
    </cfRule>
  </conditionalFormatting>
  <conditionalFormatting sqref="R220">
    <cfRule type="containsText" dxfId="4387" priority="4674" operator="containsText" text="No se pudo ejecutar">
      <formula>NOT(ISERROR(SEARCH("No se pudo ejecutar",R220)))</formula>
    </cfRule>
    <cfRule type="containsText" dxfId="4386" priority="4675" operator="containsText" text="Pendiente">
      <formula>NOT(ISERROR(SEARCH("Pendiente",R220)))</formula>
    </cfRule>
    <cfRule type="containsText" dxfId="4385" priority="4676" operator="containsText" text="No Aplica">
      <formula>NOT(ISERROR(SEARCH("No Aplica",R220)))</formula>
    </cfRule>
    <cfRule type="containsText" dxfId="4384" priority="4677" operator="containsText" text="Fallido">
      <formula>NOT(ISERROR(SEARCH("Fallido",R220)))</formula>
    </cfRule>
    <cfRule type="containsText" dxfId="4383" priority="4678" operator="containsText" text="Éxitoso">
      <formula>NOT(ISERROR(SEARCH("Éxitoso",R220)))</formula>
    </cfRule>
  </conditionalFormatting>
  <conditionalFormatting sqref="S220">
    <cfRule type="containsText" dxfId="4382" priority="4669" operator="containsText" text="No se pudo ejecutar">
      <formula>NOT(ISERROR(SEARCH("No se pudo ejecutar",S220)))</formula>
    </cfRule>
    <cfRule type="containsText" dxfId="4381" priority="4670" operator="containsText" text="Pendiente">
      <formula>NOT(ISERROR(SEARCH("Pendiente",S220)))</formula>
    </cfRule>
    <cfRule type="containsText" dxfId="4380" priority="4671" operator="containsText" text="No Aplica">
      <formula>NOT(ISERROR(SEARCH("No Aplica",S220)))</formula>
    </cfRule>
    <cfRule type="containsText" dxfId="4379" priority="4672" operator="containsText" text="Fallido">
      <formula>NOT(ISERROR(SEARCH("Fallido",S220)))</formula>
    </cfRule>
    <cfRule type="containsText" dxfId="4378" priority="4673" operator="containsText" text="Éxitoso">
      <formula>NOT(ISERROR(SEARCH("Éxitoso",S220)))</formula>
    </cfRule>
  </conditionalFormatting>
  <conditionalFormatting sqref="T220">
    <cfRule type="containsText" dxfId="4377" priority="4664" operator="containsText" text="No se pudo ejecutar">
      <formula>NOT(ISERROR(SEARCH("No se pudo ejecutar",T220)))</formula>
    </cfRule>
    <cfRule type="containsText" dxfId="4376" priority="4665" operator="containsText" text="Pendiente">
      <formula>NOT(ISERROR(SEARCH("Pendiente",T220)))</formula>
    </cfRule>
    <cfRule type="containsText" dxfId="4375" priority="4666" operator="containsText" text="No Aplica">
      <formula>NOT(ISERROR(SEARCH("No Aplica",T220)))</formula>
    </cfRule>
    <cfRule type="containsText" dxfId="4374" priority="4667" operator="containsText" text="Fallido">
      <formula>NOT(ISERROR(SEARCH("Fallido",T220)))</formula>
    </cfRule>
    <cfRule type="containsText" dxfId="4373" priority="4668" operator="containsText" text="Éxitoso">
      <formula>NOT(ISERROR(SEARCH("Éxitoso",T220)))</formula>
    </cfRule>
  </conditionalFormatting>
  <conditionalFormatting sqref="U220">
    <cfRule type="containsText" dxfId="4372" priority="4659" operator="containsText" text="No se pudo ejecutar">
      <formula>NOT(ISERROR(SEARCH("No se pudo ejecutar",U220)))</formula>
    </cfRule>
    <cfRule type="containsText" dxfId="4371" priority="4660" operator="containsText" text="Pendiente">
      <formula>NOT(ISERROR(SEARCH("Pendiente",U220)))</formula>
    </cfRule>
    <cfRule type="containsText" dxfId="4370" priority="4661" operator="containsText" text="No Aplica">
      <formula>NOT(ISERROR(SEARCH("No Aplica",U220)))</formula>
    </cfRule>
    <cfRule type="containsText" dxfId="4369" priority="4662" operator="containsText" text="Fallido">
      <formula>NOT(ISERROR(SEARCH("Fallido",U220)))</formula>
    </cfRule>
    <cfRule type="containsText" dxfId="4368" priority="4663" operator="containsText" text="Éxitoso">
      <formula>NOT(ISERROR(SEARCH("Éxitoso",U220)))</formula>
    </cfRule>
  </conditionalFormatting>
  <conditionalFormatting sqref="V220">
    <cfRule type="containsText" dxfId="4367" priority="4654" operator="containsText" text="No se pudo ejecutar">
      <formula>NOT(ISERROR(SEARCH("No se pudo ejecutar",V220)))</formula>
    </cfRule>
    <cfRule type="containsText" dxfId="4366" priority="4655" operator="containsText" text="Pendiente">
      <formula>NOT(ISERROR(SEARCH("Pendiente",V220)))</formula>
    </cfRule>
    <cfRule type="containsText" dxfId="4365" priority="4656" operator="containsText" text="No Aplica">
      <formula>NOT(ISERROR(SEARCH("No Aplica",V220)))</formula>
    </cfRule>
    <cfRule type="containsText" dxfId="4364" priority="4657" operator="containsText" text="Fallido">
      <formula>NOT(ISERROR(SEARCH("Fallido",V220)))</formula>
    </cfRule>
    <cfRule type="containsText" dxfId="4363" priority="4658" operator="containsText" text="Éxitoso">
      <formula>NOT(ISERROR(SEARCH("Éxitoso",V220)))</formula>
    </cfRule>
  </conditionalFormatting>
  <conditionalFormatting sqref="W220">
    <cfRule type="containsText" dxfId="4362" priority="4649" operator="containsText" text="No se pudo ejecutar">
      <formula>NOT(ISERROR(SEARCH("No se pudo ejecutar",W220)))</formula>
    </cfRule>
    <cfRule type="containsText" dxfId="4361" priority="4650" operator="containsText" text="Pendiente">
      <formula>NOT(ISERROR(SEARCH("Pendiente",W220)))</formula>
    </cfRule>
    <cfRule type="containsText" dxfId="4360" priority="4651" operator="containsText" text="No Aplica">
      <formula>NOT(ISERROR(SEARCH("No Aplica",W220)))</formula>
    </cfRule>
    <cfRule type="containsText" dxfId="4359" priority="4652" operator="containsText" text="Fallido">
      <formula>NOT(ISERROR(SEARCH("Fallido",W220)))</formula>
    </cfRule>
    <cfRule type="containsText" dxfId="4358" priority="4653" operator="containsText" text="Éxitoso">
      <formula>NOT(ISERROR(SEARCH("Éxitoso",W220)))</formula>
    </cfRule>
  </conditionalFormatting>
  <conditionalFormatting sqref="M220">
    <cfRule type="containsText" dxfId="4357" priority="4644" operator="containsText" text="No se pudo ejecutar">
      <formula>NOT(ISERROR(SEARCH("No se pudo ejecutar",M220)))</formula>
    </cfRule>
    <cfRule type="containsText" dxfId="4356" priority="4645" operator="containsText" text="Pendiente">
      <formula>NOT(ISERROR(SEARCH("Pendiente",M220)))</formula>
    </cfRule>
    <cfRule type="containsText" dxfId="4355" priority="4646" operator="containsText" text="No Aplica">
      <formula>NOT(ISERROR(SEARCH("No Aplica",M220)))</formula>
    </cfRule>
    <cfRule type="containsText" dxfId="4354" priority="4647" operator="containsText" text="Fallido">
      <formula>NOT(ISERROR(SEARCH("Fallido",M220)))</formula>
    </cfRule>
    <cfRule type="containsText" dxfId="4353" priority="4648" operator="containsText" text="Éxitoso">
      <formula>NOT(ISERROR(SEARCH("Éxitoso",M220)))</formula>
    </cfRule>
  </conditionalFormatting>
  <conditionalFormatting sqref="G220">
    <cfRule type="containsText" dxfId="4352" priority="4641" operator="containsText" text="Bajo">
      <formula>NOT(ISERROR(SEARCH("Bajo",G220)))</formula>
    </cfRule>
    <cfRule type="containsText" dxfId="4351" priority="4642" operator="containsText" text="Medio">
      <formula>NOT(ISERROR(SEARCH("Medio",G220)))</formula>
    </cfRule>
    <cfRule type="containsText" dxfId="4350" priority="4643" operator="containsText" text="Alto">
      <formula>NOT(ISERROR(SEARCH("Alto",G220)))</formula>
    </cfRule>
  </conditionalFormatting>
  <conditionalFormatting sqref="N221">
    <cfRule type="containsText" dxfId="4349" priority="4636" operator="containsText" text="No se pudo ejecutar">
      <formula>NOT(ISERROR(SEARCH("No se pudo ejecutar",N221)))</formula>
    </cfRule>
    <cfRule type="containsText" dxfId="4348" priority="4637" operator="containsText" text="Pendiente">
      <formula>NOT(ISERROR(SEARCH("Pendiente",N221)))</formula>
    </cfRule>
    <cfRule type="containsText" dxfId="4347" priority="4638" operator="containsText" text="No Aplica">
      <formula>NOT(ISERROR(SEARCH("No Aplica",N221)))</formula>
    </cfRule>
    <cfRule type="containsText" dxfId="4346" priority="4639" operator="containsText" text="Fallido">
      <formula>NOT(ISERROR(SEARCH("Fallido",N221)))</formula>
    </cfRule>
    <cfRule type="containsText" dxfId="4345" priority="4640" operator="containsText" text="Éxitoso">
      <formula>NOT(ISERROR(SEARCH("Éxitoso",N221)))</formula>
    </cfRule>
  </conditionalFormatting>
  <conditionalFormatting sqref="O221">
    <cfRule type="containsText" dxfId="4344" priority="4631" operator="containsText" text="No se pudo ejecutar">
      <formula>NOT(ISERROR(SEARCH("No se pudo ejecutar",O221)))</formula>
    </cfRule>
    <cfRule type="containsText" dxfId="4343" priority="4632" operator="containsText" text="Pendiente">
      <formula>NOT(ISERROR(SEARCH("Pendiente",O221)))</formula>
    </cfRule>
    <cfRule type="containsText" dxfId="4342" priority="4633" operator="containsText" text="No Aplica">
      <formula>NOT(ISERROR(SEARCH("No Aplica",O221)))</formula>
    </cfRule>
    <cfRule type="containsText" dxfId="4341" priority="4634" operator="containsText" text="Fallido">
      <formula>NOT(ISERROR(SEARCH("Fallido",O221)))</formula>
    </cfRule>
    <cfRule type="containsText" dxfId="4340" priority="4635" operator="containsText" text="Éxitoso">
      <formula>NOT(ISERROR(SEARCH("Éxitoso",O221)))</formula>
    </cfRule>
  </conditionalFormatting>
  <conditionalFormatting sqref="P221">
    <cfRule type="containsText" dxfId="4339" priority="4626" operator="containsText" text="No se pudo ejecutar">
      <formula>NOT(ISERROR(SEARCH("No se pudo ejecutar",P221)))</formula>
    </cfRule>
    <cfRule type="containsText" dxfId="4338" priority="4627" operator="containsText" text="Pendiente">
      <formula>NOT(ISERROR(SEARCH("Pendiente",P221)))</formula>
    </cfRule>
    <cfRule type="containsText" dxfId="4337" priority="4628" operator="containsText" text="No Aplica">
      <formula>NOT(ISERROR(SEARCH("No Aplica",P221)))</formula>
    </cfRule>
    <cfRule type="containsText" dxfId="4336" priority="4629" operator="containsText" text="Fallido">
      <formula>NOT(ISERROR(SEARCH("Fallido",P221)))</formula>
    </cfRule>
    <cfRule type="containsText" dxfId="4335" priority="4630" operator="containsText" text="Éxitoso">
      <formula>NOT(ISERROR(SEARCH("Éxitoso",P221)))</formula>
    </cfRule>
  </conditionalFormatting>
  <conditionalFormatting sqref="Q221">
    <cfRule type="containsText" dxfId="4334" priority="4621" operator="containsText" text="No se pudo ejecutar">
      <formula>NOT(ISERROR(SEARCH("No se pudo ejecutar",Q221)))</formula>
    </cfRule>
    <cfRule type="containsText" dxfId="4333" priority="4622" operator="containsText" text="Pendiente">
      <formula>NOT(ISERROR(SEARCH("Pendiente",Q221)))</formula>
    </cfRule>
    <cfRule type="containsText" dxfId="4332" priority="4623" operator="containsText" text="No Aplica">
      <formula>NOT(ISERROR(SEARCH("No Aplica",Q221)))</formula>
    </cfRule>
    <cfRule type="containsText" dxfId="4331" priority="4624" operator="containsText" text="Fallido">
      <formula>NOT(ISERROR(SEARCH("Fallido",Q221)))</formula>
    </cfRule>
    <cfRule type="containsText" dxfId="4330" priority="4625" operator="containsText" text="Éxitoso">
      <formula>NOT(ISERROR(SEARCH("Éxitoso",Q221)))</formula>
    </cfRule>
  </conditionalFormatting>
  <conditionalFormatting sqref="R221">
    <cfRule type="containsText" dxfId="4329" priority="4616" operator="containsText" text="No se pudo ejecutar">
      <formula>NOT(ISERROR(SEARCH("No se pudo ejecutar",R221)))</formula>
    </cfRule>
    <cfRule type="containsText" dxfId="4328" priority="4617" operator="containsText" text="Pendiente">
      <formula>NOT(ISERROR(SEARCH("Pendiente",R221)))</formula>
    </cfRule>
    <cfRule type="containsText" dxfId="4327" priority="4618" operator="containsText" text="No Aplica">
      <formula>NOT(ISERROR(SEARCH("No Aplica",R221)))</formula>
    </cfRule>
    <cfRule type="containsText" dxfId="4326" priority="4619" operator="containsText" text="Fallido">
      <formula>NOT(ISERROR(SEARCH("Fallido",R221)))</formula>
    </cfRule>
    <cfRule type="containsText" dxfId="4325" priority="4620" operator="containsText" text="Éxitoso">
      <formula>NOT(ISERROR(SEARCH("Éxitoso",R221)))</formula>
    </cfRule>
  </conditionalFormatting>
  <conditionalFormatting sqref="S221">
    <cfRule type="containsText" dxfId="4324" priority="4611" operator="containsText" text="No se pudo ejecutar">
      <formula>NOT(ISERROR(SEARCH("No se pudo ejecutar",S221)))</formula>
    </cfRule>
    <cfRule type="containsText" dxfId="4323" priority="4612" operator="containsText" text="Pendiente">
      <formula>NOT(ISERROR(SEARCH("Pendiente",S221)))</formula>
    </cfRule>
    <cfRule type="containsText" dxfId="4322" priority="4613" operator="containsText" text="No Aplica">
      <formula>NOT(ISERROR(SEARCH("No Aplica",S221)))</formula>
    </cfRule>
    <cfRule type="containsText" dxfId="4321" priority="4614" operator="containsText" text="Fallido">
      <formula>NOT(ISERROR(SEARCH("Fallido",S221)))</formula>
    </cfRule>
    <cfRule type="containsText" dxfId="4320" priority="4615" operator="containsText" text="Éxitoso">
      <formula>NOT(ISERROR(SEARCH("Éxitoso",S221)))</formula>
    </cfRule>
  </conditionalFormatting>
  <conditionalFormatting sqref="T221">
    <cfRule type="containsText" dxfId="4319" priority="4606" operator="containsText" text="No se pudo ejecutar">
      <formula>NOT(ISERROR(SEARCH("No se pudo ejecutar",T221)))</formula>
    </cfRule>
    <cfRule type="containsText" dxfId="4318" priority="4607" operator="containsText" text="Pendiente">
      <formula>NOT(ISERROR(SEARCH("Pendiente",T221)))</formula>
    </cfRule>
    <cfRule type="containsText" dxfId="4317" priority="4608" operator="containsText" text="No Aplica">
      <formula>NOT(ISERROR(SEARCH("No Aplica",T221)))</formula>
    </cfRule>
    <cfRule type="containsText" dxfId="4316" priority="4609" operator="containsText" text="Fallido">
      <formula>NOT(ISERROR(SEARCH("Fallido",T221)))</formula>
    </cfRule>
    <cfRule type="containsText" dxfId="4315" priority="4610" operator="containsText" text="Éxitoso">
      <formula>NOT(ISERROR(SEARCH("Éxitoso",T221)))</formula>
    </cfRule>
  </conditionalFormatting>
  <conditionalFormatting sqref="U221">
    <cfRule type="containsText" dxfId="4314" priority="4601" operator="containsText" text="No se pudo ejecutar">
      <formula>NOT(ISERROR(SEARCH("No se pudo ejecutar",U221)))</formula>
    </cfRule>
    <cfRule type="containsText" dxfId="4313" priority="4602" operator="containsText" text="Pendiente">
      <formula>NOT(ISERROR(SEARCH("Pendiente",U221)))</formula>
    </cfRule>
    <cfRule type="containsText" dxfId="4312" priority="4603" operator="containsText" text="No Aplica">
      <formula>NOT(ISERROR(SEARCH("No Aplica",U221)))</formula>
    </cfRule>
    <cfRule type="containsText" dxfId="4311" priority="4604" operator="containsText" text="Fallido">
      <formula>NOT(ISERROR(SEARCH("Fallido",U221)))</formula>
    </cfRule>
    <cfRule type="containsText" dxfId="4310" priority="4605" operator="containsText" text="Éxitoso">
      <formula>NOT(ISERROR(SEARCH("Éxitoso",U221)))</formula>
    </cfRule>
  </conditionalFormatting>
  <conditionalFormatting sqref="V221">
    <cfRule type="containsText" dxfId="4309" priority="4596" operator="containsText" text="No se pudo ejecutar">
      <formula>NOT(ISERROR(SEARCH("No se pudo ejecutar",V221)))</formula>
    </cfRule>
    <cfRule type="containsText" dxfId="4308" priority="4597" operator="containsText" text="Pendiente">
      <formula>NOT(ISERROR(SEARCH("Pendiente",V221)))</formula>
    </cfRule>
    <cfRule type="containsText" dxfId="4307" priority="4598" operator="containsText" text="No Aplica">
      <formula>NOT(ISERROR(SEARCH("No Aplica",V221)))</formula>
    </cfRule>
    <cfRule type="containsText" dxfId="4306" priority="4599" operator="containsText" text="Fallido">
      <formula>NOT(ISERROR(SEARCH("Fallido",V221)))</formula>
    </cfRule>
    <cfRule type="containsText" dxfId="4305" priority="4600" operator="containsText" text="Éxitoso">
      <formula>NOT(ISERROR(SEARCH("Éxitoso",V221)))</formula>
    </cfRule>
  </conditionalFormatting>
  <conditionalFormatting sqref="W221">
    <cfRule type="containsText" dxfId="4304" priority="4591" operator="containsText" text="No se pudo ejecutar">
      <formula>NOT(ISERROR(SEARCH("No se pudo ejecutar",W221)))</formula>
    </cfRule>
    <cfRule type="containsText" dxfId="4303" priority="4592" operator="containsText" text="Pendiente">
      <formula>NOT(ISERROR(SEARCH("Pendiente",W221)))</formula>
    </cfRule>
    <cfRule type="containsText" dxfId="4302" priority="4593" operator="containsText" text="No Aplica">
      <formula>NOT(ISERROR(SEARCH("No Aplica",W221)))</formula>
    </cfRule>
    <cfRule type="containsText" dxfId="4301" priority="4594" operator="containsText" text="Fallido">
      <formula>NOT(ISERROR(SEARCH("Fallido",W221)))</formula>
    </cfRule>
    <cfRule type="containsText" dxfId="4300" priority="4595" operator="containsText" text="Éxitoso">
      <formula>NOT(ISERROR(SEARCH("Éxitoso",W221)))</formula>
    </cfRule>
  </conditionalFormatting>
  <conditionalFormatting sqref="M221">
    <cfRule type="containsText" dxfId="4299" priority="4586" operator="containsText" text="No se pudo ejecutar">
      <formula>NOT(ISERROR(SEARCH("No se pudo ejecutar",M221)))</formula>
    </cfRule>
    <cfRule type="containsText" dxfId="4298" priority="4587" operator="containsText" text="Pendiente">
      <formula>NOT(ISERROR(SEARCH("Pendiente",M221)))</formula>
    </cfRule>
    <cfRule type="containsText" dxfId="4297" priority="4588" operator="containsText" text="No Aplica">
      <formula>NOT(ISERROR(SEARCH("No Aplica",M221)))</formula>
    </cfRule>
    <cfRule type="containsText" dxfId="4296" priority="4589" operator="containsText" text="Fallido">
      <formula>NOT(ISERROR(SEARCH("Fallido",M221)))</formula>
    </cfRule>
    <cfRule type="containsText" dxfId="4295" priority="4590" operator="containsText" text="Éxitoso">
      <formula>NOT(ISERROR(SEARCH("Éxitoso",M221)))</formula>
    </cfRule>
  </conditionalFormatting>
  <conditionalFormatting sqref="G221">
    <cfRule type="containsText" dxfId="4294" priority="4583" operator="containsText" text="Bajo">
      <formula>NOT(ISERROR(SEARCH("Bajo",G221)))</formula>
    </cfRule>
    <cfRule type="containsText" dxfId="4293" priority="4584" operator="containsText" text="Medio">
      <formula>NOT(ISERROR(SEARCH("Medio",G221)))</formula>
    </cfRule>
    <cfRule type="containsText" dxfId="4292" priority="4585" operator="containsText" text="Alto">
      <formula>NOT(ISERROR(SEARCH("Alto",G221)))</formula>
    </cfRule>
  </conditionalFormatting>
  <conditionalFormatting sqref="N222">
    <cfRule type="containsText" dxfId="4291" priority="4578" operator="containsText" text="No se pudo ejecutar">
      <formula>NOT(ISERROR(SEARCH("No se pudo ejecutar",N222)))</formula>
    </cfRule>
    <cfRule type="containsText" dxfId="4290" priority="4579" operator="containsText" text="Pendiente">
      <formula>NOT(ISERROR(SEARCH("Pendiente",N222)))</formula>
    </cfRule>
    <cfRule type="containsText" dxfId="4289" priority="4580" operator="containsText" text="No Aplica">
      <formula>NOT(ISERROR(SEARCH("No Aplica",N222)))</formula>
    </cfRule>
    <cfRule type="containsText" dxfId="4288" priority="4581" operator="containsText" text="Fallido">
      <formula>NOT(ISERROR(SEARCH("Fallido",N222)))</formula>
    </cfRule>
    <cfRule type="containsText" dxfId="4287" priority="4582" operator="containsText" text="Éxitoso">
      <formula>NOT(ISERROR(SEARCH("Éxitoso",N222)))</formula>
    </cfRule>
  </conditionalFormatting>
  <conditionalFormatting sqref="O222">
    <cfRule type="containsText" dxfId="4286" priority="4573" operator="containsText" text="No se pudo ejecutar">
      <formula>NOT(ISERROR(SEARCH("No se pudo ejecutar",O222)))</formula>
    </cfRule>
    <cfRule type="containsText" dxfId="4285" priority="4574" operator="containsText" text="Pendiente">
      <formula>NOT(ISERROR(SEARCH("Pendiente",O222)))</formula>
    </cfRule>
    <cfRule type="containsText" dxfId="4284" priority="4575" operator="containsText" text="No Aplica">
      <formula>NOT(ISERROR(SEARCH("No Aplica",O222)))</formula>
    </cfRule>
    <cfRule type="containsText" dxfId="4283" priority="4576" operator="containsText" text="Fallido">
      <formula>NOT(ISERROR(SEARCH("Fallido",O222)))</formula>
    </cfRule>
    <cfRule type="containsText" dxfId="4282" priority="4577" operator="containsText" text="Éxitoso">
      <formula>NOT(ISERROR(SEARCH("Éxitoso",O222)))</formula>
    </cfRule>
  </conditionalFormatting>
  <conditionalFormatting sqref="P222">
    <cfRule type="containsText" dxfId="4281" priority="4568" operator="containsText" text="No se pudo ejecutar">
      <formula>NOT(ISERROR(SEARCH("No se pudo ejecutar",P222)))</formula>
    </cfRule>
    <cfRule type="containsText" dxfId="4280" priority="4569" operator="containsText" text="Pendiente">
      <formula>NOT(ISERROR(SEARCH("Pendiente",P222)))</formula>
    </cfRule>
    <cfRule type="containsText" dxfId="4279" priority="4570" operator="containsText" text="No Aplica">
      <formula>NOT(ISERROR(SEARCH("No Aplica",P222)))</formula>
    </cfRule>
    <cfRule type="containsText" dxfId="4278" priority="4571" operator="containsText" text="Fallido">
      <formula>NOT(ISERROR(SEARCH("Fallido",P222)))</formula>
    </cfRule>
    <cfRule type="containsText" dxfId="4277" priority="4572" operator="containsText" text="Éxitoso">
      <formula>NOT(ISERROR(SEARCH("Éxitoso",P222)))</formula>
    </cfRule>
  </conditionalFormatting>
  <conditionalFormatting sqref="Q222">
    <cfRule type="containsText" dxfId="4276" priority="4563" operator="containsText" text="No se pudo ejecutar">
      <formula>NOT(ISERROR(SEARCH("No se pudo ejecutar",Q222)))</formula>
    </cfRule>
    <cfRule type="containsText" dxfId="4275" priority="4564" operator="containsText" text="Pendiente">
      <formula>NOT(ISERROR(SEARCH("Pendiente",Q222)))</formula>
    </cfRule>
    <cfRule type="containsText" dxfId="4274" priority="4565" operator="containsText" text="No Aplica">
      <formula>NOT(ISERROR(SEARCH("No Aplica",Q222)))</formula>
    </cfRule>
    <cfRule type="containsText" dxfId="4273" priority="4566" operator="containsText" text="Fallido">
      <formula>NOT(ISERROR(SEARCH("Fallido",Q222)))</formula>
    </cfRule>
    <cfRule type="containsText" dxfId="4272" priority="4567" operator="containsText" text="Éxitoso">
      <formula>NOT(ISERROR(SEARCH("Éxitoso",Q222)))</formula>
    </cfRule>
  </conditionalFormatting>
  <conditionalFormatting sqref="R222">
    <cfRule type="containsText" dxfId="4271" priority="4558" operator="containsText" text="No se pudo ejecutar">
      <formula>NOT(ISERROR(SEARCH("No se pudo ejecutar",R222)))</formula>
    </cfRule>
    <cfRule type="containsText" dxfId="4270" priority="4559" operator="containsText" text="Pendiente">
      <formula>NOT(ISERROR(SEARCH("Pendiente",R222)))</formula>
    </cfRule>
    <cfRule type="containsText" dxfId="4269" priority="4560" operator="containsText" text="No Aplica">
      <formula>NOT(ISERROR(SEARCH("No Aplica",R222)))</formula>
    </cfRule>
    <cfRule type="containsText" dxfId="4268" priority="4561" operator="containsText" text="Fallido">
      <formula>NOT(ISERROR(SEARCH("Fallido",R222)))</formula>
    </cfRule>
    <cfRule type="containsText" dxfId="4267" priority="4562" operator="containsText" text="Éxitoso">
      <formula>NOT(ISERROR(SEARCH("Éxitoso",R222)))</formula>
    </cfRule>
  </conditionalFormatting>
  <conditionalFormatting sqref="S222">
    <cfRule type="containsText" dxfId="4266" priority="4553" operator="containsText" text="No se pudo ejecutar">
      <formula>NOT(ISERROR(SEARCH("No se pudo ejecutar",S222)))</formula>
    </cfRule>
    <cfRule type="containsText" dxfId="4265" priority="4554" operator="containsText" text="Pendiente">
      <formula>NOT(ISERROR(SEARCH("Pendiente",S222)))</formula>
    </cfRule>
    <cfRule type="containsText" dxfId="4264" priority="4555" operator="containsText" text="No Aplica">
      <formula>NOT(ISERROR(SEARCH("No Aplica",S222)))</formula>
    </cfRule>
    <cfRule type="containsText" dxfId="4263" priority="4556" operator="containsText" text="Fallido">
      <formula>NOT(ISERROR(SEARCH("Fallido",S222)))</formula>
    </cfRule>
    <cfRule type="containsText" dxfId="4262" priority="4557" operator="containsText" text="Éxitoso">
      <formula>NOT(ISERROR(SEARCH("Éxitoso",S222)))</formula>
    </cfRule>
  </conditionalFormatting>
  <conditionalFormatting sqref="T222">
    <cfRule type="containsText" dxfId="4261" priority="4548" operator="containsText" text="No se pudo ejecutar">
      <formula>NOT(ISERROR(SEARCH("No se pudo ejecutar",T222)))</formula>
    </cfRule>
    <cfRule type="containsText" dxfId="4260" priority="4549" operator="containsText" text="Pendiente">
      <formula>NOT(ISERROR(SEARCH("Pendiente",T222)))</formula>
    </cfRule>
    <cfRule type="containsText" dxfId="4259" priority="4550" operator="containsText" text="No Aplica">
      <formula>NOT(ISERROR(SEARCH("No Aplica",T222)))</formula>
    </cfRule>
    <cfRule type="containsText" dxfId="4258" priority="4551" operator="containsText" text="Fallido">
      <formula>NOT(ISERROR(SEARCH("Fallido",T222)))</formula>
    </cfRule>
    <cfRule type="containsText" dxfId="4257" priority="4552" operator="containsText" text="Éxitoso">
      <formula>NOT(ISERROR(SEARCH("Éxitoso",T222)))</formula>
    </cfRule>
  </conditionalFormatting>
  <conditionalFormatting sqref="U222">
    <cfRule type="containsText" dxfId="4256" priority="4543" operator="containsText" text="No se pudo ejecutar">
      <formula>NOT(ISERROR(SEARCH("No se pudo ejecutar",U222)))</formula>
    </cfRule>
    <cfRule type="containsText" dxfId="4255" priority="4544" operator="containsText" text="Pendiente">
      <formula>NOT(ISERROR(SEARCH("Pendiente",U222)))</formula>
    </cfRule>
    <cfRule type="containsText" dxfId="4254" priority="4545" operator="containsText" text="No Aplica">
      <formula>NOT(ISERROR(SEARCH("No Aplica",U222)))</formula>
    </cfRule>
    <cfRule type="containsText" dxfId="4253" priority="4546" operator="containsText" text="Fallido">
      <formula>NOT(ISERROR(SEARCH("Fallido",U222)))</formula>
    </cfRule>
    <cfRule type="containsText" dxfId="4252" priority="4547" operator="containsText" text="Éxitoso">
      <formula>NOT(ISERROR(SEARCH("Éxitoso",U222)))</formula>
    </cfRule>
  </conditionalFormatting>
  <conditionalFormatting sqref="V222">
    <cfRule type="containsText" dxfId="4251" priority="4538" operator="containsText" text="No se pudo ejecutar">
      <formula>NOT(ISERROR(SEARCH("No se pudo ejecutar",V222)))</formula>
    </cfRule>
    <cfRule type="containsText" dxfId="4250" priority="4539" operator="containsText" text="Pendiente">
      <formula>NOT(ISERROR(SEARCH("Pendiente",V222)))</formula>
    </cfRule>
    <cfRule type="containsText" dxfId="4249" priority="4540" operator="containsText" text="No Aplica">
      <formula>NOT(ISERROR(SEARCH("No Aplica",V222)))</formula>
    </cfRule>
    <cfRule type="containsText" dxfId="4248" priority="4541" operator="containsText" text="Fallido">
      <formula>NOT(ISERROR(SEARCH("Fallido",V222)))</formula>
    </cfRule>
    <cfRule type="containsText" dxfId="4247" priority="4542" operator="containsText" text="Éxitoso">
      <formula>NOT(ISERROR(SEARCH("Éxitoso",V222)))</formula>
    </cfRule>
  </conditionalFormatting>
  <conditionalFormatting sqref="W222">
    <cfRule type="containsText" dxfId="4246" priority="4533" operator="containsText" text="No se pudo ejecutar">
      <formula>NOT(ISERROR(SEARCH("No se pudo ejecutar",W222)))</formula>
    </cfRule>
    <cfRule type="containsText" dxfId="4245" priority="4534" operator="containsText" text="Pendiente">
      <formula>NOT(ISERROR(SEARCH("Pendiente",W222)))</formula>
    </cfRule>
    <cfRule type="containsText" dxfId="4244" priority="4535" operator="containsText" text="No Aplica">
      <formula>NOT(ISERROR(SEARCH("No Aplica",W222)))</formula>
    </cfRule>
    <cfRule type="containsText" dxfId="4243" priority="4536" operator="containsText" text="Fallido">
      <formula>NOT(ISERROR(SEARCH("Fallido",W222)))</formula>
    </cfRule>
    <cfRule type="containsText" dxfId="4242" priority="4537" operator="containsText" text="Éxitoso">
      <formula>NOT(ISERROR(SEARCH("Éxitoso",W222)))</formula>
    </cfRule>
  </conditionalFormatting>
  <conditionalFormatting sqref="M222">
    <cfRule type="containsText" dxfId="4241" priority="4528" operator="containsText" text="No se pudo ejecutar">
      <formula>NOT(ISERROR(SEARCH("No se pudo ejecutar",M222)))</formula>
    </cfRule>
    <cfRule type="containsText" dxfId="4240" priority="4529" operator="containsText" text="Pendiente">
      <formula>NOT(ISERROR(SEARCH("Pendiente",M222)))</formula>
    </cfRule>
    <cfRule type="containsText" dxfId="4239" priority="4530" operator="containsText" text="No Aplica">
      <formula>NOT(ISERROR(SEARCH("No Aplica",M222)))</formula>
    </cfRule>
    <cfRule type="containsText" dxfId="4238" priority="4531" operator="containsText" text="Fallido">
      <formula>NOT(ISERROR(SEARCH("Fallido",M222)))</formula>
    </cfRule>
    <cfRule type="containsText" dxfId="4237" priority="4532" operator="containsText" text="Éxitoso">
      <formula>NOT(ISERROR(SEARCH("Éxitoso",M222)))</formula>
    </cfRule>
  </conditionalFormatting>
  <conditionalFormatting sqref="G222">
    <cfRule type="containsText" dxfId="4236" priority="4525" operator="containsText" text="Bajo">
      <formula>NOT(ISERROR(SEARCH("Bajo",G222)))</formula>
    </cfRule>
    <cfRule type="containsText" dxfId="4235" priority="4526" operator="containsText" text="Medio">
      <formula>NOT(ISERROR(SEARCH("Medio",G222)))</formula>
    </cfRule>
    <cfRule type="containsText" dxfId="4234" priority="4527" operator="containsText" text="Alto">
      <formula>NOT(ISERROR(SEARCH("Alto",G222)))</formula>
    </cfRule>
  </conditionalFormatting>
  <conditionalFormatting sqref="N223">
    <cfRule type="containsText" dxfId="4233" priority="4520" operator="containsText" text="No se pudo ejecutar">
      <formula>NOT(ISERROR(SEARCH("No se pudo ejecutar",N223)))</formula>
    </cfRule>
    <cfRule type="containsText" dxfId="4232" priority="4521" operator="containsText" text="Pendiente">
      <formula>NOT(ISERROR(SEARCH("Pendiente",N223)))</formula>
    </cfRule>
    <cfRule type="containsText" dxfId="4231" priority="4522" operator="containsText" text="No Aplica">
      <formula>NOT(ISERROR(SEARCH("No Aplica",N223)))</formula>
    </cfRule>
    <cfRule type="containsText" dxfId="4230" priority="4523" operator="containsText" text="Fallido">
      <formula>NOT(ISERROR(SEARCH("Fallido",N223)))</formula>
    </cfRule>
    <cfRule type="containsText" dxfId="4229" priority="4524" operator="containsText" text="Éxitoso">
      <formula>NOT(ISERROR(SEARCH("Éxitoso",N223)))</formula>
    </cfRule>
  </conditionalFormatting>
  <conditionalFormatting sqref="O223">
    <cfRule type="containsText" dxfId="4228" priority="4515" operator="containsText" text="No se pudo ejecutar">
      <formula>NOT(ISERROR(SEARCH("No se pudo ejecutar",O223)))</formula>
    </cfRule>
    <cfRule type="containsText" dxfId="4227" priority="4516" operator="containsText" text="Pendiente">
      <formula>NOT(ISERROR(SEARCH("Pendiente",O223)))</formula>
    </cfRule>
    <cfRule type="containsText" dxfId="4226" priority="4517" operator="containsText" text="No Aplica">
      <formula>NOT(ISERROR(SEARCH("No Aplica",O223)))</formula>
    </cfRule>
    <cfRule type="containsText" dxfId="4225" priority="4518" operator="containsText" text="Fallido">
      <formula>NOT(ISERROR(SEARCH("Fallido",O223)))</formula>
    </cfRule>
    <cfRule type="containsText" dxfId="4224" priority="4519" operator="containsText" text="Éxitoso">
      <formula>NOT(ISERROR(SEARCH("Éxitoso",O223)))</formula>
    </cfRule>
  </conditionalFormatting>
  <conditionalFormatting sqref="P223">
    <cfRule type="containsText" dxfId="4223" priority="4510" operator="containsText" text="No se pudo ejecutar">
      <formula>NOT(ISERROR(SEARCH("No se pudo ejecutar",P223)))</formula>
    </cfRule>
    <cfRule type="containsText" dxfId="4222" priority="4511" operator="containsText" text="Pendiente">
      <formula>NOT(ISERROR(SEARCH("Pendiente",P223)))</formula>
    </cfRule>
    <cfRule type="containsText" dxfId="4221" priority="4512" operator="containsText" text="No Aplica">
      <formula>NOT(ISERROR(SEARCH("No Aplica",P223)))</formula>
    </cfRule>
    <cfRule type="containsText" dxfId="4220" priority="4513" operator="containsText" text="Fallido">
      <formula>NOT(ISERROR(SEARCH("Fallido",P223)))</formula>
    </cfRule>
    <cfRule type="containsText" dxfId="4219" priority="4514" operator="containsText" text="Éxitoso">
      <formula>NOT(ISERROR(SEARCH("Éxitoso",P223)))</formula>
    </cfRule>
  </conditionalFormatting>
  <conditionalFormatting sqref="Q223">
    <cfRule type="containsText" dxfId="4218" priority="4505" operator="containsText" text="No se pudo ejecutar">
      <formula>NOT(ISERROR(SEARCH("No se pudo ejecutar",Q223)))</formula>
    </cfRule>
    <cfRule type="containsText" dxfId="4217" priority="4506" operator="containsText" text="Pendiente">
      <formula>NOT(ISERROR(SEARCH("Pendiente",Q223)))</formula>
    </cfRule>
    <cfRule type="containsText" dxfId="4216" priority="4507" operator="containsText" text="No Aplica">
      <formula>NOT(ISERROR(SEARCH("No Aplica",Q223)))</formula>
    </cfRule>
    <cfRule type="containsText" dxfId="4215" priority="4508" operator="containsText" text="Fallido">
      <formula>NOT(ISERROR(SEARCH("Fallido",Q223)))</formula>
    </cfRule>
    <cfRule type="containsText" dxfId="4214" priority="4509" operator="containsText" text="Éxitoso">
      <formula>NOT(ISERROR(SEARCH("Éxitoso",Q223)))</formula>
    </cfRule>
  </conditionalFormatting>
  <conditionalFormatting sqref="R223">
    <cfRule type="containsText" dxfId="4213" priority="4500" operator="containsText" text="No se pudo ejecutar">
      <formula>NOT(ISERROR(SEARCH("No se pudo ejecutar",R223)))</formula>
    </cfRule>
    <cfRule type="containsText" dxfId="4212" priority="4501" operator="containsText" text="Pendiente">
      <formula>NOT(ISERROR(SEARCH("Pendiente",R223)))</formula>
    </cfRule>
    <cfRule type="containsText" dxfId="4211" priority="4502" operator="containsText" text="No Aplica">
      <formula>NOT(ISERROR(SEARCH("No Aplica",R223)))</formula>
    </cfRule>
    <cfRule type="containsText" dxfId="4210" priority="4503" operator="containsText" text="Fallido">
      <formula>NOT(ISERROR(SEARCH("Fallido",R223)))</formula>
    </cfRule>
    <cfRule type="containsText" dxfId="4209" priority="4504" operator="containsText" text="Éxitoso">
      <formula>NOT(ISERROR(SEARCH("Éxitoso",R223)))</formula>
    </cfRule>
  </conditionalFormatting>
  <conditionalFormatting sqref="S223">
    <cfRule type="containsText" dxfId="4208" priority="4495" operator="containsText" text="No se pudo ejecutar">
      <formula>NOT(ISERROR(SEARCH("No se pudo ejecutar",S223)))</formula>
    </cfRule>
    <cfRule type="containsText" dxfId="4207" priority="4496" operator="containsText" text="Pendiente">
      <formula>NOT(ISERROR(SEARCH("Pendiente",S223)))</formula>
    </cfRule>
    <cfRule type="containsText" dxfId="4206" priority="4497" operator="containsText" text="No Aplica">
      <formula>NOT(ISERROR(SEARCH("No Aplica",S223)))</formula>
    </cfRule>
    <cfRule type="containsText" dxfId="4205" priority="4498" operator="containsText" text="Fallido">
      <formula>NOT(ISERROR(SEARCH("Fallido",S223)))</formula>
    </cfRule>
    <cfRule type="containsText" dxfId="4204" priority="4499" operator="containsText" text="Éxitoso">
      <formula>NOT(ISERROR(SEARCH("Éxitoso",S223)))</formula>
    </cfRule>
  </conditionalFormatting>
  <conditionalFormatting sqref="T223">
    <cfRule type="containsText" dxfId="4203" priority="4490" operator="containsText" text="No se pudo ejecutar">
      <formula>NOT(ISERROR(SEARCH("No se pudo ejecutar",T223)))</formula>
    </cfRule>
    <cfRule type="containsText" dxfId="4202" priority="4491" operator="containsText" text="Pendiente">
      <formula>NOT(ISERROR(SEARCH("Pendiente",T223)))</formula>
    </cfRule>
    <cfRule type="containsText" dxfId="4201" priority="4492" operator="containsText" text="No Aplica">
      <formula>NOT(ISERROR(SEARCH("No Aplica",T223)))</formula>
    </cfRule>
    <cfRule type="containsText" dxfId="4200" priority="4493" operator="containsText" text="Fallido">
      <formula>NOT(ISERROR(SEARCH("Fallido",T223)))</formula>
    </cfRule>
    <cfRule type="containsText" dxfId="4199" priority="4494" operator="containsText" text="Éxitoso">
      <formula>NOT(ISERROR(SEARCH("Éxitoso",T223)))</formula>
    </cfRule>
  </conditionalFormatting>
  <conditionalFormatting sqref="U223">
    <cfRule type="containsText" dxfId="4198" priority="4485" operator="containsText" text="No se pudo ejecutar">
      <formula>NOT(ISERROR(SEARCH("No se pudo ejecutar",U223)))</formula>
    </cfRule>
    <cfRule type="containsText" dxfId="4197" priority="4486" operator="containsText" text="Pendiente">
      <formula>NOT(ISERROR(SEARCH("Pendiente",U223)))</formula>
    </cfRule>
    <cfRule type="containsText" dxfId="4196" priority="4487" operator="containsText" text="No Aplica">
      <formula>NOT(ISERROR(SEARCH("No Aplica",U223)))</formula>
    </cfRule>
    <cfRule type="containsText" dxfId="4195" priority="4488" operator="containsText" text="Fallido">
      <formula>NOT(ISERROR(SEARCH("Fallido",U223)))</formula>
    </cfRule>
    <cfRule type="containsText" dxfId="4194" priority="4489" operator="containsText" text="Éxitoso">
      <formula>NOT(ISERROR(SEARCH("Éxitoso",U223)))</formula>
    </cfRule>
  </conditionalFormatting>
  <conditionalFormatting sqref="V223">
    <cfRule type="containsText" dxfId="4193" priority="4480" operator="containsText" text="No se pudo ejecutar">
      <formula>NOT(ISERROR(SEARCH("No se pudo ejecutar",V223)))</formula>
    </cfRule>
    <cfRule type="containsText" dxfId="4192" priority="4481" operator="containsText" text="Pendiente">
      <formula>NOT(ISERROR(SEARCH("Pendiente",V223)))</formula>
    </cfRule>
    <cfRule type="containsText" dxfId="4191" priority="4482" operator="containsText" text="No Aplica">
      <formula>NOT(ISERROR(SEARCH("No Aplica",V223)))</formula>
    </cfRule>
    <cfRule type="containsText" dxfId="4190" priority="4483" operator="containsText" text="Fallido">
      <formula>NOT(ISERROR(SEARCH("Fallido",V223)))</formula>
    </cfRule>
    <cfRule type="containsText" dxfId="4189" priority="4484" operator="containsText" text="Éxitoso">
      <formula>NOT(ISERROR(SEARCH("Éxitoso",V223)))</formula>
    </cfRule>
  </conditionalFormatting>
  <conditionalFormatting sqref="W223">
    <cfRule type="containsText" dxfId="4188" priority="4475" operator="containsText" text="No se pudo ejecutar">
      <formula>NOT(ISERROR(SEARCH("No se pudo ejecutar",W223)))</formula>
    </cfRule>
    <cfRule type="containsText" dxfId="4187" priority="4476" operator="containsText" text="Pendiente">
      <formula>NOT(ISERROR(SEARCH("Pendiente",W223)))</formula>
    </cfRule>
    <cfRule type="containsText" dxfId="4186" priority="4477" operator="containsText" text="No Aplica">
      <formula>NOT(ISERROR(SEARCH("No Aplica",W223)))</formula>
    </cfRule>
    <cfRule type="containsText" dxfId="4185" priority="4478" operator="containsText" text="Fallido">
      <formula>NOT(ISERROR(SEARCH("Fallido",W223)))</formula>
    </cfRule>
    <cfRule type="containsText" dxfId="4184" priority="4479" operator="containsText" text="Éxitoso">
      <formula>NOT(ISERROR(SEARCH("Éxitoso",W223)))</formula>
    </cfRule>
  </conditionalFormatting>
  <conditionalFormatting sqref="M223">
    <cfRule type="containsText" dxfId="4183" priority="4470" operator="containsText" text="No se pudo ejecutar">
      <formula>NOT(ISERROR(SEARCH("No se pudo ejecutar",M223)))</formula>
    </cfRule>
    <cfRule type="containsText" dxfId="4182" priority="4471" operator="containsText" text="Pendiente">
      <formula>NOT(ISERROR(SEARCH("Pendiente",M223)))</formula>
    </cfRule>
    <cfRule type="containsText" dxfId="4181" priority="4472" operator="containsText" text="No Aplica">
      <formula>NOT(ISERROR(SEARCH("No Aplica",M223)))</formula>
    </cfRule>
    <cfRule type="containsText" dxfId="4180" priority="4473" operator="containsText" text="Fallido">
      <formula>NOT(ISERROR(SEARCH("Fallido",M223)))</formula>
    </cfRule>
    <cfRule type="containsText" dxfId="4179" priority="4474" operator="containsText" text="Éxitoso">
      <formula>NOT(ISERROR(SEARCH("Éxitoso",M223)))</formula>
    </cfRule>
  </conditionalFormatting>
  <conditionalFormatting sqref="G223">
    <cfRule type="containsText" dxfId="4178" priority="4467" operator="containsText" text="Bajo">
      <formula>NOT(ISERROR(SEARCH("Bajo",G223)))</formula>
    </cfRule>
    <cfRule type="containsText" dxfId="4177" priority="4468" operator="containsText" text="Medio">
      <formula>NOT(ISERROR(SEARCH("Medio",G223)))</formula>
    </cfRule>
    <cfRule type="containsText" dxfId="4176" priority="4469" operator="containsText" text="Alto">
      <formula>NOT(ISERROR(SEARCH("Alto",G223)))</formula>
    </cfRule>
  </conditionalFormatting>
  <conditionalFormatting sqref="N224">
    <cfRule type="containsText" dxfId="4175" priority="4462" operator="containsText" text="No se pudo ejecutar">
      <formula>NOT(ISERROR(SEARCH("No se pudo ejecutar",N224)))</formula>
    </cfRule>
    <cfRule type="containsText" dxfId="4174" priority="4463" operator="containsText" text="Pendiente">
      <formula>NOT(ISERROR(SEARCH("Pendiente",N224)))</formula>
    </cfRule>
    <cfRule type="containsText" dxfId="4173" priority="4464" operator="containsText" text="No Aplica">
      <formula>NOT(ISERROR(SEARCH("No Aplica",N224)))</formula>
    </cfRule>
    <cfRule type="containsText" dxfId="4172" priority="4465" operator="containsText" text="Fallido">
      <formula>NOT(ISERROR(SEARCH("Fallido",N224)))</formula>
    </cfRule>
    <cfRule type="containsText" dxfId="4171" priority="4466" operator="containsText" text="Éxitoso">
      <formula>NOT(ISERROR(SEARCH("Éxitoso",N224)))</formula>
    </cfRule>
  </conditionalFormatting>
  <conditionalFormatting sqref="O224">
    <cfRule type="containsText" dxfId="4170" priority="4457" operator="containsText" text="No se pudo ejecutar">
      <formula>NOT(ISERROR(SEARCH("No se pudo ejecutar",O224)))</formula>
    </cfRule>
    <cfRule type="containsText" dxfId="4169" priority="4458" operator="containsText" text="Pendiente">
      <formula>NOT(ISERROR(SEARCH("Pendiente",O224)))</formula>
    </cfRule>
    <cfRule type="containsText" dxfId="4168" priority="4459" operator="containsText" text="No Aplica">
      <formula>NOT(ISERROR(SEARCH("No Aplica",O224)))</formula>
    </cfRule>
    <cfRule type="containsText" dxfId="4167" priority="4460" operator="containsText" text="Fallido">
      <formula>NOT(ISERROR(SEARCH("Fallido",O224)))</formula>
    </cfRule>
    <cfRule type="containsText" dxfId="4166" priority="4461" operator="containsText" text="Éxitoso">
      <formula>NOT(ISERROR(SEARCH("Éxitoso",O224)))</formula>
    </cfRule>
  </conditionalFormatting>
  <conditionalFormatting sqref="P224">
    <cfRule type="containsText" dxfId="4165" priority="4452" operator="containsText" text="No se pudo ejecutar">
      <formula>NOT(ISERROR(SEARCH("No se pudo ejecutar",P224)))</formula>
    </cfRule>
    <cfRule type="containsText" dxfId="4164" priority="4453" operator="containsText" text="Pendiente">
      <formula>NOT(ISERROR(SEARCH("Pendiente",P224)))</formula>
    </cfRule>
    <cfRule type="containsText" dxfId="4163" priority="4454" operator="containsText" text="No Aplica">
      <formula>NOT(ISERROR(SEARCH("No Aplica",P224)))</formula>
    </cfRule>
    <cfRule type="containsText" dxfId="4162" priority="4455" operator="containsText" text="Fallido">
      <formula>NOT(ISERROR(SEARCH("Fallido",P224)))</formula>
    </cfRule>
    <cfRule type="containsText" dxfId="4161" priority="4456" operator="containsText" text="Éxitoso">
      <formula>NOT(ISERROR(SEARCH("Éxitoso",P224)))</formula>
    </cfRule>
  </conditionalFormatting>
  <conditionalFormatting sqref="Q224">
    <cfRule type="containsText" dxfId="4160" priority="4447" operator="containsText" text="No se pudo ejecutar">
      <formula>NOT(ISERROR(SEARCH("No se pudo ejecutar",Q224)))</formula>
    </cfRule>
    <cfRule type="containsText" dxfId="4159" priority="4448" operator="containsText" text="Pendiente">
      <formula>NOT(ISERROR(SEARCH("Pendiente",Q224)))</formula>
    </cfRule>
    <cfRule type="containsText" dxfId="4158" priority="4449" operator="containsText" text="No Aplica">
      <formula>NOT(ISERROR(SEARCH("No Aplica",Q224)))</formula>
    </cfRule>
    <cfRule type="containsText" dxfId="4157" priority="4450" operator="containsText" text="Fallido">
      <formula>NOT(ISERROR(SEARCH("Fallido",Q224)))</formula>
    </cfRule>
    <cfRule type="containsText" dxfId="4156" priority="4451" operator="containsText" text="Éxitoso">
      <formula>NOT(ISERROR(SEARCH("Éxitoso",Q224)))</formula>
    </cfRule>
  </conditionalFormatting>
  <conditionalFormatting sqref="R224">
    <cfRule type="containsText" dxfId="4155" priority="4442" operator="containsText" text="No se pudo ejecutar">
      <formula>NOT(ISERROR(SEARCH("No se pudo ejecutar",R224)))</formula>
    </cfRule>
    <cfRule type="containsText" dxfId="4154" priority="4443" operator="containsText" text="Pendiente">
      <formula>NOT(ISERROR(SEARCH("Pendiente",R224)))</formula>
    </cfRule>
    <cfRule type="containsText" dxfId="4153" priority="4444" operator="containsText" text="No Aplica">
      <formula>NOT(ISERROR(SEARCH("No Aplica",R224)))</formula>
    </cfRule>
    <cfRule type="containsText" dxfId="4152" priority="4445" operator="containsText" text="Fallido">
      <formula>NOT(ISERROR(SEARCH("Fallido",R224)))</formula>
    </cfRule>
    <cfRule type="containsText" dxfId="4151" priority="4446" operator="containsText" text="Éxitoso">
      <formula>NOT(ISERROR(SEARCH("Éxitoso",R224)))</formula>
    </cfRule>
  </conditionalFormatting>
  <conditionalFormatting sqref="S224">
    <cfRule type="containsText" dxfId="4150" priority="4437" operator="containsText" text="No se pudo ejecutar">
      <formula>NOT(ISERROR(SEARCH("No se pudo ejecutar",S224)))</formula>
    </cfRule>
    <cfRule type="containsText" dxfId="4149" priority="4438" operator="containsText" text="Pendiente">
      <formula>NOT(ISERROR(SEARCH("Pendiente",S224)))</formula>
    </cfRule>
    <cfRule type="containsText" dxfId="4148" priority="4439" operator="containsText" text="No Aplica">
      <formula>NOT(ISERROR(SEARCH("No Aplica",S224)))</formula>
    </cfRule>
    <cfRule type="containsText" dxfId="4147" priority="4440" operator="containsText" text="Fallido">
      <formula>NOT(ISERROR(SEARCH("Fallido",S224)))</formula>
    </cfRule>
    <cfRule type="containsText" dxfId="4146" priority="4441" operator="containsText" text="Éxitoso">
      <formula>NOT(ISERROR(SEARCH("Éxitoso",S224)))</formula>
    </cfRule>
  </conditionalFormatting>
  <conditionalFormatting sqref="T224">
    <cfRule type="containsText" dxfId="4145" priority="4432" operator="containsText" text="No se pudo ejecutar">
      <formula>NOT(ISERROR(SEARCH("No se pudo ejecutar",T224)))</formula>
    </cfRule>
    <cfRule type="containsText" dxfId="4144" priority="4433" operator="containsText" text="Pendiente">
      <formula>NOT(ISERROR(SEARCH("Pendiente",T224)))</formula>
    </cfRule>
    <cfRule type="containsText" dxfId="4143" priority="4434" operator="containsText" text="No Aplica">
      <formula>NOT(ISERROR(SEARCH("No Aplica",T224)))</formula>
    </cfRule>
    <cfRule type="containsText" dxfId="4142" priority="4435" operator="containsText" text="Fallido">
      <formula>NOT(ISERROR(SEARCH("Fallido",T224)))</formula>
    </cfRule>
    <cfRule type="containsText" dxfId="4141" priority="4436" operator="containsText" text="Éxitoso">
      <formula>NOT(ISERROR(SEARCH("Éxitoso",T224)))</formula>
    </cfRule>
  </conditionalFormatting>
  <conditionalFormatting sqref="U224">
    <cfRule type="containsText" dxfId="4140" priority="4427" operator="containsText" text="No se pudo ejecutar">
      <formula>NOT(ISERROR(SEARCH("No se pudo ejecutar",U224)))</formula>
    </cfRule>
    <cfRule type="containsText" dxfId="4139" priority="4428" operator="containsText" text="Pendiente">
      <formula>NOT(ISERROR(SEARCH("Pendiente",U224)))</formula>
    </cfRule>
    <cfRule type="containsText" dxfId="4138" priority="4429" operator="containsText" text="No Aplica">
      <formula>NOT(ISERROR(SEARCH("No Aplica",U224)))</formula>
    </cfRule>
    <cfRule type="containsText" dxfId="4137" priority="4430" operator="containsText" text="Fallido">
      <formula>NOT(ISERROR(SEARCH("Fallido",U224)))</formula>
    </cfRule>
    <cfRule type="containsText" dxfId="4136" priority="4431" operator="containsText" text="Éxitoso">
      <formula>NOT(ISERROR(SEARCH("Éxitoso",U224)))</formula>
    </cfRule>
  </conditionalFormatting>
  <conditionalFormatting sqref="V224">
    <cfRule type="containsText" dxfId="4135" priority="4422" operator="containsText" text="No se pudo ejecutar">
      <formula>NOT(ISERROR(SEARCH("No se pudo ejecutar",V224)))</formula>
    </cfRule>
    <cfRule type="containsText" dxfId="4134" priority="4423" operator="containsText" text="Pendiente">
      <formula>NOT(ISERROR(SEARCH("Pendiente",V224)))</formula>
    </cfRule>
    <cfRule type="containsText" dxfId="4133" priority="4424" operator="containsText" text="No Aplica">
      <formula>NOT(ISERROR(SEARCH("No Aplica",V224)))</formula>
    </cfRule>
    <cfRule type="containsText" dxfId="4132" priority="4425" operator="containsText" text="Fallido">
      <formula>NOT(ISERROR(SEARCH("Fallido",V224)))</formula>
    </cfRule>
    <cfRule type="containsText" dxfId="4131" priority="4426" operator="containsText" text="Éxitoso">
      <formula>NOT(ISERROR(SEARCH("Éxitoso",V224)))</formula>
    </cfRule>
  </conditionalFormatting>
  <conditionalFormatting sqref="W224">
    <cfRule type="containsText" dxfId="4130" priority="4417" operator="containsText" text="No se pudo ejecutar">
      <formula>NOT(ISERROR(SEARCH("No se pudo ejecutar",W224)))</formula>
    </cfRule>
    <cfRule type="containsText" dxfId="4129" priority="4418" operator="containsText" text="Pendiente">
      <formula>NOT(ISERROR(SEARCH("Pendiente",W224)))</formula>
    </cfRule>
    <cfRule type="containsText" dxfId="4128" priority="4419" operator="containsText" text="No Aplica">
      <formula>NOT(ISERROR(SEARCH("No Aplica",W224)))</formula>
    </cfRule>
    <cfRule type="containsText" dxfId="4127" priority="4420" operator="containsText" text="Fallido">
      <formula>NOT(ISERROR(SEARCH("Fallido",W224)))</formula>
    </cfRule>
    <cfRule type="containsText" dxfId="4126" priority="4421" operator="containsText" text="Éxitoso">
      <formula>NOT(ISERROR(SEARCH("Éxitoso",W224)))</formula>
    </cfRule>
  </conditionalFormatting>
  <conditionalFormatting sqref="M224">
    <cfRule type="containsText" dxfId="4125" priority="4412" operator="containsText" text="No se pudo ejecutar">
      <formula>NOT(ISERROR(SEARCH("No se pudo ejecutar",M224)))</formula>
    </cfRule>
    <cfRule type="containsText" dxfId="4124" priority="4413" operator="containsText" text="Pendiente">
      <formula>NOT(ISERROR(SEARCH("Pendiente",M224)))</formula>
    </cfRule>
    <cfRule type="containsText" dxfId="4123" priority="4414" operator="containsText" text="No Aplica">
      <formula>NOT(ISERROR(SEARCH("No Aplica",M224)))</formula>
    </cfRule>
    <cfRule type="containsText" dxfId="4122" priority="4415" operator="containsText" text="Fallido">
      <formula>NOT(ISERROR(SEARCH("Fallido",M224)))</formula>
    </cfRule>
    <cfRule type="containsText" dxfId="4121" priority="4416" operator="containsText" text="Éxitoso">
      <formula>NOT(ISERROR(SEARCH("Éxitoso",M224)))</formula>
    </cfRule>
  </conditionalFormatting>
  <conditionalFormatting sqref="G224">
    <cfRule type="containsText" dxfId="4120" priority="4409" operator="containsText" text="Bajo">
      <formula>NOT(ISERROR(SEARCH("Bajo",G224)))</formula>
    </cfRule>
    <cfRule type="containsText" dxfId="4119" priority="4410" operator="containsText" text="Medio">
      <formula>NOT(ISERROR(SEARCH("Medio",G224)))</formula>
    </cfRule>
    <cfRule type="containsText" dxfId="4118" priority="4411" operator="containsText" text="Alto">
      <formula>NOT(ISERROR(SEARCH("Alto",G224)))</formula>
    </cfRule>
  </conditionalFormatting>
  <conditionalFormatting sqref="N225">
    <cfRule type="containsText" dxfId="4117" priority="4404" operator="containsText" text="No se pudo ejecutar">
      <formula>NOT(ISERROR(SEARCH("No se pudo ejecutar",N225)))</formula>
    </cfRule>
    <cfRule type="containsText" dxfId="4116" priority="4405" operator="containsText" text="Pendiente">
      <formula>NOT(ISERROR(SEARCH("Pendiente",N225)))</formula>
    </cfRule>
    <cfRule type="containsText" dxfId="4115" priority="4406" operator="containsText" text="No Aplica">
      <formula>NOT(ISERROR(SEARCH("No Aplica",N225)))</formula>
    </cfRule>
    <cfRule type="containsText" dxfId="4114" priority="4407" operator="containsText" text="Fallido">
      <formula>NOT(ISERROR(SEARCH("Fallido",N225)))</formula>
    </cfRule>
    <cfRule type="containsText" dxfId="4113" priority="4408" operator="containsText" text="Éxitoso">
      <formula>NOT(ISERROR(SEARCH("Éxitoso",N225)))</formula>
    </cfRule>
  </conditionalFormatting>
  <conditionalFormatting sqref="O225">
    <cfRule type="containsText" dxfId="4112" priority="4399" operator="containsText" text="No se pudo ejecutar">
      <formula>NOT(ISERROR(SEARCH("No se pudo ejecutar",O225)))</formula>
    </cfRule>
    <cfRule type="containsText" dxfId="4111" priority="4400" operator="containsText" text="Pendiente">
      <formula>NOT(ISERROR(SEARCH("Pendiente",O225)))</formula>
    </cfRule>
    <cfRule type="containsText" dxfId="4110" priority="4401" operator="containsText" text="No Aplica">
      <formula>NOT(ISERROR(SEARCH("No Aplica",O225)))</formula>
    </cfRule>
    <cfRule type="containsText" dxfId="4109" priority="4402" operator="containsText" text="Fallido">
      <formula>NOT(ISERROR(SEARCH("Fallido",O225)))</formula>
    </cfRule>
    <cfRule type="containsText" dxfId="4108" priority="4403" operator="containsText" text="Éxitoso">
      <formula>NOT(ISERROR(SEARCH("Éxitoso",O225)))</formula>
    </cfRule>
  </conditionalFormatting>
  <conditionalFormatting sqref="P225">
    <cfRule type="containsText" dxfId="4107" priority="4394" operator="containsText" text="No se pudo ejecutar">
      <formula>NOT(ISERROR(SEARCH("No se pudo ejecutar",P225)))</formula>
    </cfRule>
    <cfRule type="containsText" dxfId="4106" priority="4395" operator="containsText" text="Pendiente">
      <formula>NOT(ISERROR(SEARCH("Pendiente",P225)))</formula>
    </cfRule>
    <cfRule type="containsText" dxfId="4105" priority="4396" operator="containsText" text="No Aplica">
      <formula>NOT(ISERROR(SEARCH("No Aplica",P225)))</formula>
    </cfRule>
    <cfRule type="containsText" dxfId="4104" priority="4397" operator="containsText" text="Fallido">
      <formula>NOT(ISERROR(SEARCH("Fallido",P225)))</formula>
    </cfRule>
    <cfRule type="containsText" dxfId="4103" priority="4398" operator="containsText" text="Éxitoso">
      <formula>NOT(ISERROR(SEARCH("Éxitoso",P225)))</formula>
    </cfRule>
  </conditionalFormatting>
  <conditionalFormatting sqref="Q225">
    <cfRule type="containsText" dxfId="4102" priority="4389" operator="containsText" text="No se pudo ejecutar">
      <formula>NOT(ISERROR(SEARCH("No se pudo ejecutar",Q225)))</formula>
    </cfRule>
    <cfRule type="containsText" dxfId="4101" priority="4390" operator="containsText" text="Pendiente">
      <formula>NOT(ISERROR(SEARCH("Pendiente",Q225)))</formula>
    </cfRule>
    <cfRule type="containsText" dxfId="4100" priority="4391" operator="containsText" text="No Aplica">
      <formula>NOT(ISERROR(SEARCH("No Aplica",Q225)))</formula>
    </cfRule>
    <cfRule type="containsText" dxfId="4099" priority="4392" operator="containsText" text="Fallido">
      <formula>NOT(ISERROR(SEARCH("Fallido",Q225)))</formula>
    </cfRule>
    <cfRule type="containsText" dxfId="4098" priority="4393" operator="containsText" text="Éxitoso">
      <formula>NOT(ISERROR(SEARCH("Éxitoso",Q225)))</formula>
    </cfRule>
  </conditionalFormatting>
  <conditionalFormatting sqref="R225">
    <cfRule type="containsText" dxfId="4097" priority="4384" operator="containsText" text="No se pudo ejecutar">
      <formula>NOT(ISERROR(SEARCH("No se pudo ejecutar",R225)))</formula>
    </cfRule>
    <cfRule type="containsText" dxfId="4096" priority="4385" operator="containsText" text="Pendiente">
      <formula>NOT(ISERROR(SEARCH("Pendiente",R225)))</formula>
    </cfRule>
    <cfRule type="containsText" dxfId="4095" priority="4386" operator="containsText" text="No Aplica">
      <formula>NOT(ISERROR(SEARCH("No Aplica",R225)))</formula>
    </cfRule>
    <cfRule type="containsText" dxfId="4094" priority="4387" operator="containsText" text="Fallido">
      <formula>NOT(ISERROR(SEARCH("Fallido",R225)))</formula>
    </cfRule>
    <cfRule type="containsText" dxfId="4093" priority="4388" operator="containsText" text="Éxitoso">
      <formula>NOT(ISERROR(SEARCH("Éxitoso",R225)))</formula>
    </cfRule>
  </conditionalFormatting>
  <conditionalFormatting sqref="S225">
    <cfRule type="containsText" dxfId="4092" priority="4379" operator="containsText" text="No se pudo ejecutar">
      <formula>NOT(ISERROR(SEARCH("No se pudo ejecutar",S225)))</formula>
    </cfRule>
    <cfRule type="containsText" dxfId="4091" priority="4380" operator="containsText" text="Pendiente">
      <formula>NOT(ISERROR(SEARCH("Pendiente",S225)))</formula>
    </cfRule>
    <cfRule type="containsText" dxfId="4090" priority="4381" operator="containsText" text="No Aplica">
      <formula>NOT(ISERROR(SEARCH("No Aplica",S225)))</formula>
    </cfRule>
    <cfRule type="containsText" dxfId="4089" priority="4382" operator="containsText" text="Fallido">
      <formula>NOT(ISERROR(SEARCH("Fallido",S225)))</formula>
    </cfRule>
    <cfRule type="containsText" dxfId="4088" priority="4383" operator="containsText" text="Éxitoso">
      <formula>NOT(ISERROR(SEARCH("Éxitoso",S225)))</formula>
    </cfRule>
  </conditionalFormatting>
  <conditionalFormatting sqref="T225">
    <cfRule type="containsText" dxfId="4087" priority="4374" operator="containsText" text="No se pudo ejecutar">
      <formula>NOT(ISERROR(SEARCH("No se pudo ejecutar",T225)))</formula>
    </cfRule>
    <cfRule type="containsText" dxfId="4086" priority="4375" operator="containsText" text="Pendiente">
      <formula>NOT(ISERROR(SEARCH("Pendiente",T225)))</formula>
    </cfRule>
    <cfRule type="containsText" dxfId="4085" priority="4376" operator="containsText" text="No Aplica">
      <formula>NOT(ISERROR(SEARCH("No Aplica",T225)))</formula>
    </cfRule>
    <cfRule type="containsText" dxfId="4084" priority="4377" operator="containsText" text="Fallido">
      <formula>NOT(ISERROR(SEARCH("Fallido",T225)))</formula>
    </cfRule>
    <cfRule type="containsText" dxfId="4083" priority="4378" operator="containsText" text="Éxitoso">
      <formula>NOT(ISERROR(SEARCH("Éxitoso",T225)))</formula>
    </cfRule>
  </conditionalFormatting>
  <conditionalFormatting sqref="U225">
    <cfRule type="containsText" dxfId="4082" priority="4369" operator="containsText" text="No se pudo ejecutar">
      <formula>NOT(ISERROR(SEARCH("No se pudo ejecutar",U225)))</formula>
    </cfRule>
    <cfRule type="containsText" dxfId="4081" priority="4370" operator="containsText" text="Pendiente">
      <formula>NOT(ISERROR(SEARCH("Pendiente",U225)))</formula>
    </cfRule>
    <cfRule type="containsText" dxfId="4080" priority="4371" operator="containsText" text="No Aplica">
      <formula>NOT(ISERROR(SEARCH("No Aplica",U225)))</formula>
    </cfRule>
    <cfRule type="containsText" dxfId="4079" priority="4372" operator="containsText" text="Fallido">
      <formula>NOT(ISERROR(SEARCH("Fallido",U225)))</formula>
    </cfRule>
    <cfRule type="containsText" dxfId="4078" priority="4373" operator="containsText" text="Éxitoso">
      <formula>NOT(ISERROR(SEARCH("Éxitoso",U225)))</formula>
    </cfRule>
  </conditionalFormatting>
  <conditionalFormatting sqref="V225">
    <cfRule type="containsText" dxfId="4077" priority="4364" operator="containsText" text="No se pudo ejecutar">
      <formula>NOT(ISERROR(SEARCH("No se pudo ejecutar",V225)))</formula>
    </cfRule>
    <cfRule type="containsText" dxfId="4076" priority="4365" operator="containsText" text="Pendiente">
      <formula>NOT(ISERROR(SEARCH("Pendiente",V225)))</formula>
    </cfRule>
    <cfRule type="containsText" dxfId="4075" priority="4366" operator="containsText" text="No Aplica">
      <formula>NOT(ISERROR(SEARCH("No Aplica",V225)))</formula>
    </cfRule>
    <cfRule type="containsText" dxfId="4074" priority="4367" operator="containsText" text="Fallido">
      <formula>NOT(ISERROR(SEARCH("Fallido",V225)))</formula>
    </cfRule>
    <cfRule type="containsText" dxfId="4073" priority="4368" operator="containsText" text="Éxitoso">
      <formula>NOT(ISERROR(SEARCH("Éxitoso",V225)))</formula>
    </cfRule>
  </conditionalFormatting>
  <conditionalFormatting sqref="W225">
    <cfRule type="containsText" dxfId="4072" priority="4359" operator="containsText" text="No se pudo ejecutar">
      <formula>NOT(ISERROR(SEARCH("No se pudo ejecutar",W225)))</formula>
    </cfRule>
    <cfRule type="containsText" dxfId="4071" priority="4360" operator="containsText" text="Pendiente">
      <formula>NOT(ISERROR(SEARCH("Pendiente",W225)))</formula>
    </cfRule>
    <cfRule type="containsText" dxfId="4070" priority="4361" operator="containsText" text="No Aplica">
      <formula>NOT(ISERROR(SEARCH("No Aplica",W225)))</formula>
    </cfRule>
    <cfRule type="containsText" dxfId="4069" priority="4362" operator="containsText" text="Fallido">
      <formula>NOT(ISERROR(SEARCH("Fallido",W225)))</formula>
    </cfRule>
    <cfRule type="containsText" dxfId="4068" priority="4363" operator="containsText" text="Éxitoso">
      <formula>NOT(ISERROR(SEARCH("Éxitoso",W225)))</formula>
    </cfRule>
  </conditionalFormatting>
  <conditionalFormatting sqref="M225">
    <cfRule type="containsText" dxfId="4067" priority="4354" operator="containsText" text="No se pudo ejecutar">
      <formula>NOT(ISERROR(SEARCH("No se pudo ejecutar",M225)))</formula>
    </cfRule>
    <cfRule type="containsText" dxfId="4066" priority="4355" operator="containsText" text="Pendiente">
      <formula>NOT(ISERROR(SEARCH("Pendiente",M225)))</formula>
    </cfRule>
    <cfRule type="containsText" dxfId="4065" priority="4356" operator="containsText" text="No Aplica">
      <formula>NOT(ISERROR(SEARCH("No Aplica",M225)))</formula>
    </cfRule>
    <cfRule type="containsText" dxfId="4064" priority="4357" operator="containsText" text="Fallido">
      <formula>NOT(ISERROR(SEARCH("Fallido",M225)))</formula>
    </cfRule>
    <cfRule type="containsText" dxfId="4063" priority="4358" operator="containsText" text="Éxitoso">
      <formula>NOT(ISERROR(SEARCH("Éxitoso",M225)))</formula>
    </cfRule>
  </conditionalFormatting>
  <conditionalFormatting sqref="G225">
    <cfRule type="containsText" dxfId="4062" priority="4351" operator="containsText" text="Bajo">
      <formula>NOT(ISERROR(SEARCH("Bajo",G225)))</formula>
    </cfRule>
    <cfRule type="containsText" dxfId="4061" priority="4352" operator="containsText" text="Medio">
      <formula>NOT(ISERROR(SEARCH("Medio",G225)))</formula>
    </cfRule>
    <cfRule type="containsText" dxfId="4060" priority="4353" operator="containsText" text="Alto">
      <formula>NOT(ISERROR(SEARCH("Alto",G225)))</formula>
    </cfRule>
  </conditionalFormatting>
  <conditionalFormatting sqref="N226">
    <cfRule type="containsText" dxfId="4059" priority="4346" operator="containsText" text="No se pudo ejecutar">
      <formula>NOT(ISERROR(SEARCH("No se pudo ejecutar",N226)))</formula>
    </cfRule>
    <cfRule type="containsText" dxfId="4058" priority="4347" operator="containsText" text="Pendiente">
      <formula>NOT(ISERROR(SEARCH("Pendiente",N226)))</formula>
    </cfRule>
    <cfRule type="containsText" dxfId="4057" priority="4348" operator="containsText" text="No Aplica">
      <formula>NOT(ISERROR(SEARCH("No Aplica",N226)))</formula>
    </cfRule>
    <cfRule type="containsText" dxfId="4056" priority="4349" operator="containsText" text="Fallido">
      <formula>NOT(ISERROR(SEARCH("Fallido",N226)))</formula>
    </cfRule>
    <cfRule type="containsText" dxfId="4055" priority="4350" operator="containsText" text="Éxitoso">
      <formula>NOT(ISERROR(SEARCH("Éxitoso",N226)))</formula>
    </cfRule>
  </conditionalFormatting>
  <conditionalFormatting sqref="O226">
    <cfRule type="containsText" dxfId="4054" priority="4341" operator="containsText" text="No se pudo ejecutar">
      <formula>NOT(ISERROR(SEARCH("No se pudo ejecutar",O226)))</formula>
    </cfRule>
    <cfRule type="containsText" dxfId="4053" priority="4342" operator="containsText" text="Pendiente">
      <formula>NOT(ISERROR(SEARCH("Pendiente",O226)))</formula>
    </cfRule>
    <cfRule type="containsText" dxfId="4052" priority="4343" operator="containsText" text="No Aplica">
      <formula>NOT(ISERROR(SEARCH("No Aplica",O226)))</formula>
    </cfRule>
    <cfRule type="containsText" dxfId="4051" priority="4344" operator="containsText" text="Fallido">
      <formula>NOT(ISERROR(SEARCH("Fallido",O226)))</formula>
    </cfRule>
    <cfRule type="containsText" dxfId="4050" priority="4345" operator="containsText" text="Éxitoso">
      <formula>NOT(ISERROR(SEARCH("Éxitoso",O226)))</formula>
    </cfRule>
  </conditionalFormatting>
  <conditionalFormatting sqref="P226">
    <cfRule type="containsText" dxfId="4049" priority="4336" operator="containsText" text="No se pudo ejecutar">
      <formula>NOT(ISERROR(SEARCH("No se pudo ejecutar",P226)))</formula>
    </cfRule>
    <cfRule type="containsText" dxfId="4048" priority="4337" operator="containsText" text="Pendiente">
      <formula>NOT(ISERROR(SEARCH("Pendiente",P226)))</formula>
    </cfRule>
    <cfRule type="containsText" dxfId="4047" priority="4338" operator="containsText" text="No Aplica">
      <formula>NOT(ISERROR(SEARCH("No Aplica",P226)))</formula>
    </cfRule>
    <cfRule type="containsText" dxfId="4046" priority="4339" operator="containsText" text="Fallido">
      <formula>NOT(ISERROR(SEARCH("Fallido",P226)))</formula>
    </cfRule>
    <cfRule type="containsText" dxfId="4045" priority="4340" operator="containsText" text="Éxitoso">
      <formula>NOT(ISERROR(SEARCH("Éxitoso",P226)))</formula>
    </cfRule>
  </conditionalFormatting>
  <conditionalFormatting sqref="Q226">
    <cfRule type="containsText" dxfId="4044" priority="4331" operator="containsText" text="No se pudo ejecutar">
      <formula>NOT(ISERROR(SEARCH("No se pudo ejecutar",Q226)))</formula>
    </cfRule>
    <cfRule type="containsText" dxfId="4043" priority="4332" operator="containsText" text="Pendiente">
      <formula>NOT(ISERROR(SEARCH("Pendiente",Q226)))</formula>
    </cfRule>
    <cfRule type="containsText" dxfId="4042" priority="4333" operator="containsText" text="No Aplica">
      <formula>NOT(ISERROR(SEARCH("No Aplica",Q226)))</formula>
    </cfRule>
    <cfRule type="containsText" dxfId="4041" priority="4334" operator="containsText" text="Fallido">
      <formula>NOT(ISERROR(SEARCH("Fallido",Q226)))</formula>
    </cfRule>
    <cfRule type="containsText" dxfId="4040" priority="4335" operator="containsText" text="Éxitoso">
      <formula>NOT(ISERROR(SEARCH("Éxitoso",Q226)))</formula>
    </cfRule>
  </conditionalFormatting>
  <conditionalFormatting sqref="R226">
    <cfRule type="containsText" dxfId="4039" priority="4326" operator="containsText" text="No se pudo ejecutar">
      <formula>NOT(ISERROR(SEARCH("No se pudo ejecutar",R226)))</formula>
    </cfRule>
    <cfRule type="containsText" dxfId="4038" priority="4327" operator="containsText" text="Pendiente">
      <formula>NOT(ISERROR(SEARCH("Pendiente",R226)))</formula>
    </cfRule>
    <cfRule type="containsText" dxfId="4037" priority="4328" operator="containsText" text="No Aplica">
      <formula>NOT(ISERROR(SEARCH("No Aplica",R226)))</formula>
    </cfRule>
    <cfRule type="containsText" dxfId="4036" priority="4329" operator="containsText" text="Fallido">
      <formula>NOT(ISERROR(SEARCH("Fallido",R226)))</formula>
    </cfRule>
    <cfRule type="containsText" dxfId="4035" priority="4330" operator="containsText" text="Éxitoso">
      <formula>NOT(ISERROR(SEARCH("Éxitoso",R226)))</formula>
    </cfRule>
  </conditionalFormatting>
  <conditionalFormatting sqref="S226">
    <cfRule type="containsText" dxfId="4034" priority="4321" operator="containsText" text="No se pudo ejecutar">
      <formula>NOT(ISERROR(SEARCH("No se pudo ejecutar",S226)))</formula>
    </cfRule>
    <cfRule type="containsText" dxfId="4033" priority="4322" operator="containsText" text="Pendiente">
      <formula>NOT(ISERROR(SEARCH("Pendiente",S226)))</formula>
    </cfRule>
    <cfRule type="containsText" dxfId="4032" priority="4323" operator="containsText" text="No Aplica">
      <formula>NOT(ISERROR(SEARCH("No Aplica",S226)))</formula>
    </cfRule>
    <cfRule type="containsText" dxfId="4031" priority="4324" operator="containsText" text="Fallido">
      <formula>NOT(ISERROR(SEARCH("Fallido",S226)))</formula>
    </cfRule>
    <cfRule type="containsText" dxfId="4030" priority="4325" operator="containsText" text="Éxitoso">
      <formula>NOT(ISERROR(SEARCH("Éxitoso",S226)))</formula>
    </cfRule>
  </conditionalFormatting>
  <conditionalFormatting sqref="T226">
    <cfRule type="containsText" dxfId="4029" priority="4316" operator="containsText" text="No se pudo ejecutar">
      <formula>NOT(ISERROR(SEARCH("No se pudo ejecutar",T226)))</formula>
    </cfRule>
    <cfRule type="containsText" dxfId="4028" priority="4317" operator="containsText" text="Pendiente">
      <formula>NOT(ISERROR(SEARCH("Pendiente",T226)))</formula>
    </cfRule>
    <cfRule type="containsText" dxfId="4027" priority="4318" operator="containsText" text="No Aplica">
      <formula>NOT(ISERROR(SEARCH("No Aplica",T226)))</formula>
    </cfRule>
    <cfRule type="containsText" dxfId="4026" priority="4319" operator="containsText" text="Fallido">
      <formula>NOT(ISERROR(SEARCH("Fallido",T226)))</formula>
    </cfRule>
    <cfRule type="containsText" dxfId="4025" priority="4320" operator="containsText" text="Éxitoso">
      <formula>NOT(ISERROR(SEARCH("Éxitoso",T226)))</formula>
    </cfRule>
  </conditionalFormatting>
  <conditionalFormatting sqref="U226">
    <cfRule type="containsText" dxfId="4024" priority="4311" operator="containsText" text="No se pudo ejecutar">
      <formula>NOT(ISERROR(SEARCH("No se pudo ejecutar",U226)))</formula>
    </cfRule>
    <cfRule type="containsText" dxfId="4023" priority="4312" operator="containsText" text="Pendiente">
      <formula>NOT(ISERROR(SEARCH("Pendiente",U226)))</formula>
    </cfRule>
    <cfRule type="containsText" dxfId="4022" priority="4313" operator="containsText" text="No Aplica">
      <formula>NOT(ISERROR(SEARCH("No Aplica",U226)))</formula>
    </cfRule>
    <cfRule type="containsText" dxfId="4021" priority="4314" operator="containsText" text="Fallido">
      <formula>NOT(ISERROR(SEARCH("Fallido",U226)))</formula>
    </cfRule>
    <cfRule type="containsText" dxfId="4020" priority="4315" operator="containsText" text="Éxitoso">
      <formula>NOT(ISERROR(SEARCH("Éxitoso",U226)))</formula>
    </cfRule>
  </conditionalFormatting>
  <conditionalFormatting sqref="V226">
    <cfRule type="containsText" dxfId="4019" priority="4306" operator="containsText" text="No se pudo ejecutar">
      <formula>NOT(ISERROR(SEARCH("No se pudo ejecutar",V226)))</formula>
    </cfRule>
    <cfRule type="containsText" dxfId="4018" priority="4307" operator="containsText" text="Pendiente">
      <formula>NOT(ISERROR(SEARCH("Pendiente",V226)))</formula>
    </cfRule>
    <cfRule type="containsText" dxfId="4017" priority="4308" operator="containsText" text="No Aplica">
      <formula>NOT(ISERROR(SEARCH("No Aplica",V226)))</formula>
    </cfRule>
    <cfRule type="containsText" dxfId="4016" priority="4309" operator="containsText" text="Fallido">
      <formula>NOT(ISERROR(SEARCH("Fallido",V226)))</formula>
    </cfRule>
    <cfRule type="containsText" dxfId="4015" priority="4310" operator="containsText" text="Éxitoso">
      <formula>NOT(ISERROR(SEARCH("Éxitoso",V226)))</formula>
    </cfRule>
  </conditionalFormatting>
  <conditionalFormatting sqref="W226">
    <cfRule type="containsText" dxfId="4014" priority="4301" operator="containsText" text="No se pudo ejecutar">
      <formula>NOT(ISERROR(SEARCH("No se pudo ejecutar",W226)))</formula>
    </cfRule>
    <cfRule type="containsText" dxfId="4013" priority="4302" operator="containsText" text="Pendiente">
      <formula>NOT(ISERROR(SEARCH("Pendiente",W226)))</formula>
    </cfRule>
    <cfRule type="containsText" dxfId="4012" priority="4303" operator="containsText" text="No Aplica">
      <formula>NOT(ISERROR(SEARCH("No Aplica",W226)))</formula>
    </cfRule>
    <cfRule type="containsText" dxfId="4011" priority="4304" operator="containsText" text="Fallido">
      <formula>NOT(ISERROR(SEARCH("Fallido",W226)))</formula>
    </cfRule>
    <cfRule type="containsText" dxfId="4010" priority="4305" operator="containsText" text="Éxitoso">
      <formula>NOT(ISERROR(SEARCH("Éxitoso",W226)))</formula>
    </cfRule>
  </conditionalFormatting>
  <conditionalFormatting sqref="M226">
    <cfRule type="containsText" dxfId="4009" priority="4296" operator="containsText" text="No se pudo ejecutar">
      <formula>NOT(ISERROR(SEARCH("No se pudo ejecutar",M226)))</formula>
    </cfRule>
    <cfRule type="containsText" dxfId="4008" priority="4297" operator="containsText" text="Pendiente">
      <formula>NOT(ISERROR(SEARCH("Pendiente",M226)))</formula>
    </cfRule>
    <cfRule type="containsText" dxfId="4007" priority="4298" operator="containsText" text="No Aplica">
      <formula>NOT(ISERROR(SEARCH("No Aplica",M226)))</formula>
    </cfRule>
    <cfRule type="containsText" dxfId="4006" priority="4299" operator="containsText" text="Fallido">
      <formula>NOT(ISERROR(SEARCH("Fallido",M226)))</formula>
    </cfRule>
    <cfRule type="containsText" dxfId="4005" priority="4300" operator="containsText" text="Éxitoso">
      <formula>NOT(ISERROR(SEARCH("Éxitoso",M226)))</formula>
    </cfRule>
  </conditionalFormatting>
  <conditionalFormatting sqref="G226">
    <cfRule type="containsText" dxfId="4004" priority="4293" operator="containsText" text="Bajo">
      <formula>NOT(ISERROR(SEARCH("Bajo",G226)))</formula>
    </cfRule>
    <cfRule type="containsText" dxfId="4003" priority="4294" operator="containsText" text="Medio">
      <formula>NOT(ISERROR(SEARCH("Medio",G226)))</formula>
    </cfRule>
    <cfRule type="containsText" dxfId="4002" priority="4295" operator="containsText" text="Alto">
      <formula>NOT(ISERROR(SEARCH("Alto",G226)))</formula>
    </cfRule>
  </conditionalFormatting>
  <conditionalFormatting sqref="N227">
    <cfRule type="containsText" dxfId="4001" priority="4288" operator="containsText" text="No se pudo ejecutar">
      <formula>NOT(ISERROR(SEARCH("No se pudo ejecutar",N227)))</formula>
    </cfRule>
    <cfRule type="containsText" dxfId="4000" priority="4289" operator="containsText" text="Pendiente">
      <formula>NOT(ISERROR(SEARCH("Pendiente",N227)))</formula>
    </cfRule>
    <cfRule type="containsText" dxfId="3999" priority="4290" operator="containsText" text="No Aplica">
      <formula>NOT(ISERROR(SEARCH("No Aplica",N227)))</formula>
    </cfRule>
    <cfRule type="containsText" dxfId="3998" priority="4291" operator="containsText" text="Fallido">
      <formula>NOT(ISERROR(SEARCH("Fallido",N227)))</formula>
    </cfRule>
    <cfRule type="containsText" dxfId="3997" priority="4292" operator="containsText" text="Éxitoso">
      <formula>NOT(ISERROR(SEARCH("Éxitoso",N227)))</formula>
    </cfRule>
  </conditionalFormatting>
  <conditionalFormatting sqref="O227">
    <cfRule type="containsText" dxfId="3996" priority="4283" operator="containsText" text="No se pudo ejecutar">
      <formula>NOT(ISERROR(SEARCH("No se pudo ejecutar",O227)))</formula>
    </cfRule>
    <cfRule type="containsText" dxfId="3995" priority="4284" operator="containsText" text="Pendiente">
      <formula>NOT(ISERROR(SEARCH("Pendiente",O227)))</formula>
    </cfRule>
    <cfRule type="containsText" dxfId="3994" priority="4285" operator="containsText" text="No Aplica">
      <formula>NOT(ISERROR(SEARCH("No Aplica",O227)))</formula>
    </cfRule>
    <cfRule type="containsText" dxfId="3993" priority="4286" operator="containsText" text="Fallido">
      <formula>NOT(ISERROR(SEARCH("Fallido",O227)))</formula>
    </cfRule>
    <cfRule type="containsText" dxfId="3992" priority="4287" operator="containsText" text="Éxitoso">
      <formula>NOT(ISERROR(SEARCH("Éxitoso",O227)))</formula>
    </cfRule>
  </conditionalFormatting>
  <conditionalFormatting sqref="P227">
    <cfRule type="containsText" dxfId="3991" priority="4278" operator="containsText" text="No se pudo ejecutar">
      <formula>NOT(ISERROR(SEARCH("No se pudo ejecutar",P227)))</formula>
    </cfRule>
    <cfRule type="containsText" dxfId="3990" priority="4279" operator="containsText" text="Pendiente">
      <formula>NOT(ISERROR(SEARCH("Pendiente",P227)))</formula>
    </cfRule>
    <cfRule type="containsText" dxfId="3989" priority="4280" operator="containsText" text="No Aplica">
      <formula>NOT(ISERROR(SEARCH("No Aplica",P227)))</formula>
    </cfRule>
    <cfRule type="containsText" dxfId="3988" priority="4281" operator="containsText" text="Fallido">
      <formula>NOT(ISERROR(SEARCH("Fallido",P227)))</formula>
    </cfRule>
    <cfRule type="containsText" dxfId="3987" priority="4282" operator="containsText" text="Éxitoso">
      <formula>NOT(ISERROR(SEARCH("Éxitoso",P227)))</formula>
    </cfRule>
  </conditionalFormatting>
  <conditionalFormatting sqref="Q227">
    <cfRule type="containsText" dxfId="3986" priority="4273" operator="containsText" text="No se pudo ejecutar">
      <formula>NOT(ISERROR(SEARCH("No se pudo ejecutar",Q227)))</formula>
    </cfRule>
    <cfRule type="containsText" dxfId="3985" priority="4274" operator="containsText" text="Pendiente">
      <formula>NOT(ISERROR(SEARCH("Pendiente",Q227)))</formula>
    </cfRule>
    <cfRule type="containsText" dxfId="3984" priority="4275" operator="containsText" text="No Aplica">
      <formula>NOT(ISERROR(SEARCH("No Aplica",Q227)))</formula>
    </cfRule>
    <cfRule type="containsText" dxfId="3983" priority="4276" operator="containsText" text="Fallido">
      <formula>NOT(ISERROR(SEARCH("Fallido",Q227)))</formula>
    </cfRule>
    <cfRule type="containsText" dxfId="3982" priority="4277" operator="containsText" text="Éxitoso">
      <formula>NOT(ISERROR(SEARCH("Éxitoso",Q227)))</formula>
    </cfRule>
  </conditionalFormatting>
  <conditionalFormatting sqref="R227">
    <cfRule type="containsText" dxfId="3981" priority="4268" operator="containsText" text="No se pudo ejecutar">
      <formula>NOT(ISERROR(SEARCH("No se pudo ejecutar",R227)))</formula>
    </cfRule>
    <cfRule type="containsText" dxfId="3980" priority="4269" operator="containsText" text="Pendiente">
      <formula>NOT(ISERROR(SEARCH("Pendiente",R227)))</formula>
    </cfRule>
    <cfRule type="containsText" dxfId="3979" priority="4270" operator="containsText" text="No Aplica">
      <formula>NOT(ISERROR(SEARCH("No Aplica",R227)))</formula>
    </cfRule>
    <cfRule type="containsText" dxfId="3978" priority="4271" operator="containsText" text="Fallido">
      <formula>NOT(ISERROR(SEARCH("Fallido",R227)))</formula>
    </cfRule>
    <cfRule type="containsText" dxfId="3977" priority="4272" operator="containsText" text="Éxitoso">
      <formula>NOT(ISERROR(SEARCH("Éxitoso",R227)))</formula>
    </cfRule>
  </conditionalFormatting>
  <conditionalFormatting sqref="S227">
    <cfRule type="containsText" dxfId="3976" priority="4263" operator="containsText" text="No se pudo ejecutar">
      <formula>NOT(ISERROR(SEARCH("No se pudo ejecutar",S227)))</formula>
    </cfRule>
    <cfRule type="containsText" dxfId="3975" priority="4264" operator="containsText" text="Pendiente">
      <formula>NOT(ISERROR(SEARCH("Pendiente",S227)))</formula>
    </cfRule>
    <cfRule type="containsText" dxfId="3974" priority="4265" operator="containsText" text="No Aplica">
      <formula>NOT(ISERROR(SEARCH("No Aplica",S227)))</formula>
    </cfRule>
    <cfRule type="containsText" dxfId="3973" priority="4266" operator="containsText" text="Fallido">
      <formula>NOT(ISERROR(SEARCH("Fallido",S227)))</formula>
    </cfRule>
    <cfRule type="containsText" dxfId="3972" priority="4267" operator="containsText" text="Éxitoso">
      <formula>NOT(ISERROR(SEARCH("Éxitoso",S227)))</formula>
    </cfRule>
  </conditionalFormatting>
  <conditionalFormatting sqref="T227">
    <cfRule type="containsText" dxfId="3971" priority="4258" operator="containsText" text="No se pudo ejecutar">
      <formula>NOT(ISERROR(SEARCH("No se pudo ejecutar",T227)))</formula>
    </cfRule>
    <cfRule type="containsText" dxfId="3970" priority="4259" operator="containsText" text="Pendiente">
      <formula>NOT(ISERROR(SEARCH("Pendiente",T227)))</formula>
    </cfRule>
    <cfRule type="containsText" dxfId="3969" priority="4260" operator="containsText" text="No Aplica">
      <formula>NOT(ISERROR(SEARCH("No Aplica",T227)))</formula>
    </cfRule>
    <cfRule type="containsText" dxfId="3968" priority="4261" operator="containsText" text="Fallido">
      <formula>NOT(ISERROR(SEARCH("Fallido",T227)))</formula>
    </cfRule>
    <cfRule type="containsText" dxfId="3967" priority="4262" operator="containsText" text="Éxitoso">
      <formula>NOT(ISERROR(SEARCH("Éxitoso",T227)))</formula>
    </cfRule>
  </conditionalFormatting>
  <conditionalFormatting sqref="U227">
    <cfRule type="containsText" dxfId="3966" priority="4253" operator="containsText" text="No se pudo ejecutar">
      <formula>NOT(ISERROR(SEARCH("No se pudo ejecutar",U227)))</formula>
    </cfRule>
    <cfRule type="containsText" dxfId="3965" priority="4254" operator="containsText" text="Pendiente">
      <formula>NOT(ISERROR(SEARCH("Pendiente",U227)))</formula>
    </cfRule>
    <cfRule type="containsText" dxfId="3964" priority="4255" operator="containsText" text="No Aplica">
      <formula>NOT(ISERROR(SEARCH("No Aplica",U227)))</formula>
    </cfRule>
    <cfRule type="containsText" dxfId="3963" priority="4256" operator="containsText" text="Fallido">
      <formula>NOT(ISERROR(SEARCH("Fallido",U227)))</formula>
    </cfRule>
    <cfRule type="containsText" dxfId="3962" priority="4257" operator="containsText" text="Éxitoso">
      <formula>NOT(ISERROR(SEARCH("Éxitoso",U227)))</formula>
    </cfRule>
  </conditionalFormatting>
  <conditionalFormatting sqref="V227">
    <cfRule type="containsText" dxfId="3961" priority="4248" operator="containsText" text="No se pudo ejecutar">
      <formula>NOT(ISERROR(SEARCH("No se pudo ejecutar",V227)))</formula>
    </cfRule>
    <cfRule type="containsText" dxfId="3960" priority="4249" operator="containsText" text="Pendiente">
      <formula>NOT(ISERROR(SEARCH("Pendiente",V227)))</formula>
    </cfRule>
    <cfRule type="containsText" dxfId="3959" priority="4250" operator="containsText" text="No Aplica">
      <formula>NOT(ISERROR(SEARCH("No Aplica",V227)))</formula>
    </cfRule>
    <cfRule type="containsText" dxfId="3958" priority="4251" operator="containsText" text="Fallido">
      <formula>NOT(ISERROR(SEARCH("Fallido",V227)))</formula>
    </cfRule>
    <cfRule type="containsText" dxfId="3957" priority="4252" operator="containsText" text="Éxitoso">
      <formula>NOT(ISERROR(SEARCH("Éxitoso",V227)))</formula>
    </cfRule>
  </conditionalFormatting>
  <conditionalFormatting sqref="W227">
    <cfRule type="containsText" dxfId="3956" priority="4243" operator="containsText" text="No se pudo ejecutar">
      <formula>NOT(ISERROR(SEARCH("No se pudo ejecutar",W227)))</formula>
    </cfRule>
    <cfRule type="containsText" dxfId="3955" priority="4244" operator="containsText" text="Pendiente">
      <formula>NOT(ISERROR(SEARCH("Pendiente",W227)))</formula>
    </cfRule>
    <cfRule type="containsText" dxfId="3954" priority="4245" operator="containsText" text="No Aplica">
      <formula>NOT(ISERROR(SEARCH("No Aplica",W227)))</formula>
    </cfRule>
    <cfRule type="containsText" dxfId="3953" priority="4246" operator="containsText" text="Fallido">
      <formula>NOT(ISERROR(SEARCH("Fallido",W227)))</formula>
    </cfRule>
    <cfRule type="containsText" dxfId="3952" priority="4247" operator="containsText" text="Éxitoso">
      <formula>NOT(ISERROR(SEARCH("Éxitoso",W227)))</formula>
    </cfRule>
  </conditionalFormatting>
  <conditionalFormatting sqref="M227">
    <cfRule type="containsText" dxfId="3951" priority="4238" operator="containsText" text="No se pudo ejecutar">
      <formula>NOT(ISERROR(SEARCH("No se pudo ejecutar",M227)))</formula>
    </cfRule>
    <cfRule type="containsText" dxfId="3950" priority="4239" operator="containsText" text="Pendiente">
      <formula>NOT(ISERROR(SEARCH("Pendiente",M227)))</formula>
    </cfRule>
    <cfRule type="containsText" dxfId="3949" priority="4240" operator="containsText" text="No Aplica">
      <formula>NOT(ISERROR(SEARCH("No Aplica",M227)))</formula>
    </cfRule>
    <cfRule type="containsText" dxfId="3948" priority="4241" operator="containsText" text="Fallido">
      <formula>NOT(ISERROR(SEARCH("Fallido",M227)))</formula>
    </cfRule>
    <cfRule type="containsText" dxfId="3947" priority="4242" operator="containsText" text="Éxitoso">
      <formula>NOT(ISERROR(SEARCH("Éxitoso",M227)))</formula>
    </cfRule>
  </conditionalFormatting>
  <conditionalFormatting sqref="G227">
    <cfRule type="containsText" dxfId="3946" priority="4235" operator="containsText" text="Bajo">
      <formula>NOT(ISERROR(SEARCH("Bajo",G227)))</formula>
    </cfRule>
    <cfRule type="containsText" dxfId="3945" priority="4236" operator="containsText" text="Medio">
      <formula>NOT(ISERROR(SEARCH("Medio",G227)))</formula>
    </cfRule>
    <cfRule type="containsText" dxfId="3944" priority="4237" operator="containsText" text="Alto">
      <formula>NOT(ISERROR(SEARCH("Alto",G227)))</formula>
    </cfRule>
  </conditionalFormatting>
  <conditionalFormatting sqref="N228">
    <cfRule type="containsText" dxfId="3943" priority="4230" operator="containsText" text="No se pudo ejecutar">
      <formula>NOT(ISERROR(SEARCH("No se pudo ejecutar",N228)))</formula>
    </cfRule>
    <cfRule type="containsText" dxfId="3942" priority="4231" operator="containsText" text="Pendiente">
      <formula>NOT(ISERROR(SEARCH("Pendiente",N228)))</formula>
    </cfRule>
    <cfRule type="containsText" dxfId="3941" priority="4232" operator="containsText" text="No Aplica">
      <formula>NOT(ISERROR(SEARCH("No Aplica",N228)))</formula>
    </cfRule>
    <cfRule type="containsText" dxfId="3940" priority="4233" operator="containsText" text="Fallido">
      <formula>NOT(ISERROR(SEARCH("Fallido",N228)))</formula>
    </cfRule>
    <cfRule type="containsText" dxfId="3939" priority="4234" operator="containsText" text="Éxitoso">
      <formula>NOT(ISERROR(SEARCH("Éxitoso",N228)))</formula>
    </cfRule>
  </conditionalFormatting>
  <conditionalFormatting sqref="O228">
    <cfRule type="containsText" dxfId="3938" priority="4225" operator="containsText" text="No se pudo ejecutar">
      <formula>NOT(ISERROR(SEARCH("No se pudo ejecutar",O228)))</formula>
    </cfRule>
    <cfRule type="containsText" dxfId="3937" priority="4226" operator="containsText" text="Pendiente">
      <formula>NOT(ISERROR(SEARCH("Pendiente",O228)))</formula>
    </cfRule>
    <cfRule type="containsText" dxfId="3936" priority="4227" operator="containsText" text="No Aplica">
      <formula>NOT(ISERROR(SEARCH("No Aplica",O228)))</formula>
    </cfRule>
    <cfRule type="containsText" dxfId="3935" priority="4228" operator="containsText" text="Fallido">
      <formula>NOT(ISERROR(SEARCH("Fallido",O228)))</formula>
    </cfRule>
    <cfRule type="containsText" dxfId="3934" priority="4229" operator="containsText" text="Éxitoso">
      <formula>NOT(ISERROR(SEARCH("Éxitoso",O228)))</formula>
    </cfRule>
  </conditionalFormatting>
  <conditionalFormatting sqref="P228">
    <cfRule type="containsText" dxfId="3933" priority="4220" operator="containsText" text="No se pudo ejecutar">
      <formula>NOT(ISERROR(SEARCH("No se pudo ejecutar",P228)))</formula>
    </cfRule>
    <cfRule type="containsText" dxfId="3932" priority="4221" operator="containsText" text="Pendiente">
      <formula>NOT(ISERROR(SEARCH("Pendiente",P228)))</formula>
    </cfRule>
    <cfRule type="containsText" dxfId="3931" priority="4222" operator="containsText" text="No Aplica">
      <formula>NOT(ISERROR(SEARCH("No Aplica",P228)))</formula>
    </cfRule>
    <cfRule type="containsText" dxfId="3930" priority="4223" operator="containsText" text="Fallido">
      <formula>NOT(ISERROR(SEARCH("Fallido",P228)))</formula>
    </cfRule>
    <cfRule type="containsText" dxfId="3929" priority="4224" operator="containsText" text="Éxitoso">
      <formula>NOT(ISERROR(SEARCH("Éxitoso",P228)))</formula>
    </cfRule>
  </conditionalFormatting>
  <conditionalFormatting sqref="Q228">
    <cfRule type="containsText" dxfId="3928" priority="4215" operator="containsText" text="No se pudo ejecutar">
      <formula>NOT(ISERROR(SEARCH("No se pudo ejecutar",Q228)))</formula>
    </cfRule>
    <cfRule type="containsText" dxfId="3927" priority="4216" operator="containsText" text="Pendiente">
      <formula>NOT(ISERROR(SEARCH("Pendiente",Q228)))</formula>
    </cfRule>
    <cfRule type="containsText" dxfId="3926" priority="4217" operator="containsText" text="No Aplica">
      <formula>NOT(ISERROR(SEARCH("No Aplica",Q228)))</formula>
    </cfRule>
    <cfRule type="containsText" dxfId="3925" priority="4218" operator="containsText" text="Fallido">
      <formula>NOT(ISERROR(SEARCH("Fallido",Q228)))</formula>
    </cfRule>
    <cfRule type="containsText" dxfId="3924" priority="4219" operator="containsText" text="Éxitoso">
      <formula>NOT(ISERROR(SEARCH("Éxitoso",Q228)))</formula>
    </cfRule>
  </conditionalFormatting>
  <conditionalFormatting sqref="R228">
    <cfRule type="containsText" dxfId="3923" priority="4210" operator="containsText" text="No se pudo ejecutar">
      <formula>NOT(ISERROR(SEARCH("No se pudo ejecutar",R228)))</formula>
    </cfRule>
    <cfRule type="containsText" dxfId="3922" priority="4211" operator="containsText" text="Pendiente">
      <formula>NOT(ISERROR(SEARCH("Pendiente",R228)))</formula>
    </cfRule>
    <cfRule type="containsText" dxfId="3921" priority="4212" operator="containsText" text="No Aplica">
      <formula>NOT(ISERROR(SEARCH("No Aplica",R228)))</formula>
    </cfRule>
    <cfRule type="containsText" dxfId="3920" priority="4213" operator="containsText" text="Fallido">
      <formula>NOT(ISERROR(SEARCH("Fallido",R228)))</formula>
    </cfRule>
    <cfRule type="containsText" dxfId="3919" priority="4214" operator="containsText" text="Éxitoso">
      <formula>NOT(ISERROR(SEARCH("Éxitoso",R228)))</formula>
    </cfRule>
  </conditionalFormatting>
  <conditionalFormatting sqref="S228">
    <cfRule type="containsText" dxfId="3918" priority="4205" operator="containsText" text="No se pudo ejecutar">
      <formula>NOT(ISERROR(SEARCH("No se pudo ejecutar",S228)))</formula>
    </cfRule>
    <cfRule type="containsText" dxfId="3917" priority="4206" operator="containsText" text="Pendiente">
      <formula>NOT(ISERROR(SEARCH("Pendiente",S228)))</formula>
    </cfRule>
    <cfRule type="containsText" dxfId="3916" priority="4207" operator="containsText" text="No Aplica">
      <formula>NOT(ISERROR(SEARCH("No Aplica",S228)))</formula>
    </cfRule>
    <cfRule type="containsText" dxfId="3915" priority="4208" operator="containsText" text="Fallido">
      <formula>NOT(ISERROR(SEARCH("Fallido",S228)))</formula>
    </cfRule>
    <cfRule type="containsText" dxfId="3914" priority="4209" operator="containsText" text="Éxitoso">
      <formula>NOT(ISERROR(SEARCH("Éxitoso",S228)))</formula>
    </cfRule>
  </conditionalFormatting>
  <conditionalFormatting sqref="T228">
    <cfRule type="containsText" dxfId="3913" priority="4200" operator="containsText" text="No se pudo ejecutar">
      <formula>NOT(ISERROR(SEARCH("No se pudo ejecutar",T228)))</formula>
    </cfRule>
    <cfRule type="containsText" dxfId="3912" priority="4201" operator="containsText" text="Pendiente">
      <formula>NOT(ISERROR(SEARCH("Pendiente",T228)))</formula>
    </cfRule>
    <cfRule type="containsText" dxfId="3911" priority="4202" operator="containsText" text="No Aplica">
      <formula>NOT(ISERROR(SEARCH("No Aplica",T228)))</formula>
    </cfRule>
    <cfRule type="containsText" dxfId="3910" priority="4203" operator="containsText" text="Fallido">
      <formula>NOT(ISERROR(SEARCH("Fallido",T228)))</formula>
    </cfRule>
    <cfRule type="containsText" dxfId="3909" priority="4204" operator="containsText" text="Éxitoso">
      <formula>NOT(ISERROR(SEARCH("Éxitoso",T228)))</formula>
    </cfRule>
  </conditionalFormatting>
  <conditionalFormatting sqref="U228">
    <cfRule type="containsText" dxfId="3908" priority="4195" operator="containsText" text="No se pudo ejecutar">
      <formula>NOT(ISERROR(SEARCH("No se pudo ejecutar",U228)))</formula>
    </cfRule>
    <cfRule type="containsText" dxfId="3907" priority="4196" operator="containsText" text="Pendiente">
      <formula>NOT(ISERROR(SEARCH("Pendiente",U228)))</formula>
    </cfRule>
    <cfRule type="containsText" dxfId="3906" priority="4197" operator="containsText" text="No Aplica">
      <formula>NOT(ISERROR(SEARCH("No Aplica",U228)))</formula>
    </cfRule>
    <cfRule type="containsText" dxfId="3905" priority="4198" operator="containsText" text="Fallido">
      <formula>NOT(ISERROR(SEARCH("Fallido",U228)))</formula>
    </cfRule>
    <cfRule type="containsText" dxfId="3904" priority="4199" operator="containsText" text="Éxitoso">
      <formula>NOT(ISERROR(SEARCH("Éxitoso",U228)))</formula>
    </cfRule>
  </conditionalFormatting>
  <conditionalFormatting sqref="V228">
    <cfRule type="containsText" dxfId="3903" priority="4190" operator="containsText" text="No se pudo ejecutar">
      <formula>NOT(ISERROR(SEARCH("No se pudo ejecutar",V228)))</formula>
    </cfRule>
    <cfRule type="containsText" dxfId="3902" priority="4191" operator="containsText" text="Pendiente">
      <formula>NOT(ISERROR(SEARCH("Pendiente",V228)))</formula>
    </cfRule>
    <cfRule type="containsText" dxfId="3901" priority="4192" operator="containsText" text="No Aplica">
      <formula>NOT(ISERROR(SEARCH("No Aplica",V228)))</formula>
    </cfRule>
    <cfRule type="containsText" dxfId="3900" priority="4193" operator="containsText" text="Fallido">
      <formula>NOT(ISERROR(SEARCH("Fallido",V228)))</formula>
    </cfRule>
    <cfRule type="containsText" dxfId="3899" priority="4194" operator="containsText" text="Éxitoso">
      <formula>NOT(ISERROR(SEARCH("Éxitoso",V228)))</formula>
    </cfRule>
  </conditionalFormatting>
  <conditionalFormatting sqref="W228">
    <cfRule type="containsText" dxfId="3898" priority="4185" operator="containsText" text="No se pudo ejecutar">
      <formula>NOT(ISERROR(SEARCH("No se pudo ejecutar",W228)))</formula>
    </cfRule>
    <cfRule type="containsText" dxfId="3897" priority="4186" operator="containsText" text="Pendiente">
      <formula>NOT(ISERROR(SEARCH("Pendiente",W228)))</formula>
    </cfRule>
    <cfRule type="containsText" dxfId="3896" priority="4187" operator="containsText" text="No Aplica">
      <formula>NOT(ISERROR(SEARCH("No Aplica",W228)))</formula>
    </cfRule>
    <cfRule type="containsText" dxfId="3895" priority="4188" operator="containsText" text="Fallido">
      <formula>NOT(ISERROR(SEARCH("Fallido",W228)))</formula>
    </cfRule>
    <cfRule type="containsText" dxfId="3894" priority="4189" operator="containsText" text="Éxitoso">
      <formula>NOT(ISERROR(SEARCH("Éxitoso",W228)))</formula>
    </cfRule>
  </conditionalFormatting>
  <conditionalFormatting sqref="M228">
    <cfRule type="containsText" dxfId="3893" priority="4180" operator="containsText" text="No se pudo ejecutar">
      <formula>NOT(ISERROR(SEARCH("No se pudo ejecutar",M228)))</formula>
    </cfRule>
    <cfRule type="containsText" dxfId="3892" priority="4181" operator="containsText" text="Pendiente">
      <formula>NOT(ISERROR(SEARCH("Pendiente",M228)))</formula>
    </cfRule>
    <cfRule type="containsText" dxfId="3891" priority="4182" operator="containsText" text="No Aplica">
      <formula>NOT(ISERROR(SEARCH("No Aplica",M228)))</formula>
    </cfRule>
    <cfRule type="containsText" dxfId="3890" priority="4183" operator="containsText" text="Fallido">
      <formula>NOT(ISERROR(SEARCH("Fallido",M228)))</formula>
    </cfRule>
    <cfRule type="containsText" dxfId="3889" priority="4184" operator="containsText" text="Éxitoso">
      <formula>NOT(ISERROR(SEARCH("Éxitoso",M228)))</formula>
    </cfRule>
  </conditionalFormatting>
  <conditionalFormatting sqref="G228">
    <cfRule type="containsText" dxfId="3888" priority="4177" operator="containsText" text="Bajo">
      <formula>NOT(ISERROR(SEARCH("Bajo",G228)))</formula>
    </cfRule>
    <cfRule type="containsText" dxfId="3887" priority="4178" operator="containsText" text="Medio">
      <formula>NOT(ISERROR(SEARCH("Medio",G228)))</formula>
    </cfRule>
    <cfRule type="containsText" dxfId="3886" priority="4179" operator="containsText" text="Alto">
      <formula>NOT(ISERROR(SEARCH("Alto",G228)))</formula>
    </cfRule>
  </conditionalFormatting>
  <conditionalFormatting sqref="N229">
    <cfRule type="containsText" dxfId="3885" priority="4172" operator="containsText" text="No se pudo ejecutar">
      <formula>NOT(ISERROR(SEARCH("No se pudo ejecutar",N229)))</formula>
    </cfRule>
    <cfRule type="containsText" dxfId="3884" priority="4173" operator="containsText" text="Pendiente">
      <formula>NOT(ISERROR(SEARCH("Pendiente",N229)))</formula>
    </cfRule>
    <cfRule type="containsText" dxfId="3883" priority="4174" operator="containsText" text="No Aplica">
      <formula>NOT(ISERROR(SEARCH("No Aplica",N229)))</formula>
    </cfRule>
    <cfRule type="containsText" dxfId="3882" priority="4175" operator="containsText" text="Fallido">
      <formula>NOT(ISERROR(SEARCH("Fallido",N229)))</formula>
    </cfRule>
    <cfRule type="containsText" dxfId="3881" priority="4176" operator="containsText" text="Éxitoso">
      <formula>NOT(ISERROR(SEARCH("Éxitoso",N229)))</formula>
    </cfRule>
  </conditionalFormatting>
  <conditionalFormatting sqref="O229">
    <cfRule type="containsText" dxfId="3880" priority="4167" operator="containsText" text="No se pudo ejecutar">
      <formula>NOT(ISERROR(SEARCH("No se pudo ejecutar",O229)))</formula>
    </cfRule>
    <cfRule type="containsText" dxfId="3879" priority="4168" operator="containsText" text="Pendiente">
      <formula>NOT(ISERROR(SEARCH("Pendiente",O229)))</formula>
    </cfRule>
    <cfRule type="containsText" dxfId="3878" priority="4169" operator="containsText" text="No Aplica">
      <formula>NOT(ISERROR(SEARCH("No Aplica",O229)))</formula>
    </cfRule>
    <cfRule type="containsText" dxfId="3877" priority="4170" operator="containsText" text="Fallido">
      <formula>NOT(ISERROR(SEARCH("Fallido",O229)))</formula>
    </cfRule>
    <cfRule type="containsText" dxfId="3876" priority="4171" operator="containsText" text="Éxitoso">
      <formula>NOT(ISERROR(SEARCH("Éxitoso",O229)))</formula>
    </cfRule>
  </conditionalFormatting>
  <conditionalFormatting sqref="P229">
    <cfRule type="containsText" dxfId="3875" priority="4162" operator="containsText" text="No se pudo ejecutar">
      <formula>NOT(ISERROR(SEARCH("No se pudo ejecutar",P229)))</formula>
    </cfRule>
    <cfRule type="containsText" dxfId="3874" priority="4163" operator="containsText" text="Pendiente">
      <formula>NOT(ISERROR(SEARCH("Pendiente",P229)))</formula>
    </cfRule>
    <cfRule type="containsText" dxfId="3873" priority="4164" operator="containsText" text="No Aplica">
      <formula>NOT(ISERROR(SEARCH("No Aplica",P229)))</formula>
    </cfRule>
    <cfRule type="containsText" dxfId="3872" priority="4165" operator="containsText" text="Fallido">
      <formula>NOT(ISERROR(SEARCH("Fallido",P229)))</formula>
    </cfRule>
    <cfRule type="containsText" dxfId="3871" priority="4166" operator="containsText" text="Éxitoso">
      <formula>NOT(ISERROR(SEARCH("Éxitoso",P229)))</formula>
    </cfRule>
  </conditionalFormatting>
  <conditionalFormatting sqref="Q229">
    <cfRule type="containsText" dxfId="3870" priority="4157" operator="containsText" text="No se pudo ejecutar">
      <formula>NOT(ISERROR(SEARCH("No se pudo ejecutar",Q229)))</formula>
    </cfRule>
    <cfRule type="containsText" dxfId="3869" priority="4158" operator="containsText" text="Pendiente">
      <formula>NOT(ISERROR(SEARCH("Pendiente",Q229)))</formula>
    </cfRule>
    <cfRule type="containsText" dxfId="3868" priority="4159" operator="containsText" text="No Aplica">
      <formula>NOT(ISERROR(SEARCH("No Aplica",Q229)))</formula>
    </cfRule>
    <cfRule type="containsText" dxfId="3867" priority="4160" operator="containsText" text="Fallido">
      <formula>NOT(ISERROR(SEARCH("Fallido",Q229)))</formula>
    </cfRule>
    <cfRule type="containsText" dxfId="3866" priority="4161" operator="containsText" text="Éxitoso">
      <formula>NOT(ISERROR(SEARCH("Éxitoso",Q229)))</formula>
    </cfRule>
  </conditionalFormatting>
  <conditionalFormatting sqref="R229">
    <cfRule type="containsText" dxfId="3865" priority="4152" operator="containsText" text="No se pudo ejecutar">
      <formula>NOT(ISERROR(SEARCH("No se pudo ejecutar",R229)))</formula>
    </cfRule>
    <cfRule type="containsText" dxfId="3864" priority="4153" operator="containsText" text="Pendiente">
      <formula>NOT(ISERROR(SEARCH("Pendiente",R229)))</formula>
    </cfRule>
    <cfRule type="containsText" dxfId="3863" priority="4154" operator="containsText" text="No Aplica">
      <formula>NOT(ISERROR(SEARCH("No Aplica",R229)))</formula>
    </cfRule>
    <cfRule type="containsText" dxfId="3862" priority="4155" operator="containsText" text="Fallido">
      <formula>NOT(ISERROR(SEARCH("Fallido",R229)))</formula>
    </cfRule>
    <cfRule type="containsText" dxfId="3861" priority="4156" operator="containsText" text="Éxitoso">
      <formula>NOT(ISERROR(SEARCH("Éxitoso",R229)))</formula>
    </cfRule>
  </conditionalFormatting>
  <conditionalFormatting sqref="S229">
    <cfRule type="containsText" dxfId="3860" priority="4147" operator="containsText" text="No se pudo ejecutar">
      <formula>NOT(ISERROR(SEARCH("No se pudo ejecutar",S229)))</formula>
    </cfRule>
    <cfRule type="containsText" dxfId="3859" priority="4148" operator="containsText" text="Pendiente">
      <formula>NOT(ISERROR(SEARCH("Pendiente",S229)))</formula>
    </cfRule>
    <cfRule type="containsText" dxfId="3858" priority="4149" operator="containsText" text="No Aplica">
      <formula>NOT(ISERROR(SEARCH("No Aplica",S229)))</formula>
    </cfRule>
    <cfRule type="containsText" dxfId="3857" priority="4150" operator="containsText" text="Fallido">
      <formula>NOT(ISERROR(SEARCH("Fallido",S229)))</formula>
    </cfRule>
    <cfRule type="containsText" dxfId="3856" priority="4151" operator="containsText" text="Éxitoso">
      <formula>NOT(ISERROR(SEARCH("Éxitoso",S229)))</formula>
    </cfRule>
  </conditionalFormatting>
  <conditionalFormatting sqref="T229">
    <cfRule type="containsText" dxfId="3855" priority="4142" operator="containsText" text="No se pudo ejecutar">
      <formula>NOT(ISERROR(SEARCH("No se pudo ejecutar",T229)))</formula>
    </cfRule>
    <cfRule type="containsText" dxfId="3854" priority="4143" operator="containsText" text="Pendiente">
      <formula>NOT(ISERROR(SEARCH("Pendiente",T229)))</formula>
    </cfRule>
    <cfRule type="containsText" dxfId="3853" priority="4144" operator="containsText" text="No Aplica">
      <formula>NOT(ISERROR(SEARCH("No Aplica",T229)))</formula>
    </cfRule>
    <cfRule type="containsText" dxfId="3852" priority="4145" operator="containsText" text="Fallido">
      <formula>NOT(ISERROR(SEARCH("Fallido",T229)))</formula>
    </cfRule>
    <cfRule type="containsText" dxfId="3851" priority="4146" operator="containsText" text="Éxitoso">
      <formula>NOT(ISERROR(SEARCH("Éxitoso",T229)))</formula>
    </cfRule>
  </conditionalFormatting>
  <conditionalFormatting sqref="U229">
    <cfRule type="containsText" dxfId="3850" priority="4137" operator="containsText" text="No se pudo ejecutar">
      <formula>NOT(ISERROR(SEARCH("No se pudo ejecutar",U229)))</formula>
    </cfRule>
    <cfRule type="containsText" dxfId="3849" priority="4138" operator="containsText" text="Pendiente">
      <formula>NOT(ISERROR(SEARCH("Pendiente",U229)))</formula>
    </cfRule>
    <cfRule type="containsText" dxfId="3848" priority="4139" operator="containsText" text="No Aplica">
      <formula>NOT(ISERROR(SEARCH("No Aplica",U229)))</formula>
    </cfRule>
    <cfRule type="containsText" dxfId="3847" priority="4140" operator="containsText" text="Fallido">
      <formula>NOT(ISERROR(SEARCH("Fallido",U229)))</formula>
    </cfRule>
    <cfRule type="containsText" dxfId="3846" priority="4141" operator="containsText" text="Éxitoso">
      <formula>NOT(ISERROR(SEARCH("Éxitoso",U229)))</formula>
    </cfRule>
  </conditionalFormatting>
  <conditionalFormatting sqref="V229">
    <cfRule type="containsText" dxfId="3845" priority="4132" operator="containsText" text="No se pudo ejecutar">
      <formula>NOT(ISERROR(SEARCH("No se pudo ejecutar",V229)))</formula>
    </cfRule>
    <cfRule type="containsText" dxfId="3844" priority="4133" operator="containsText" text="Pendiente">
      <formula>NOT(ISERROR(SEARCH("Pendiente",V229)))</formula>
    </cfRule>
    <cfRule type="containsText" dxfId="3843" priority="4134" operator="containsText" text="No Aplica">
      <formula>NOT(ISERROR(SEARCH("No Aplica",V229)))</formula>
    </cfRule>
    <cfRule type="containsText" dxfId="3842" priority="4135" operator="containsText" text="Fallido">
      <formula>NOT(ISERROR(SEARCH("Fallido",V229)))</formula>
    </cfRule>
    <cfRule type="containsText" dxfId="3841" priority="4136" operator="containsText" text="Éxitoso">
      <formula>NOT(ISERROR(SEARCH("Éxitoso",V229)))</formula>
    </cfRule>
  </conditionalFormatting>
  <conditionalFormatting sqref="W229">
    <cfRule type="containsText" dxfId="3840" priority="4127" operator="containsText" text="No se pudo ejecutar">
      <formula>NOT(ISERROR(SEARCH("No se pudo ejecutar",W229)))</formula>
    </cfRule>
    <cfRule type="containsText" dxfId="3839" priority="4128" operator="containsText" text="Pendiente">
      <formula>NOT(ISERROR(SEARCH("Pendiente",W229)))</formula>
    </cfRule>
    <cfRule type="containsText" dxfId="3838" priority="4129" operator="containsText" text="No Aplica">
      <formula>NOT(ISERROR(SEARCH("No Aplica",W229)))</formula>
    </cfRule>
    <cfRule type="containsText" dxfId="3837" priority="4130" operator="containsText" text="Fallido">
      <formula>NOT(ISERROR(SEARCH("Fallido",W229)))</formula>
    </cfRule>
    <cfRule type="containsText" dxfId="3836" priority="4131" operator="containsText" text="Éxitoso">
      <formula>NOT(ISERROR(SEARCH("Éxitoso",W229)))</formula>
    </cfRule>
  </conditionalFormatting>
  <conditionalFormatting sqref="M229">
    <cfRule type="containsText" dxfId="3835" priority="4122" operator="containsText" text="No se pudo ejecutar">
      <formula>NOT(ISERROR(SEARCH("No se pudo ejecutar",M229)))</formula>
    </cfRule>
    <cfRule type="containsText" dxfId="3834" priority="4123" operator="containsText" text="Pendiente">
      <formula>NOT(ISERROR(SEARCH("Pendiente",M229)))</formula>
    </cfRule>
    <cfRule type="containsText" dxfId="3833" priority="4124" operator="containsText" text="No Aplica">
      <formula>NOT(ISERROR(SEARCH("No Aplica",M229)))</formula>
    </cfRule>
    <cfRule type="containsText" dxfId="3832" priority="4125" operator="containsText" text="Fallido">
      <formula>NOT(ISERROR(SEARCH("Fallido",M229)))</formula>
    </cfRule>
    <cfRule type="containsText" dxfId="3831" priority="4126" operator="containsText" text="Éxitoso">
      <formula>NOT(ISERROR(SEARCH("Éxitoso",M229)))</formula>
    </cfRule>
  </conditionalFormatting>
  <conditionalFormatting sqref="G229">
    <cfRule type="containsText" dxfId="3830" priority="4119" operator="containsText" text="Bajo">
      <formula>NOT(ISERROR(SEARCH("Bajo",G229)))</formula>
    </cfRule>
    <cfRule type="containsText" dxfId="3829" priority="4120" operator="containsText" text="Medio">
      <formula>NOT(ISERROR(SEARCH("Medio",G229)))</formula>
    </cfRule>
    <cfRule type="containsText" dxfId="3828" priority="4121" operator="containsText" text="Alto">
      <formula>NOT(ISERROR(SEARCH("Alto",G229)))</formula>
    </cfRule>
  </conditionalFormatting>
  <conditionalFormatting sqref="N230">
    <cfRule type="containsText" dxfId="3827" priority="4114" operator="containsText" text="No se pudo ejecutar">
      <formula>NOT(ISERROR(SEARCH("No se pudo ejecutar",N230)))</formula>
    </cfRule>
    <cfRule type="containsText" dxfId="3826" priority="4115" operator="containsText" text="Pendiente">
      <formula>NOT(ISERROR(SEARCH("Pendiente",N230)))</formula>
    </cfRule>
    <cfRule type="containsText" dxfId="3825" priority="4116" operator="containsText" text="No Aplica">
      <formula>NOT(ISERROR(SEARCH("No Aplica",N230)))</formula>
    </cfRule>
    <cfRule type="containsText" dxfId="3824" priority="4117" operator="containsText" text="Fallido">
      <formula>NOT(ISERROR(SEARCH("Fallido",N230)))</formula>
    </cfRule>
    <cfRule type="containsText" dxfId="3823" priority="4118" operator="containsText" text="Éxitoso">
      <formula>NOT(ISERROR(SEARCH("Éxitoso",N230)))</formula>
    </cfRule>
  </conditionalFormatting>
  <conditionalFormatting sqref="O230">
    <cfRule type="containsText" dxfId="3822" priority="4109" operator="containsText" text="No se pudo ejecutar">
      <formula>NOT(ISERROR(SEARCH("No se pudo ejecutar",O230)))</formula>
    </cfRule>
    <cfRule type="containsText" dxfId="3821" priority="4110" operator="containsText" text="Pendiente">
      <formula>NOT(ISERROR(SEARCH("Pendiente",O230)))</formula>
    </cfRule>
    <cfRule type="containsText" dxfId="3820" priority="4111" operator="containsText" text="No Aplica">
      <formula>NOT(ISERROR(SEARCH("No Aplica",O230)))</formula>
    </cfRule>
    <cfRule type="containsText" dxfId="3819" priority="4112" operator="containsText" text="Fallido">
      <formula>NOT(ISERROR(SEARCH("Fallido",O230)))</formula>
    </cfRule>
    <cfRule type="containsText" dxfId="3818" priority="4113" operator="containsText" text="Éxitoso">
      <formula>NOT(ISERROR(SEARCH("Éxitoso",O230)))</formula>
    </cfRule>
  </conditionalFormatting>
  <conditionalFormatting sqref="P230">
    <cfRule type="containsText" dxfId="3817" priority="4104" operator="containsText" text="No se pudo ejecutar">
      <formula>NOT(ISERROR(SEARCH("No se pudo ejecutar",P230)))</formula>
    </cfRule>
    <cfRule type="containsText" dxfId="3816" priority="4105" operator="containsText" text="Pendiente">
      <formula>NOT(ISERROR(SEARCH("Pendiente",P230)))</formula>
    </cfRule>
    <cfRule type="containsText" dxfId="3815" priority="4106" operator="containsText" text="No Aplica">
      <formula>NOT(ISERROR(SEARCH("No Aplica",P230)))</formula>
    </cfRule>
    <cfRule type="containsText" dxfId="3814" priority="4107" operator="containsText" text="Fallido">
      <formula>NOT(ISERROR(SEARCH("Fallido",P230)))</formula>
    </cfRule>
    <cfRule type="containsText" dxfId="3813" priority="4108" operator="containsText" text="Éxitoso">
      <formula>NOT(ISERROR(SEARCH("Éxitoso",P230)))</formula>
    </cfRule>
  </conditionalFormatting>
  <conditionalFormatting sqref="Q230">
    <cfRule type="containsText" dxfId="3812" priority="4099" operator="containsText" text="No se pudo ejecutar">
      <formula>NOT(ISERROR(SEARCH("No se pudo ejecutar",Q230)))</formula>
    </cfRule>
    <cfRule type="containsText" dxfId="3811" priority="4100" operator="containsText" text="Pendiente">
      <formula>NOT(ISERROR(SEARCH("Pendiente",Q230)))</formula>
    </cfRule>
    <cfRule type="containsText" dxfId="3810" priority="4101" operator="containsText" text="No Aplica">
      <formula>NOT(ISERROR(SEARCH("No Aplica",Q230)))</formula>
    </cfRule>
    <cfRule type="containsText" dxfId="3809" priority="4102" operator="containsText" text="Fallido">
      <formula>NOT(ISERROR(SEARCH("Fallido",Q230)))</formula>
    </cfRule>
    <cfRule type="containsText" dxfId="3808" priority="4103" operator="containsText" text="Éxitoso">
      <formula>NOT(ISERROR(SEARCH("Éxitoso",Q230)))</formula>
    </cfRule>
  </conditionalFormatting>
  <conditionalFormatting sqref="R230">
    <cfRule type="containsText" dxfId="3807" priority="4094" operator="containsText" text="No se pudo ejecutar">
      <formula>NOT(ISERROR(SEARCH("No se pudo ejecutar",R230)))</formula>
    </cfRule>
    <cfRule type="containsText" dxfId="3806" priority="4095" operator="containsText" text="Pendiente">
      <formula>NOT(ISERROR(SEARCH("Pendiente",R230)))</formula>
    </cfRule>
    <cfRule type="containsText" dxfId="3805" priority="4096" operator="containsText" text="No Aplica">
      <formula>NOT(ISERROR(SEARCH("No Aplica",R230)))</formula>
    </cfRule>
    <cfRule type="containsText" dxfId="3804" priority="4097" operator="containsText" text="Fallido">
      <formula>NOT(ISERROR(SEARCH("Fallido",R230)))</formula>
    </cfRule>
    <cfRule type="containsText" dxfId="3803" priority="4098" operator="containsText" text="Éxitoso">
      <formula>NOT(ISERROR(SEARCH("Éxitoso",R230)))</formula>
    </cfRule>
  </conditionalFormatting>
  <conditionalFormatting sqref="S230">
    <cfRule type="containsText" dxfId="3802" priority="4089" operator="containsText" text="No se pudo ejecutar">
      <formula>NOT(ISERROR(SEARCH("No se pudo ejecutar",S230)))</formula>
    </cfRule>
    <cfRule type="containsText" dxfId="3801" priority="4090" operator="containsText" text="Pendiente">
      <formula>NOT(ISERROR(SEARCH("Pendiente",S230)))</formula>
    </cfRule>
    <cfRule type="containsText" dxfId="3800" priority="4091" operator="containsText" text="No Aplica">
      <formula>NOT(ISERROR(SEARCH("No Aplica",S230)))</formula>
    </cfRule>
    <cfRule type="containsText" dxfId="3799" priority="4092" operator="containsText" text="Fallido">
      <formula>NOT(ISERROR(SEARCH("Fallido",S230)))</formula>
    </cfRule>
    <cfRule type="containsText" dxfId="3798" priority="4093" operator="containsText" text="Éxitoso">
      <formula>NOT(ISERROR(SEARCH("Éxitoso",S230)))</formula>
    </cfRule>
  </conditionalFormatting>
  <conditionalFormatting sqref="T230">
    <cfRule type="containsText" dxfId="3797" priority="4084" operator="containsText" text="No se pudo ejecutar">
      <formula>NOT(ISERROR(SEARCH("No se pudo ejecutar",T230)))</formula>
    </cfRule>
    <cfRule type="containsText" dxfId="3796" priority="4085" operator="containsText" text="Pendiente">
      <formula>NOT(ISERROR(SEARCH("Pendiente",T230)))</formula>
    </cfRule>
    <cfRule type="containsText" dxfId="3795" priority="4086" operator="containsText" text="No Aplica">
      <formula>NOT(ISERROR(SEARCH("No Aplica",T230)))</formula>
    </cfRule>
    <cfRule type="containsText" dxfId="3794" priority="4087" operator="containsText" text="Fallido">
      <formula>NOT(ISERROR(SEARCH("Fallido",T230)))</formula>
    </cfRule>
    <cfRule type="containsText" dxfId="3793" priority="4088" operator="containsText" text="Éxitoso">
      <formula>NOT(ISERROR(SEARCH("Éxitoso",T230)))</formula>
    </cfRule>
  </conditionalFormatting>
  <conditionalFormatting sqref="U230">
    <cfRule type="containsText" dxfId="3792" priority="4079" operator="containsText" text="No se pudo ejecutar">
      <formula>NOT(ISERROR(SEARCH("No se pudo ejecutar",U230)))</formula>
    </cfRule>
    <cfRule type="containsText" dxfId="3791" priority="4080" operator="containsText" text="Pendiente">
      <formula>NOT(ISERROR(SEARCH("Pendiente",U230)))</formula>
    </cfRule>
    <cfRule type="containsText" dxfId="3790" priority="4081" operator="containsText" text="No Aplica">
      <formula>NOT(ISERROR(SEARCH("No Aplica",U230)))</formula>
    </cfRule>
    <cfRule type="containsText" dxfId="3789" priority="4082" operator="containsText" text="Fallido">
      <formula>NOT(ISERROR(SEARCH("Fallido",U230)))</formula>
    </cfRule>
    <cfRule type="containsText" dxfId="3788" priority="4083" operator="containsText" text="Éxitoso">
      <formula>NOT(ISERROR(SEARCH("Éxitoso",U230)))</formula>
    </cfRule>
  </conditionalFormatting>
  <conditionalFormatting sqref="V230">
    <cfRule type="containsText" dxfId="3787" priority="4074" operator="containsText" text="No se pudo ejecutar">
      <formula>NOT(ISERROR(SEARCH("No se pudo ejecutar",V230)))</formula>
    </cfRule>
    <cfRule type="containsText" dxfId="3786" priority="4075" operator="containsText" text="Pendiente">
      <formula>NOT(ISERROR(SEARCH("Pendiente",V230)))</formula>
    </cfRule>
    <cfRule type="containsText" dxfId="3785" priority="4076" operator="containsText" text="No Aplica">
      <formula>NOT(ISERROR(SEARCH("No Aplica",V230)))</formula>
    </cfRule>
    <cfRule type="containsText" dxfId="3784" priority="4077" operator="containsText" text="Fallido">
      <formula>NOT(ISERROR(SEARCH("Fallido",V230)))</formula>
    </cfRule>
    <cfRule type="containsText" dxfId="3783" priority="4078" operator="containsText" text="Éxitoso">
      <formula>NOT(ISERROR(SEARCH("Éxitoso",V230)))</formula>
    </cfRule>
  </conditionalFormatting>
  <conditionalFormatting sqref="W230">
    <cfRule type="containsText" dxfId="3782" priority="4069" operator="containsText" text="No se pudo ejecutar">
      <formula>NOT(ISERROR(SEARCH("No se pudo ejecutar",W230)))</formula>
    </cfRule>
    <cfRule type="containsText" dxfId="3781" priority="4070" operator="containsText" text="Pendiente">
      <formula>NOT(ISERROR(SEARCH("Pendiente",W230)))</formula>
    </cfRule>
    <cfRule type="containsText" dxfId="3780" priority="4071" operator="containsText" text="No Aplica">
      <formula>NOT(ISERROR(SEARCH("No Aplica",W230)))</formula>
    </cfRule>
    <cfRule type="containsText" dxfId="3779" priority="4072" operator="containsText" text="Fallido">
      <formula>NOT(ISERROR(SEARCH("Fallido",W230)))</formula>
    </cfRule>
    <cfRule type="containsText" dxfId="3778" priority="4073" operator="containsText" text="Éxitoso">
      <formula>NOT(ISERROR(SEARCH("Éxitoso",W230)))</formula>
    </cfRule>
  </conditionalFormatting>
  <conditionalFormatting sqref="M230">
    <cfRule type="containsText" dxfId="3777" priority="4064" operator="containsText" text="No se pudo ejecutar">
      <formula>NOT(ISERROR(SEARCH("No se pudo ejecutar",M230)))</formula>
    </cfRule>
    <cfRule type="containsText" dxfId="3776" priority="4065" operator="containsText" text="Pendiente">
      <formula>NOT(ISERROR(SEARCH("Pendiente",M230)))</formula>
    </cfRule>
    <cfRule type="containsText" dxfId="3775" priority="4066" operator="containsText" text="No Aplica">
      <formula>NOT(ISERROR(SEARCH("No Aplica",M230)))</formula>
    </cfRule>
    <cfRule type="containsText" dxfId="3774" priority="4067" operator="containsText" text="Fallido">
      <formula>NOT(ISERROR(SEARCH("Fallido",M230)))</formula>
    </cfRule>
    <cfRule type="containsText" dxfId="3773" priority="4068" operator="containsText" text="Éxitoso">
      <formula>NOT(ISERROR(SEARCH("Éxitoso",M230)))</formula>
    </cfRule>
  </conditionalFormatting>
  <conditionalFormatting sqref="G230">
    <cfRule type="containsText" dxfId="3772" priority="4061" operator="containsText" text="Bajo">
      <formula>NOT(ISERROR(SEARCH("Bajo",G230)))</formula>
    </cfRule>
    <cfRule type="containsText" dxfId="3771" priority="4062" operator="containsText" text="Medio">
      <formula>NOT(ISERROR(SEARCH("Medio",G230)))</formula>
    </cfRule>
    <cfRule type="containsText" dxfId="3770" priority="4063" operator="containsText" text="Alto">
      <formula>NOT(ISERROR(SEARCH("Alto",G230)))</formula>
    </cfRule>
  </conditionalFormatting>
  <conditionalFormatting sqref="N231">
    <cfRule type="containsText" dxfId="3769" priority="4056" operator="containsText" text="No se pudo ejecutar">
      <formula>NOT(ISERROR(SEARCH("No se pudo ejecutar",N231)))</formula>
    </cfRule>
    <cfRule type="containsText" dxfId="3768" priority="4057" operator="containsText" text="Pendiente">
      <formula>NOT(ISERROR(SEARCH("Pendiente",N231)))</formula>
    </cfRule>
    <cfRule type="containsText" dxfId="3767" priority="4058" operator="containsText" text="No Aplica">
      <formula>NOT(ISERROR(SEARCH("No Aplica",N231)))</formula>
    </cfRule>
    <cfRule type="containsText" dxfId="3766" priority="4059" operator="containsText" text="Fallido">
      <formula>NOT(ISERROR(SEARCH("Fallido",N231)))</formula>
    </cfRule>
    <cfRule type="containsText" dxfId="3765" priority="4060" operator="containsText" text="Éxitoso">
      <formula>NOT(ISERROR(SEARCH("Éxitoso",N231)))</formula>
    </cfRule>
  </conditionalFormatting>
  <conditionalFormatting sqref="O231">
    <cfRule type="containsText" dxfId="3764" priority="4051" operator="containsText" text="No se pudo ejecutar">
      <formula>NOT(ISERROR(SEARCH("No se pudo ejecutar",O231)))</formula>
    </cfRule>
    <cfRule type="containsText" dxfId="3763" priority="4052" operator="containsText" text="Pendiente">
      <formula>NOT(ISERROR(SEARCH("Pendiente",O231)))</formula>
    </cfRule>
    <cfRule type="containsText" dxfId="3762" priority="4053" operator="containsText" text="No Aplica">
      <formula>NOT(ISERROR(SEARCH("No Aplica",O231)))</formula>
    </cfRule>
    <cfRule type="containsText" dxfId="3761" priority="4054" operator="containsText" text="Fallido">
      <formula>NOT(ISERROR(SEARCH("Fallido",O231)))</formula>
    </cfRule>
    <cfRule type="containsText" dxfId="3760" priority="4055" operator="containsText" text="Éxitoso">
      <formula>NOT(ISERROR(SEARCH("Éxitoso",O231)))</formula>
    </cfRule>
  </conditionalFormatting>
  <conditionalFormatting sqref="P231">
    <cfRule type="containsText" dxfId="3759" priority="4046" operator="containsText" text="No se pudo ejecutar">
      <formula>NOT(ISERROR(SEARCH("No se pudo ejecutar",P231)))</formula>
    </cfRule>
    <cfRule type="containsText" dxfId="3758" priority="4047" operator="containsText" text="Pendiente">
      <formula>NOT(ISERROR(SEARCH("Pendiente",P231)))</formula>
    </cfRule>
    <cfRule type="containsText" dxfId="3757" priority="4048" operator="containsText" text="No Aplica">
      <formula>NOT(ISERROR(SEARCH("No Aplica",P231)))</formula>
    </cfRule>
    <cfRule type="containsText" dxfId="3756" priority="4049" operator="containsText" text="Fallido">
      <formula>NOT(ISERROR(SEARCH("Fallido",P231)))</formula>
    </cfRule>
    <cfRule type="containsText" dxfId="3755" priority="4050" operator="containsText" text="Éxitoso">
      <formula>NOT(ISERROR(SEARCH("Éxitoso",P231)))</formula>
    </cfRule>
  </conditionalFormatting>
  <conditionalFormatting sqref="Q231">
    <cfRule type="containsText" dxfId="3754" priority="4041" operator="containsText" text="No se pudo ejecutar">
      <formula>NOT(ISERROR(SEARCH("No se pudo ejecutar",Q231)))</formula>
    </cfRule>
    <cfRule type="containsText" dxfId="3753" priority="4042" operator="containsText" text="Pendiente">
      <formula>NOT(ISERROR(SEARCH("Pendiente",Q231)))</formula>
    </cfRule>
    <cfRule type="containsText" dxfId="3752" priority="4043" operator="containsText" text="No Aplica">
      <formula>NOT(ISERROR(SEARCH("No Aplica",Q231)))</formula>
    </cfRule>
    <cfRule type="containsText" dxfId="3751" priority="4044" operator="containsText" text="Fallido">
      <formula>NOT(ISERROR(SEARCH("Fallido",Q231)))</formula>
    </cfRule>
    <cfRule type="containsText" dxfId="3750" priority="4045" operator="containsText" text="Éxitoso">
      <formula>NOT(ISERROR(SEARCH("Éxitoso",Q231)))</formula>
    </cfRule>
  </conditionalFormatting>
  <conditionalFormatting sqref="R231">
    <cfRule type="containsText" dxfId="3749" priority="4036" operator="containsText" text="No se pudo ejecutar">
      <formula>NOT(ISERROR(SEARCH("No se pudo ejecutar",R231)))</formula>
    </cfRule>
    <cfRule type="containsText" dxfId="3748" priority="4037" operator="containsText" text="Pendiente">
      <formula>NOT(ISERROR(SEARCH("Pendiente",R231)))</formula>
    </cfRule>
    <cfRule type="containsText" dxfId="3747" priority="4038" operator="containsText" text="No Aplica">
      <formula>NOT(ISERROR(SEARCH("No Aplica",R231)))</formula>
    </cfRule>
    <cfRule type="containsText" dxfId="3746" priority="4039" operator="containsText" text="Fallido">
      <formula>NOT(ISERROR(SEARCH("Fallido",R231)))</formula>
    </cfRule>
    <cfRule type="containsText" dxfId="3745" priority="4040" operator="containsText" text="Éxitoso">
      <formula>NOT(ISERROR(SEARCH("Éxitoso",R231)))</formula>
    </cfRule>
  </conditionalFormatting>
  <conditionalFormatting sqref="S231">
    <cfRule type="containsText" dxfId="3744" priority="4031" operator="containsText" text="No se pudo ejecutar">
      <formula>NOT(ISERROR(SEARCH("No se pudo ejecutar",S231)))</formula>
    </cfRule>
    <cfRule type="containsText" dxfId="3743" priority="4032" operator="containsText" text="Pendiente">
      <formula>NOT(ISERROR(SEARCH("Pendiente",S231)))</formula>
    </cfRule>
    <cfRule type="containsText" dxfId="3742" priority="4033" operator="containsText" text="No Aplica">
      <formula>NOT(ISERROR(SEARCH("No Aplica",S231)))</formula>
    </cfRule>
    <cfRule type="containsText" dxfId="3741" priority="4034" operator="containsText" text="Fallido">
      <formula>NOT(ISERROR(SEARCH("Fallido",S231)))</formula>
    </cfRule>
    <cfRule type="containsText" dxfId="3740" priority="4035" operator="containsText" text="Éxitoso">
      <formula>NOT(ISERROR(SEARCH("Éxitoso",S231)))</formula>
    </cfRule>
  </conditionalFormatting>
  <conditionalFormatting sqref="T231">
    <cfRule type="containsText" dxfId="3739" priority="4026" operator="containsText" text="No se pudo ejecutar">
      <formula>NOT(ISERROR(SEARCH("No se pudo ejecutar",T231)))</formula>
    </cfRule>
    <cfRule type="containsText" dxfId="3738" priority="4027" operator="containsText" text="Pendiente">
      <formula>NOT(ISERROR(SEARCH("Pendiente",T231)))</formula>
    </cfRule>
    <cfRule type="containsText" dxfId="3737" priority="4028" operator="containsText" text="No Aplica">
      <formula>NOT(ISERROR(SEARCH("No Aplica",T231)))</formula>
    </cfRule>
    <cfRule type="containsText" dxfId="3736" priority="4029" operator="containsText" text="Fallido">
      <formula>NOT(ISERROR(SEARCH("Fallido",T231)))</formula>
    </cfRule>
    <cfRule type="containsText" dxfId="3735" priority="4030" operator="containsText" text="Éxitoso">
      <formula>NOT(ISERROR(SEARCH("Éxitoso",T231)))</formula>
    </cfRule>
  </conditionalFormatting>
  <conditionalFormatting sqref="U231">
    <cfRule type="containsText" dxfId="3734" priority="4021" operator="containsText" text="No se pudo ejecutar">
      <formula>NOT(ISERROR(SEARCH("No se pudo ejecutar",U231)))</formula>
    </cfRule>
    <cfRule type="containsText" dxfId="3733" priority="4022" operator="containsText" text="Pendiente">
      <formula>NOT(ISERROR(SEARCH("Pendiente",U231)))</formula>
    </cfRule>
    <cfRule type="containsText" dxfId="3732" priority="4023" operator="containsText" text="No Aplica">
      <formula>NOT(ISERROR(SEARCH("No Aplica",U231)))</formula>
    </cfRule>
    <cfRule type="containsText" dxfId="3731" priority="4024" operator="containsText" text="Fallido">
      <formula>NOT(ISERROR(SEARCH("Fallido",U231)))</formula>
    </cfRule>
    <cfRule type="containsText" dxfId="3730" priority="4025" operator="containsText" text="Éxitoso">
      <formula>NOT(ISERROR(SEARCH("Éxitoso",U231)))</formula>
    </cfRule>
  </conditionalFormatting>
  <conditionalFormatting sqref="V231">
    <cfRule type="containsText" dxfId="3729" priority="4016" operator="containsText" text="No se pudo ejecutar">
      <formula>NOT(ISERROR(SEARCH("No se pudo ejecutar",V231)))</formula>
    </cfRule>
    <cfRule type="containsText" dxfId="3728" priority="4017" operator="containsText" text="Pendiente">
      <formula>NOT(ISERROR(SEARCH("Pendiente",V231)))</formula>
    </cfRule>
    <cfRule type="containsText" dxfId="3727" priority="4018" operator="containsText" text="No Aplica">
      <formula>NOT(ISERROR(SEARCH("No Aplica",V231)))</formula>
    </cfRule>
    <cfRule type="containsText" dxfId="3726" priority="4019" operator="containsText" text="Fallido">
      <formula>NOT(ISERROR(SEARCH("Fallido",V231)))</formula>
    </cfRule>
    <cfRule type="containsText" dxfId="3725" priority="4020" operator="containsText" text="Éxitoso">
      <formula>NOT(ISERROR(SEARCH("Éxitoso",V231)))</formula>
    </cfRule>
  </conditionalFormatting>
  <conditionalFormatting sqref="W231">
    <cfRule type="containsText" dxfId="3724" priority="4011" operator="containsText" text="No se pudo ejecutar">
      <formula>NOT(ISERROR(SEARCH("No se pudo ejecutar",W231)))</formula>
    </cfRule>
    <cfRule type="containsText" dxfId="3723" priority="4012" operator="containsText" text="Pendiente">
      <formula>NOT(ISERROR(SEARCH("Pendiente",W231)))</formula>
    </cfRule>
    <cfRule type="containsText" dxfId="3722" priority="4013" operator="containsText" text="No Aplica">
      <formula>NOT(ISERROR(SEARCH("No Aplica",W231)))</formula>
    </cfRule>
    <cfRule type="containsText" dxfId="3721" priority="4014" operator="containsText" text="Fallido">
      <formula>NOT(ISERROR(SEARCH("Fallido",W231)))</formula>
    </cfRule>
    <cfRule type="containsText" dxfId="3720" priority="4015" operator="containsText" text="Éxitoso">
      <formula>NOT(ISERROR(SEARCH("Éxitoso",W231)))</formula>
    </cfRule>
  </conditionalFormatting>
  <conditionalFormatting sqref="M231">
    <cfRule type="containsText" dxfId="3719" priority="4006" operator="containsText" text="No se pudo ejecutar">
      <formula>NOT(ISERROR(SEARCH("No se pudo ejecutar",M231)))</formula>
    </cfRule>
    <cfRule type="containsText" dxfId="3718" priority="4007" operator="containsText" text="Pendiente">
      <formula>NOT(ISERROR(SEARCH("Pendiente",M231)))</formula>
    </cfRule>
    <cfRule type="containsText" dxfId="3717" priority="4008" operator="containsText" text="No Aplica">
      <formula>NOT(ISERROR(SEARCH("No Aplica",M231)))</formula>
    </cfRule>
    <cfRule type="containsText" dxfId="3716" priority="4009" operator="containsText" text="Fallido">
      <formula>NOT(ISERROR(SEARCH("Fallido",M231)))</formula>
    </cfRule>
    <cfRule type="containsText" dxfId="3715" priority="4010" operator="containsText" text="Éxitoso">
      <formula>NOT(ISERROR(SEARCH("Éxitoso",M231)))</formula>
    </cfRule>
  </conditionalFormatting>
  <conditionalFormatting sqref="G231">
    <cfRule type="containsText" dxfId="3714" priority="4003" operator="containsText" text="Bajo">
      <formula>NOT(ISERROR(SEARCH("Bajo",G231)))</formula>
    </cfRule>
    <cfRule type="containsText" dxfId="3713" priority="4004" operator="containsText" text="Medio">
      <formula>NOT(ISERROR(SEARCH("Medio",G231)))</formula>
    </cfRule>
    <cfRule type="containsText" dxfId="3712" priority="4005" operator="containsText" text="Alto">
      <formula>NOT(ISERROR(SEARCH("Alto",G231)))</formula>
    </cfRule>
  </conditionalFormatting>
  <conditionalFormatting sqref="N232">
    <cfRule type="containsText" dxfId="3711" priority="3998" operator="containsText" text="No se pudo ejecutar">
      <formula>NOT(ISERROR(SEARCH("No se pudo ejecutar",N232)))</formula>
    </cfRule>
    <cfRule type="containsText" dxfId="3710" priority="3999" operator="containsText" text="Pendiente">
      <formula>NOT(ISERROR(SEARCH("Pendiente",N232)))</formula>
    </cfRule>
    <cfRule type="containsText" dxfId="3709" priority="4000" operator="containsText" text="No Aplica">
      <formula>NOT(ISERROR(SEARCH("No Aplica",N232)))</formula>
    </cfRule>
    <cfRule type="containsText" dxfId="3708" priority="4001" operator="containsText" text="Fallido">
      <formula>NOT(ISERROR(SEARCH("Fallido",N232)))</formula>
    </cfRule>
    <cfRule type="containsText" dxfId="3707" priority="4002" operator="containsText" text="Éxitoso">
      <formula>NOT(ISERROR(SEARCH("Éxitoso",N232)))</formula>
    </cfRule>
  </conditionalFormatting>
  <conditionalFormatting sqref="O232">
    <cfRule type="containsText" dxfId="3706" priority="3993" operator="containsText" text="No se pudo ejecutar">
      <formula>NOT(ISERROR(SEARCH("No se pudo ejecutar",O232)))</formula>
    </cfRule>
    <cfRule type="containsText" dxfId="3705" priority="3994" operator="containsText" text="Pendiente">
      <formula>NOT(ISERROR(SEARCH("Pendiente",O232)))</formula>
    </cfRule>
    <cfRule type="containsText" dxfId="3704" priority="3995" operator="containsText" text="No Aplica">
      <formula>NOT(ISERROR(SEARCH("No Aplica",O232)))</formula>
    </cfRule>
    <cfRule type="containsText" dxfId="3703" priority="3996" operator="containsText" text="Fallido">
      <formula>NOT(ISERROR(SEARCH("Fallido",O232)))</formula>
    </cfRule>
    <cfRule type="containsText" dxfId="3702" priority="3997" operator="containsText" text="Éxitoso">
      <formula>NOT(ISERROR(SEARCH("Éxitoso",O232)))</formula>
    </cfRule>
  </conditionalFormatting>
  <conditionalFormatting sqref="P232">
    <cfRule type="containsText" dxfId="3701" priority="3988" operator="containsText" text="No se pudo ejecutar">
      <formula>NOT(ISERROR(SEARCH("No se pudo ejecutar",P232)))</formula>
    </cfRule>
    <cfRule type="containsText" dxfId="3700" priority="3989" operator="containsText" text="Pendiente">
      <formula>NOT(ISERROR(SEARCH("Pendiente",P232)))</formula>
    </cfRule>
    <cfRule type="containsText" dxfId="3699" priority="3990" operator="containsText" text="No Aplica">
      <formula>NOT(ISERROR(SEARCH("No Aplica",P232)))</formula>
    </cfRule>
    <cfRule type="containsText" dxfId="3698" priority="3991" operator="containsText" text="Fallido">
      <formula>NOT(ISERROR(SEARCH("Fallido",P232)))</formula>
    </cfRule>
    <cfRule type="containsText" dxfId="3697" priority="3992" operator="containsText" text="Éxitoso">
      <formula>NOT(ISERROR(SEARCH("Éxitoso",P232)))</formula>
    </cfRule>
  </conditionalFormatting>
  <conditionalFormatting sqref="Q232">
    <cfRule type="containsText" dxfId="3696" priority="3983" operator="containsText" text="No se pudo ejecutar">
      <formula>NOT(ISERROR(SEARCH("No se pudo ejecutar",Q232)))</formula>
    </cfRule>
    <cfRule type="containsText" dxfId="3695" priority="3984" operator="containsText" text="Pendiente">
      <formula>NOT(ISERROR(SEARCH("Pendiente",Q232)))</formula>
    </cfRule>
    <cfRule type="containsText" dxfId="3694" priority="3985" operator="containsText" text="No Aplica">
      <formula>NOT(ISERROR(SEARCH("No Aplica",Q232)))</formula>
    </cfRule>
    <cfRule type="containsText" dxfId="3693" priority="3986" operator="containsText" text="Fallido">
      <formula>NOT(ISERROR(SEARCH("Fallido",Q232)))</formula>
    </cfRule>
    <cfRule type="containsText" dxfId="3692" priority="3987" operator="containsText" text="Éxitoso">
      <formula>NOT(ISERROR(SEARCH("Éxitoso",Q232)))</formula>
    </cfRule>
  </conditionalFormatting>
  <conditionalFormatting sqref="R232">
    <cfRule type="containsText" dxfId="3691" priority="3978" operator="containsText" text="No se pudo ejecutar">
      <formula>NOT(ISERROR(SEARCH("No se pudo ejecutar",R232)))</formula>
    </cfRule>
    <cfRule type="containsText" dxfId="3690" priority="3979" operator="containsText" text="Pendiente">
      <formula>NOT(ISERROR(SEARCH("Pendiente",R232)))</formula>
    </cfRule>
    <cfRule type="containsText" dxfId="3689" priority="3980" operator="containsText" text="No Aplica">
      <formula>NOT(ISERROR(SEARCH("No Aplica",R232)))</formula>
    </cfRule>
    <cfRule type="containsText" dxfId="3688" priority="3981" operator="containsText" text="Fallido">
      <formula>NOT(ISERROR(SEARCH("Fallido",R232)))</formula>
    </cfRule>
    <cfRule type="containsText" dxfId="3687" priority="3982" operator="containsText" text="Éxitoso">
      <formula>NOT(ISERROR(SEARCH("Éxitoso",R232)))</formula>
    </cfRule>
  </conditionalFormatting>
  <conditionalFormatting sqref="S232">
    <cfRule type="containsText" dxfId="3686" priority="3973" operator="containsText" text="No se pudo ejecutar">
      <formula>NOT(ISERROR(SEARCH("No se pudo ejecutar",S232)))</formula>
    </cfRule>
    <cfRule type="containsText" dxfId="3685" priority="3974" operator="containsText" text="Pendiente">
      <formula>NOT(ISERROR(SEARCH("Pendiente",S232)))</formula>
    </cfRule>
    <cfRule type="containsText" dxfId="3684" priority="3975" operator="containsText" text="No Aplica">
      <formula>NOT(ISERROR(SEARCH("No Aplica",S232)))</formula>
    </cfRule>
    <cfRule type="containsText" dxfId="3683" priority="3976" operator="containsText" text="Fallido">
      <formula>NOT(ISERROR(SEARCH("Fallido",S232)))</formula>
    </cfRule>
    <cfRule type="containsText" dxfId="3682" priority="3977" operator="containsText" text="Éxitoso">
      <formula>NOT(ISERROR(SEARCH("Éxitoso",S232)))</formula>
    </cfRule>
  </conditionalFormatting>
  <conditionalFormatting sqref="T232">
    <cfRule type="containsText" dxfId="3681" priority="3968" operator="containsText" text="No se pudo ejecutar">
      <formula>NOT(ISERROR(SEARCH("No se pudo ejecutar",T232)))</formula>
    </cfRule>
    <cfRule type="containsText" dxfId="3680" priority="3969" operator="containsText" text="Pendiente">
      <formula>NOT(ISERROR(SEARCH("Pendiente",T232)))</formula>
    </cfRule>
    <cfRule type="containsText" dxfId="3679" priority="3970" operator="containsText" text="No Aplica">
      <formula>NOT(ISERROR(SEARCH("No Aplica",T232)))</formula>
    </cfRule>
    <cfRule type="containsText" dxfId="3678" priority="3971" operator="containsText" text="Fallido">
      <formula>NOT(ISERROR(SEARCH("Fallido",T232)))</formula>
    </cfRule>
    <cfRule type="containsText" dxfId="3677" priority="3972" operator="containsText" text="Éxitoso">
      <formula>NOT(ISERROR(SEARCH("Éxitoso",T232)))</formula>
    </cfRule>
  </conditionalFormatting>
  <conditionalFormatting sqref="U232">
    <cfRule type="containsText" dxfId="3676" priority="3963" operator="containsText" text="No se pudo ejecutar">
      <formula>NOT(ISERROR(SEARCH("No se pudo ejecutar",U232)))</formula>
    </cfRule>
    <cfRule type="containsText" dxfId="3675" priority="3964" operator="containsText" text="Pendiente">
      <formula>NOT(ISERROR(SEARCH("Pendiente",U232)))</formula>
    </cfRule>
    <cfRule type="containsText" dxfId="3674" priority="3965" operator="containsText" text="No Aplica">
      <formula>NOT(ISERROR(SEARCH("No Aplica",U232)))</formula>
    </cfRule>
    <cfRule type="containsText" dxfId="3673" priority="3966" operator="containsText" text="Fallido">
      <formula>NOT(ISERROR(SEARCH("Fallido",U232)))</formula>
    </cfRule>
    <cfRule type="containsText" dxfId="3672" priority="3967" operator="containsText" text="Éxitoso">
      <formula>NOT(ISERROR(SEARCH("Éxitoso",U232)))</formula>
    </cfRule>
  </conditionalFormatting>
  <conditionalFormatting sqref="V232">
    <cfRule type="containsText" dxfId="3671" priority="3958" operator="containsText" text="No se pudo ejecutar">
      <formula>NOT(ISERROR(SEARCH("No se pudo ejecutar",V232)))</formula>
    </cfRule>
    <cfRule type="containsText" dxfId="3670" priority="3959" operator="containsText" text="Pendiente">
      <formula>NOT(ISERROR(SEARCH("Pendiente",V232)))</formula>
    </cfRule>
    <cfRule type="containsText" dxfId="3669" priority="3960" operator="containsText" text="No Aplica">
      <formula>NOT(ISERROR(SEARCH("No Aplica",V232)))</formula>
    </cfRule>
    <cfRule type="containsText" dxfId="3668" priority="3961" operator="containsText" text="Fallido">
      <formula>NOT(ISERROR(SEARCH("Fallido",V232)))</formula>
    </cfRule>
    <cfRule type="containsText" dxfId="3667" priority="3962" operator="containsText" text="Éxitoso">
      <formula>NOT(ISERROR(SEARCH("Éxitoso",V232)))</formula>
    </cfRule>
  </conditionalFormatting>
  <conditionalFormatting sqref="W232">
    <cfRule type="containsText" dxfId="3666" priority="3953" operator="containsText" text="No se pudo ejecutar">
      <formula>NOT(ISERROR(SEARCH("No se pudo ejecutar",W232)))</formula>
    </cfRule>
    <cfRule type="containsText" dxfId="3665" priority="3954" operator="containsText" text="Pendiente">
      <formula>NOT(ISERROR(SEARCH("Pendiente",W232)))</formula>
    </cfRule>
    <cfRule type="containsText" dxfId="3664" priority="3955" operator="containsText" text="No Aplica">
      <formula>NOT(ISERROR(SEARCH("No Aplica",W232)))</formula>
    </cfRule>
    <cfRule type="containsText" dxfId="3663" priority="3956" operator="containsText" text="Fallido">
      <formula>NOT(ISERROR(SEARCH("Fallido",W232)))</formula>
    </cfRule>
    <cfRule type="containsText" dxfId="3662" priority="3957" operator="containsText" text="Éxitoso">
      <formula>NOT(ISERROR(SEARCH("Éxitoso",W232)))</formula>
    </cfRule>
  </conditionalFormatting>
  <conditionalFormatting sqref="M232">
    <cfRule type="containsText" dxfId="3661" priority="3948" operator="containsText" text="No se pudo ejecutar">
      <formula>NOT(ISERROR(SEARCH("No se pudo ejecutar",M232)))</formula>
    </cfRule>
    <cfRule type="containsText" dxfId="3660" priority="3949" operator="containsText" text="Pendiente">
      <formula>NOT(ISERROR(SEARCH("Pendiente",M232)))</formula>
    </cfRule>
    <cfRule type="containsText" dxfId="3659" priority="3950" operator="containsText" text="No Aplica">
      <formula>NOT(ISERROR(SEARCH("No Aplica",M232)))</formula>
    </cfRule>
    <cfRule type="containsText" dxfId="3658" priority="3951" operator="containsText" text="Fallido">
      <formula>NOT(ISERROR(SEARCH("Fallido",M232)))</formula>
    </cfRule>
    <cfRule type="containsText" dxfId="3657" priority="3952" operator="containsText" text="Éxitoso">
      <formula>NOT(ISERROR(SEARCH("Éxitoso",M232)))</formula>
    </cfRule>
  </conditionalFormatting>
  <conditionalFormatting sqref="G232">
    <cfRule type="containsText" dxfId="3656" priority="3945" operator="containsText" text="Bajo">
      <formula>NOT(ISERROR(SEARCH("Bajo",G232)))</formula>
    </cfRule>
    <cfRule type="containsText" dxfId="3655" priority="3946" operator="containsText" text="Medio">
      <formula>NOT(ISERROR(SEARCH("Medio",G232)))</formula>
    </cfRule>
    <cfRule type="containsText" dxfId="3654" priority="3947" operator="containsText" text="Alto">
      <formula>NOT(ISERROR(SEARCH("Alto",G232)))</formula>
    </cfRule>
  </conditionalFormatting>
  <conditionalFormatting sqref="N233">
    <cfRule type="containsText" dxfId="3653" priority="3940" operator="containsText" text="No se pudo ejecutar">
      <formula>NOT(ISERROR(SEARCH("No se pudo ejecutar",N233)))</formula>
    </cfRule>
    <cfRule type="containsText" dxfId="3652" priority="3941" operator="containsText" text="Pendiente">
      <formula>NOT(ISERROR(SEARCH("Pendiente",N233)))</formula>
    </cfRule>
    <cfRule type="containsText" dxfId="3651" priority="3942" operator="containsText" text="No Aplica">
      <formula>NOT(ISERROR(SEARCH("No Aplica",N233)))</formula>
    </cfRule>
    <cfRule type="containsText" dxfId="3650" priority="3943" operator="containsText" text="Fallido">
      <formula>NOT(ISERROR(SEARCH("Fallido",N233)))</formula>
    </cfRule>
    <cfRule type="containsText" dxfId="3649" priority="3944" operator="containsText" text="Éxitoso">
      <formula>NOT(ISERROR(SEARCH("Éxitoso",N233)))</formula>
    </cfRule>
  </conditionalFormatting>
  <conditionalFormatting sqref="O233">
    <cfRule type="containsText" dxfId="3648" priority="3935" operator="containsText" text="No se pudo ejecutar">
      <formula>NOT(ISERROR(SEARCH("No se pudo ejecutar",O233)))</formula>
    </cfRule>
    <cfRule type="containsText" dxfId="3647" priority="3936" operator="containsText" text="Pendiente">
      <formula>NOT(ISERROR(SEARCH("Pendiente",O233)))</formula>
    </cfRule>
    <cfRule type="containsText" dxfId="3646" priority="3937" operator="containsText" text="No Aplica">
      <formula>NOT(ISERROR(SEARCH("No Aplica",O233)))</formula>
    </cfRule>
    <cfRule type="containsText" dxfId="3645" priority="3938" operator="containsText" text="Fallido">
      <formula>NOT(ISERROR(SEARCH("Fallido",O233)))</formula>
    </cfRule>
    <cfRule type="containsText" dxfId="3644" priority="3939" operator="containsText" text="Éxitoso">
      <formula>NOT(ISERROR(SEARCH("Éxitoso",O233)))</formula>
    </cfRule>
  </conditionalFormatting>
  <conditionalFormatting sqref="P233">
    <cfRule type="containsText" dxfId="3643" priority="3930" operator="containsText" text="No se pudo ejecutar">
      <formula>NOT(ISERROR(SEARCH("No se pudo ejecutar",P233)))</formula>
    </cfRule>
    <cfRule type="containsText" dxfId="3642" priority="3931" operator="containsText" text="Pendiente">
      <formula>NOT(ISERROR(SEARCH("Pendiente",P233)))</formula>
    </cfRule>
    <cfRule type="containsText" dxfId="3641" priority="3932" operator="containsText" text="No Aplica">
      <formula>NOT(ISERROR(SEARCH("No Aplica",P233)))</formula>
    </cfRule>
    <cfRule type="containsText" dxfId="3640" priority="3933" operator="containsText" text="Fallido">
      <formula>NOT(ISERROR(SEARCH("Fallido",P233)))</formula>
    </cfRule>
    <cfRule type="containsText" dxfId="3639" priority="3934" operator="containsText" text="Éxitoso">
      <formula>NOT(ISERROR(SEARCH("Éxitoso",P233)))</formula>
    </cfRule>
  </conditionalFormatting>
  <conditionalFormatting sqref="Q233">
    <cfRule type="containsText" dxfId="3638" priority="3925" operator="containsText" text="No se pudo ejecutar">
      <formula>NOT(ISERROR(SEARCH("No se pudo ejecutar",Q233)))</formula>
    </cfRule>
    <cfRule type="containsText" dxfId="3637" priority="3926" operator="containsText" text="Pendiente">
      <formula>NOT(ISERROR(SEARCH("Pendiente",Q233)))</formula>
    </cfRule>
    <cfRule type="containsText" dxfId="3636" priority="3927" operator="containsText" text="No Aplica">
      <formula>NOT(ISERROR(SEARCH("No Aplica",Q233)))</formula>
    </cfRule>
    <cfRule type="containsText" dxfId="3635" priority="3928" operator="containsText" text="Fallido">
      <formula>NOT(ISERROR(SEARCH("Fallido",Q233)))</formula>
    </cfRule>
    <cfRule type="containsText" dxfId="3634" priority="3929" operator="containsText" text="Éxitoso">
      <formula>NOT(ISERROR(SEARCH("Éxitoso",Q233)))</formula>
    </cfRule>
  </conditionalFormatting>
  <conditionalFormatting sqref="R233">
    <cfRule type="containsText" dxfId="3633" priority="3920" operator="containsText" text="No se pudo ejecutar">
      <formula>NOT(ISERROR(SEARCH("No se pudo ejecutar",R233)))</formula>
    </cfRule>
    <cfRule type="containsText" dxfId="3632" priority="3921" operator="containsText" text="Pendiente">
      <formula>NOT(ISERROR(SEARCH("Pendiente",R233)))</formula>
    </cfRule>
    <cfRule type="containsText" dxfId="3631" priority="3922" operator="containsText" text="No Aplica">
      <formula>NOT(ISERROR(SEARCH("No Aplica",R233)))</formula>
    </cfRule>
    <cfRule type="containsText" dxfId="3630" priority="3923" operator="containsText" text="Fallido">
      <formula>NOT(ISERROR(SEARCH("Fallido",R233)))</formula>
    </cfRule>
    <cfRule type="containsText" dxfId="3629" priority="3924" operator="containsText" text="Éxitoso">
      <formula>NOT(ISERROR(SEARCH("Éxitoso",R233)))</formula>
    </cfRule>
  </conditionalFormatting>
  <conditionalFormatting sqref="S233">
    <cfRule type="containsText" dxfId="3628" priority="3915" operator="containsText" text="No se pudo ejecutar">
      <formula>NOT(ISERROR(SEARCH("No se pudo ejecutar",S233)))</formula>
    </cfRule>
    <cfRule type="containsText" dxfId="3627" priority="3916" operator="containsText" text="Pendiente">
      <formula>NOT(ISERROR(SEARCH("Pendiente",S233)))</formula>
    </cfRule>
    <cfRule type="containsText" dxfId="3626" priority="3917" operator="containsText" text="No Aplica">
      <formula>NOT(ISERROR(SEARCH("No Aplica",S233)))</formula>
    </cfRule>
    <cfRule type="containsText" dxfId="3625" priority="3918" operator="containsText" text="Fallido">
      <formula>NOT(ISERROR(SEARCH("Fallido",S233)))</formula>
    </cfRule>
    <cfRule type="containsText" dxfId="3624" priority="3919" operator="containsText" text="Éxitoso">
      <formula>NOT(ISERROR(SEARCH("Éxitoso",S233)))</formula>
    </cfRule>
  </conditionalFormatting>
  <conditionalFormatting sqref="T233">
    <cfRule type="containsText" dxfId="3623" priority="3910" operator="containsText" text="No se pudo ejecutar">
      <formula>NOT(ISERROR(SEARCH("No se pudo ejecutar",T233)))</formula>
    </cfRule>
    <cfRule type="containsText" dxfId="3622" priority="3911" operator="containsText" text="Pendiente">
      <formula>NOT(ISERROR(SEARCH("Pendiente",T233)))</formula>
    </cfRule>
    <cfRule type="containsText" dxfId="3621" priority="3912" operator="containsText" text="No Aplica">
      <formula>NOT(ISERROR(SEARCH("No Aplica",T233)))</formula>
    </cfRule>
    <cfRule type="containsText" dxfId="3620" priority="3913" operator="containsText" text="Fallido">
      <formula>NOT(ISERROR(SEARCH("Fallido",T233)))</formula>
    </cfRule>
    <cfRule type="containsText" dxfId="3619" priority="3914" operator="containsText" text="Éxitoso">
      <formula>NOT(ISERROR(SEARCH("Éxitoso",T233)))</formula>
    </cfRule>
  </conditionalFormatting>
  <conditionalFormatting sqref="U233">
    <cfRule type="containsText" dxfId="3618" priority="3905" operator="containsText" text="No se pudo ejecutar">
      <formula>NOT(ISERROR(SEARCH("No se pudo ejecutar",U233)))</formula>
    </cfRule>
    <cfRule type="containsText" dxfId="3617" priority="3906" operator="containsText" text="Pendiente">
      <formula>NOT(ISERROR(SEARCH("Pendiente",U233)))</formula>
    </cfRule>
    <cfRule type="containsText" dxfId="3616" priority="3907" operator="containsText" text="No Aplica">
      <formula>NOT(ISERROR(SEARCH("No Aplica",U233)))</formula>
    </cfRule>
    <cfRule type="containsText" dxfId="3615" priority="3908" operator="containsText" text="Fallido">
      <formula>NOT(ISERROR(SEARCH("Fallido",U233)))</formula>
    </cfRule>
    <cfRule type="containsText" dxfId="3614" priority="3909" operator="containsText" text="Éxitoso">
      <formula>NOT(ISERROR(SEARCH("Éxitoso",U233)))</formula>
    </cfRule>
  </conditionalFormatting>
  <conditionalFormatting sqref="V233">
    <cfRule type="containsText" dxfId="3613" priority="3900" operator="containsText" text="No se pudo ejecutar">
      <formula>NOT(ISERROR(SEARCH("No se pudo ejecutar",V233)))</formula>
    </cfRule>
    <cfRule type="containsText" dxfId="3612" priority="3901" operator="containsText" text="Pendiente">
      <formula>NOT(ISERROR(SEARCH("Pendiente",V233)))</formula>
    </cfRule>
    <cfRule type="containsText" dxfId="3611" priority="3902" operator="containsText" text="No Aplica">
      <formula>NOT(ISERROR(SEARCH("No Aplica",V233)))</formula>
    </cfRule>
    <cfRule type="containsText" dxfId="3610" priority="3903" operator="containsText" text="Fallido">
      <formula>NOT(ISERROR(SEARCH("Fallido",V233)))</formula>
    </cfRule>
    <cfRule type="containsText" dxfId="3609" priority="3904" operator="containsText" text="Éxitoso">
      <formula>NOT(ISERROR(SEARCH("Éxitoso",V233)))</formula>
    </cfRule>
  </conditionalFormatting>
  <conditionalFormatting sqref="W233">
    <cfRule type="containsText" dxfId="3608" priority="3895" operator="containsText" text="No se pudo ejecutar">
      <formula>NOT(ISERROR(SEARCH("No se pudo ejecutar",W233)))</formula>
    </cfRule>
    <cfRule type="containsText" dxfId="3607" priority="3896" operator="containsText" text="Pendiente">
      <formula>NOT(ISERROR(SEARCH("Pendiente",W233)))</formula>
    </cfRule>
    <cfRule type="containsText" dxfId="3606" priority="3897" operator="containsText" text="No Aplica">
      <formula>NOT(ISERROR(SEARCH("No Aplica",W233)))</formula>
    </cfRule>
    <cfRule type="containsText" dxfId="3605" priority="3898" operator="containsText" text="Fallido">
      <formula>NOT(ISERROR(SEARCH("Fallido",W233)))</formula>
    </cfRule>
    <cfRule type="containsText" dxfId="3604" priority="3899" operator="containsText" text="Éxitoso">
      <formula>NOT(ISERROR(SEARCH("Éxitoso",W233)))</formula>
    </cfRule>
  </conditionalFormatting>
  <conditionalFormatting sqref="M233">
    <cfRule type="containsText" dxfId="3603" priority="3890" operator="containsText" text="No se pudo ejecutar">
      <formula>NOT(ISERROR(SEARCH("No se pudo ejecutar",M233)))</formula>
    </cfRule>
    <cfRule type="containsText" dxfId="3602" priority="3891" operator="containsText" text="Pendiente">
      <formula>NOT(ISERROR(SEARCH("Pendiente",M233)))</formula>
    </cfRule>
    <cfRule type="containsText" dxfId="3601" priority="3892" operator="containsText" text="No Aplica">
      <formula>NOT(ISERROR(SEARCH("No Aplica",M233)))</formula>
    </cfRule>
    <cfRule type="containsText" dxfId="3600" priority="3893" operator="containsText" text="Fallido">
      <formula>NOT(ISERROR(SEARCH("Fallido",M233)))</formula>
    </cfRule>
    <cfRule type="containsText" dxfId="3599" priority="3894" operator="containsText" text="Éxitoso">
      <formula>NOT(ISERROR(SEARCH("Éxitoso",M233)))</formula>
    </cfRule>
  </conditionalFormatting>
  <conditionalFormatting sqref="G233">
    <cfRule type="containsText" dxfId="3598" priority="3887" operator="containsText" text="Bajo">
      <formula>NOT(ISERROR(SEARCH("Bajo",G233)))</formula>
    </cfRule>
    <cfRule type="containsText" dxfId="3597" priority="3888" operator="containsText" text="Medio">
      <formula>NOT(ISERROR(SEARCH("Medio",G233)))</formula>
    </cfRule>
    <cfRule type="containsText" dxfId="3596" priority="3889" operator="containsText" text="Alto">
      <formula>NOT(ISERROR(SEARCH("Alto",G233)))</formula>
    </cfRule>
  </conditionalFormatting>
  <conditionalFormatting sqref="N234">
    <cfRule type="containsText" dxfId="3595" priority="3882" operator="containsText" text="No se pudo ejecutar">
      <formula>NOT(ISERROR(SEARCH("No se pudo ejecutar",N234)))</formula>
    </cfRule>
    <cfRule type="containsText" dxfId="3594" priority="3883" operator="containsText" text="Pendiente">
      <formula>NOT(ISERROR(SEARCH("Pendiente",N234)))</formula>
    </cfRule>
    <cfRule type="containsText" dxfId="3593" priority="3884" operator="containsText" text="No Aplica">
      <formula>NOT(ISERROR(SEARCH("No Aplica",N234)))</formula>
    </cfRule>
    <cfRule type="containsText" dxfId="3592" priority="3885" operator="containsText" text="Fallido">
      <formula>NOT(ISERROR(SEARCH("Fallido",N234)))</formula>
    </cfRule>
    <cfRule type="containsText" dxfId="3591" priority="3886" operator="containsText" text="Éxitoso">
      <formula>NOT(ISERROR(SEARCH("Éxitoso",N234)))</formula>
    </cfRule>
  </conditionalFormatting>
  <conditionalFormatting sqref="O234">
    <cfRule type="containsText" dxfId="3590" priority="3877" operator="containsText" text="No se pudo ejecutar">
      <formula>NOT(ISERROR(SEARCH("No se pudo ejecutar",O234)))</formula>
    </cfRule>
    <cfRule type="containsText" dxfId="3589" priority="3878" operator="containsText" text="Pendiente">
      <formula>NOT(ISERROR(SEARCH("Pendiente",O234)))</formula>
    </cfRule>
    <cfRule type="containsText" dxfId="3588" priority="3879" operator="containsText" text="No Aplica">
      <formula>NOT(ISERROR(SEARCH("No Aplica",O234)))</formula>
    </cfRule>
    <cfRule type="containsText" dxfId="3587" priority="3880" operator="containsText" text="Fallido">
      <formula>NOT(ISERROR(SEARCH("Fallido",O234)))</formula>
    </cfRule>
    <cfRule type="containsText" dxfId="3586" priority="3881" operator="containsText" text="Éxitoso">
      <formula>NOT(ISERROR(SEARCH("Éxitoso",O234)))</formula>
    </cfRule>
  </conditionalFormatting>
  <conditionalFormatting sqref="P234">
    <cfRule type="containsText" dxfId="3585" priority="3872" operator="containsText" text="No se pudo ejecutar">
      <formula>NOT(ISERROR(SEARCH("No se pudo ejecutar",P234)))</formula>
    </cfRule>
    <cfRule type="containsText" dxfId="3584" priority="3873" operator="containsText" text="Pendiente">
      <formula>NOT(ISERROR(SEARCH("Pendiente",P234)))</formula>
    </cfRule>
    <cfRule type="containsText" dxfId="3583" priority="3874" operator="containsText" text="No Aplica">
      <formula>NOT(ISERROR(SEARCH("No Aplica",P234)))</formula>
    </cfRule>
    <cfRule type="containsText" dxfId="3582" priority="3875" operator="containsText" text="Fallido">
      <formula>NOT(ISERROR(SEARCH("Fallido",P234)))</formula>
    </cfRule>
    <cfRule type="containsText" dxfId="3581" priority="3876" operator="containsText" text="Éxitoso">
      <formula>NOT(ISERROR(SEARCH("Éxitoso",P234)))</formula>
    </cfRule>
  </conditionalFormatting>
  <conditionalFormatting sqref="Q234">
    <cfRule type="containsText" dxfId="3580" priority="3867" operator="containsText" text="No se pudo ejecutar">
      <formula>NOT(ISERROR(SEARCH("No se pudo ejecutar",Q234)))</formula>
    </cfRule>
    <cfRule type="containsText" dxfId="3579" priority="3868" operator="containsText" text="Pendiente">
      <formula>NOT(ISERROR(SEARCH("Pendiente",Q234)))</formula>
    </cfRule>
    <cfRule type="containsText" dxfId="3578" priority="3869" operator="containsText" text="No Aplica">
      <formula>NOT(ISERROR(SEARCH("No Aplica",Q234)))</formula>
    </cfRule>
    <cfRule type="containsText" dxfId="3577" priority="3870" operator="containsText" text="Fallido">
      <formula>NOT(ISERROR(SEARCH("Fallido",Q234)))</formula>
    </cfRule>
    <cfRule type="containsText" dxfId="3576" priority="3871" operator="containsText" text="Éxitoso">
      <formula>NOT(ISERROR(SEARCH("Éxitoso",Q234)))</formula>
    </cfRule>
  </conditionalFormatting>
  <conditionalFormatting sqref="R234">
    <cfRule type="containsText" dxfId="3575" priority="3862" operator="containsText" text="No se pudo ejecutar">
      <formula>NOT(ISERROR(SEARCH("No se pudo ejecutar",R234)))</formula>
    </cfRule>
    <cfRule type="containsText" dxfId="3574" priority="3863" operator="containsText" text="Pendiente">
      <formula>NOT(ISERROR(SEARCH("Pendiente",R234)))</formula>
    </cfRule>
    <cfRule type="containsText" dxfId="3573" priority="3864" operator="containsText" text="No Aplica">
      <formula>NOT(ISERROR(SEARCH("No Aplica",R234)))</formula>
    </cfRule>
    <cfRule type="containsText" dxfId="3572" priority="3865" operator="containsText" text="Fallido">
      <formula>NOT(ISERROR(SEARCH("Fallido",R234)))</formula>
    </cfRule>
    <cfRule type="containsText" dxfId="3571" priority="3866" operator="containsText" text="Éxitoso">
      <formula>NOT(ISERROR(SEARCH("Éxitoso",R234)))</formula>
    </cfRule>
  </conditionalFormatting>
  <conditionalFormatting sqref="S234">
    <cfRule type="containsText" dxfId="3570" priority="3857" operator="containsText" text="No se pudo ejecutar">
      <formula>NOT(ISERROR(SEARCH("No se pudo ejecutar",S234)))</formula>
    </cfRule>
    <cfRule type="containsText" dxfId="3569" priority="3858" operator="containsText" text="Pendiente">
      <formula>NOT(ISERROR(SEARCH("Pendiente",S234)))</formula>
    </cfRule>
    <cfRule type="containsText" dxfId="3568" priority="3859" operator="containsText" text="No Aplica">
      <formula>NOT(ISERROR(SEARCH("No Aplica",S234)))</formula>
    </cfRule>
    <cfRule type="containsText" dxfId="3567" priority="3860" operator="containsText" text="Fallido">
      <formula>NOT(ISERROR(SEARCH("Fallido",S234)))</formula>
    </cfRule>
    <cfRule type="containsText" dxfId="3566" priority="3861" operator="containsText" text="Éxitoso">
      <formula>NOT(ISERROR(SEARCH("Éxitoso",S234)))</formula>
    </cfRule>
  </conditionalFormatting>
  <conditionalFormatting sqref="T234">
    <cfRule type="containsText" dxfId="3565" priority="3852" operator="containsText" text="No se pudo ejecutar">
      <formula>NOT(ISERROR(SEARCH("No se pudo ejecutar",T234)))</formula>
    </cfRule>
    <cfRule type="containsText" dxfId="3564" priority="3853" operator="containsText" text="Pendiente">
      <formula>NOT(ISERROR(SEARCH("Pendiente",T234)))</formula>
    </cfRule>
    <cfRule type="containsText" dxfId="3563" priority="3854" operator="containsText" text="No Aplica">
      <formula>NOT(ISERROR(SEARCH("No Aplica",T234)))</formula>
    </cfRule>
    <cfRule type="containsText" dxfId="3562" priority="3855" operator="containsText" text="Fallido">
      <formula>NOT(ISERROR(SEARCH("Fallido",T234)))</formula>
    </cfRule>
    <cfRule type="containsText" dxfId="3561" priority="3856" operator="containsText" text="Éxitoso">
      <formula>NOT(ISERROR(SEARCH("Éxitoso",T234)))</formula>
    </cfRule>
  </conditionalFormatting>
  <conditionalFormatting sqref="U234">
    <cfRule type="containsText" dxfId="3560" priority="3847" operator="containsText" text="No se pudo ejecutar">
      <formula>NOT(ISERROR(SEARCH("No se pudo ejecutar",U234)))</formula>
    </cfRule>
    <cfRule type="containsText" dxfId="3559" priority="3848" operator="containsText" text="Pendiente">
      <formula>NOT(ISERROR(SEARCH("Pendiente",U234)))</formula>
    </cfRule>
    <cfRule type="containsText" dxfId="3558" priority="3849" operator="containsText" text="No Aplica">
      <formula>NOT(ISERROR(SEARCH("No Aplica",U234)))</formula>
    </cfRule>
    <cfRule type="containsText" dxfId="3557" priority="3850" operator="containsText" text="Fallido">
      <formula>NOT(ISERROR(SEARCH("Fallido",U234)))</formula>
    </cfRule>
    <cfRule type="containsText" dxfId="3556" priority="3851" operator="containsText" text="Éxitoso">
      <formula>NOT(ISERROR(SEARCH("Éxitoso",U234)))</formula>
    </cfRule>
  </conditionalFormatting>
  <conditionalFormatting sqref="V234">
    <cfRule type="containsText" dxfId="3555" priority="3842" operator="containsText" text="No se pudo ejecutar">
      <formula>NOT(ISERROR(SEARCH("No se pudo ejecutar",V234)))</formula>
    </cfRule>
    <cfRule type="containsText" dxfId="3554" priority="3843" operator="containsText" text="Pendiente">
      <formula>NOT(ISERROR(SEARCH("Pendiente",V234)))</formula>
    </cfRule>
    <cfRule type="containsText" dxfId="3553" priority="3844" operator="containsText" text="No Aplica">
      <formula>NOT(ISERROR(SEARCH("No Aplica",V234)))</formula>
    </cfRule>
    <cfRule type="containsText" dxfId="3552" priority="3845" operator="containsText" text="Fallido">
      <formula>NOT(ISERROR(SEARCH("Fallido",V234)))</formula>
    </cfRule>
    <cfRule type="containsText" dxfId="3551" priority="3846" operator="containsText" text="Éxitoso">
      <formula>NOT(ISERROR(SEARCH("Éxitoso",V234)))</formula>
    </cfRule>
  </conditionalFormatting>
  <conditionalFormatting sqref="W234">
    <cfRule type="containsText" dxfId="3550" priority="3837" operator="containsText" text="No se pudo ejecutar">
      <formula>NOT(ISERROR(SEARCH("No se pudo ejecutar",W234)))</formula>
    </cfRule>
    <cfRule type="containsText" dxfId="3549" priority="3838" operator="containsText" text="Pendiente">
      <formula>NOT(ISERROR(SEARCH("Pendiente",W234)))</formula>
    </cfRule>
    <cfRule type="containsText" dxfId="3548" priority="3839" operator="containsText" text="No Aplica">
      <formula>NOT(ISERROR(SEARCH("No Aplica",W234)))</formula>
    </cfRule>
    <cfRule type="containsText" dxfId="3547" priority="3840" operator="containsText" text="Fallido">
      <formula>NOT(ISERROR(SEARCH("Fallido",W234)))</formula>
    </cfRule>
    <cfRule type="containsText" dxfId="3546" priority="3841" operator="containsText" text="Éxitoso">
      <formula>NOT(ISERROR(SEARCH("Éxitoso",W234)))</formula>
    </cfRule>
  </conditionalFormatting>
  <conditionalFormatting sqref="M234">
    <cfRule type="containsText" dxfId="3545" priority="3832" operator="containsText" text="No se pudo ejecutar">
      <formula>NOT(ISERROR(SEARCH("No se pudo ejecutar",M234)))</formula>
    </cfRule>
    <cfRule type="containsText" dxfId="3544" priority="3833" operator="containsText" text="Pendiente">
      <formula>NOT(ISERROR(SEARCH("Pendiente",M234)))</formula>
    </cfRule>
    <cfRule type="containsText" dxfId="3543" priority="3834" operator="containsText" text="No Aplica">
      <formula>NOT(ISERROR(SEARCH("No Aplica",M234)))</formula>
    </cfRule>
    <cfRule type="containsText" dxfId="3542" priority="3835" operator="containsText" text="Fallido">
      <formula>NOT(ISERROR(SEARCH("Fallido",M234)))</formula>
    </cfRule>
    <cfRule type="containsText" dxfId="3541" priority="3836" operator="containsText" text="Éxitoso">
      <formula>NOT(ISERROR(SEARCH("Éxitoso",M234)))</formula>
    </cfRule>
  </conditionalFormatting>
  <conditionalFormatting sqref="G234">
    <cfRule type="containsText" dxfId="3540" priority="3829" operator="containsText" text="Bajo">
      <formula>NOT(ISERROR(SEARCH("Bajo",G234)))</formula>
    </cfRule>
    <cfRule type="containsText" dxfId="3539" priority="3830" operator="containsText" text="Medio">
      <formula>NOT(ISERROR(SEARCH("Medio",G234)))</formula>
    </cfRule>
    <cfRule type="containsText" dxfId="3538" priority="3831" operator="containsText" text="Alto">
      <formula>NOT(ISERROR(SEARCH("Alto",G234)))</formula>
    </cfRule>
  </conditionalFormatting>
  <conditionalFormatting sqref="N235">
    <cfRule type="containsText" dxfId="3537" priority="3824" operator="containsText" text="No se pudo ejecutar">
      <formula>NOT(ISERROR(SEARCH("No se pudo ejecutar",N235)))</formula>
    </cfRule>
    <cfRule type="containsText" dxfId="3536" priority="3825" operator="containsText" text="Pendiente">
      <formula>NOT(ISERROR(SEARCH("Pendiente",N235)))</formula>
    </cfRule>
    <cfRule type="containsText" dxfId="3535" priority="3826" operator="containsText" text="No Aplica">
      <formula>NOT(ISERROR(SEARCH("No Aplica",N235)))</formula>
    </cfRule>
    <cfRule type="containsText" dxfId="3534" priority="3827" operator="containsText" text="Fallido">
      <formula>NOT(ISERROR(SEARCH("Fallido",N235)))</formula>
    </cfRule>
    <cfRule type="containsText" dxfId="3533" priority="3828" operator="containsText" text="Éxitoso">
      <formula>NOT(ISERROR(SEARCH("Éxitoso",N235)))</formula>
    </cfRule>
  </conditionalFormatting>
  <conditionalFormatting sqref="O235">
    <cfRule type="containsText" dxfId="3532" priority="3819" operator="containsText" text="No se pudo ejecutar">
      <formula>NOT(ISERROR(SEARCH("No se pudo ejecutar",O235)))</formula>
    </cfRule>
    <cfRule type="containsText" dxfId="3531" priority="3820" operator="containsText" text="Pendiente">
      <formula>NOT(ISERROR(SEARCH("Pendiente",O235)))</formula>
    </cfRule>
    <cfRule type="containsText" dxfId="3530" priority="3821" operator="containsText" text="No Aplica">
      <formula>NOT(ISERROR(SEARCH("No Aplica",O235)))</formula>
    </cfRule>
    <cfRule type="containsText" dxfId="3529" priority="3822" operator="containsText" text="Fallido">
      <formula>NOT(ISERROR(SEARCH("Fallido",O235)))</formula>
    </cfRule>
    <cfRule type="containsText" dxfId="3528" priority="3823" operator="containsText" text="Éxitoso">
      <formula>NOT(ISERROR(SEARCH("Éxitoso",O235)))</formula>
    </cfRule>
  </conditionalFormatting>
  <conditionalFormatting sqref="P235">
    <cfRule type="containsText" dxfId="3527" priority="3814" operator="containsText" text="No se pudo ejecutar">
      <formula>NOT(ISERROR(SEARCH("No se pudo ejecutar",P235)))</formula>
    </cfRule>
    <cfRule type="containsText" dxfId="3526" priority="3815" operator="containsText" text="Pendiente">
      <formula>NOT(ISERROR(SEARCH("Pendiente",P235)))</formula>
    </cfRule>
    <cfRule type="containsText" dxfId="3525" priority="3816" operator="containsText" text="No Aplica">
      <formula>NOT(ISERROR(SEARCH("No Aplica",P235)))</formula>
    </cfRule>
    <cfRule type="containsText" dxfId="3524" priority="3817" operator="containsText" text="Fallido">
      <formula>NOT(ISERROR(SEARCH("Fallido",P235)))</formula>
    </cfRule>
    <cfRule type="containsText" dxfId="3523" priority="3818" operator="containsText" text="Éxitoso">
      <formula>NOT(ISERROR(SEARCH("Éxitoso",P235)))</formula>
    </cfRule>
  </conditionalFormatting>
  <conditionalFormatting sqref="Q235">
    <cfRule type="containsText" dxfId="3522" priority="3809" operator="containsText" text="No se pudo ejecutar">
      <formula>NOT(ISERROR(SEARCH("No se pudo ejecutar",Q235)))</formula>
    </cfRule>
    <cfRule type="containsText" dxfId="3521" priority="3810" operator="containsText" text="Pendiente">
      <formula>NOT(ISERROR(SEARCH("Pendiente",Q235)))</formula>
    </cfRule>
    <cfRule type="containsText" dxfId="3520" priority="3811" operator="containsText" text="No Aplica">
      <formula>NOT(ISERROR(SEARCH("No Aplica",Q235)))</formula>
    </cfRule>
    <cfRule type="containsText" dxfId="3519" priority="3812" operator="containsText" text="Fallido">
      <formula>NOT(ISERROR(SEARCH("Fallido",Q235)))</formula>
    </cfRule>
    <cfRule type="containsText" dxfId="3518" priority="3813" operator="containsText" text="Éxitoso">
      <formula>NOT(ISERROR(SEARCH("Éxitoso",Q235)))</formula>
    </cfRule>
  </conditionalFormatting>
  <conditionalFormatting sqref="R235">
    <cfRule type="containsText" dxfId="3517" priority="3804" operator="containsText" text="No se pudo ejecutar">
      <formula>NOT(ISERROR(SEARCH("No se pudo ejecutar",R235)))</formula>
    </cfRule>
    <cfRule type="containsText" dxfId="3516" priority="3805" operator="containsText" text="Pendiente">
      <formula>NOT(ISERROR(SEARCH("Pendiente",R235)))</formula>
    </cfRule>
    <cfRule type="containsText" dxfId="3515" priority="3806" operator="containsText" text="No Aplica">
      <formula>NOT(ISERROR(SEARCH("No Aplica",R235)))</formula>
    </cfRule>
    <cfRule type="containsText" dxfId="3514" priority="3807" operator="containsText" text="Fallido">
      <formula>NOT(ISERROR(SEARCH("Fallido",R235)))</formula>
    </cfRule>
    <cfRule type="containsText" dxfId="3513" priority="3808" operator="containsText" text="Éxitoso">
      <formula>NOT(ISERROR(SEARCH("Éxitoso",R235)))</formula>
    </cfRule>
  </conditionalFormatting>
  <conditionalFormatting sqref="S235">
    <cfRule type="containsText" dxfId="3512" priority="3799" operator="containsText" text="No se pudo ejecutar">
      <formula>NOT(ISERROR(SEARCH("No se pudo ejecutar",S235)))</formula>
    </cfRule>
    <cfRule type="containsText" dxfId="3511" priority="3800" operator="containsText" text="Pendiente">
      <formula>NOT(ISERROR(SEARCH("Pendiente",S235)))</formula>
    </cfRule>
    <cfRule type="containsText" dxfId="3510" priority="3801" operator="containsText" text="No Aplica">
      <formula>NOT(ISERROR(SEARCH("No Aplica",S235)))</formula>
    </cfRule>
    <cfRule type="containsText" dxfId="3509" priority="3802" operator="containsText" text="Fallido">
      <formula>NOT(ISERROR(SEARCH("Fallido",S235)))</formula>
    </cfRule>
    <cfRule type="containsText" dxfId="3508" priority="3803" operator="containsText" text="Éxitoso">
      <formula>NOT(ISERROR(SEARCH("Éxitoso",S235)))</formula>
    </cfRule>
  </conditionalFormatting>
  <conditionalFormatting sqref="T235">
    <cfRule type="containsText" dxfId="3507" priority="3794" operator="containsText" text="No se pudo ejecutar">
      <formula>NOT(ISERROR(SEARCH("No se pudo ejecutar",T235)))</formula>
    </cfRule>
    <cfRule type="containsText" dxfId="3506" priority="3795" operator="containsText" text="Pendiente">
      <formula>NOT(ISERROR(SEARCH("Pendiente",T235)))</formula>
    </cfRule>
    <cfRule type="containsText" dxfId="3505" priority="3796" operator="containsText" text="No Aplica">
      <formula>NOT(ISERROR(SEARCH("No Aplica",T235)))</formula>
    </cfRule>
    <cfRule type="containsText" dxfId="3504" priority="3797" operator="containsText" text="Fallido">
      <formula>NOT(ISERROR(SEARCH("Fallido",T235)))</formula>
    </cfRule>
    <cfRule type="containsText" dxfId="3503" priority="3798" operator="containsText" text="Éxitoso">
      <formula>NOT(ISERROR(SEARCH("Éxitoso",T235)))</formula>
    </cfRule>
  </conditionalFormatting>
  <conditionalFormatting sqref="U235">
    <cfRule type="containsText" dxfId="3502" priority="3789" operator="containsText" text="No se pudo ejecutar">
      <formula>NOT(ISERROR(SEARCH("No se pudo ejecutar",U235)))</formula>
    </cfRule>
    <cfRule type="containsText" dxfId="3501" priority="3790" operator="containsText" text="Pendiente">
      <formula>NOT(ISERROR(SEARCH("Pendiente",U235)))</formula>
    </cfRule>
    <cfRule type="containsText" dxfId="3500" priority="3791" operator="containsText" text="No Aplica">
      <formula>NOT(ISERROR(SEARCH("No Aplica",U235)))</formula>
    </cfRule>
    <cfRule type="containsText" dxfId="3499" priority="3792" operator="containsText" text="Fallido">
      <formula>NOT(ISERROR(SEARCH("Fallido",U235)))</formula>
    </cfRule>
    <cfRule type="containsText" dxfId="3498" priority="3793" operator="containsText" text="Éxitoso">
      <formula>NOT(ISERROR(SEARCH("Éxitoso",U235)))</formula>
    </cfRule>
  </conditionalFormatting>
  <conditionalFormatting sqref="V235">
    <cfRule type="containsText" dxfId="3497" priority="3784" operator="containsText" text="No se pudo ejecutar">
      <formula>NOT(ISERROR(SEARCH("No se pudo ejecutar",V235)))</formula>
    </cfRule>
    <cfRule type="containsText" dxfId="3496" priority="3785" operator="containsText" text="Pendiente">
      <formula>NOT(ISERROR(SEARCH("Pendiente",V235)))</formula>
    </cfRule>
    <cfRule type="containsText" dxfId="3495" priority="3786" operator="containsText" text="No Aplica">
      <formula>NOT(ISERROR(SEARCH("No Aplica",V235)))</formula>
    </cfRule>
    <cfRule type="containsText" dxfId="3494" priority="3787" operator="containsText" text="Fallido">
      <formula>NOT(ISERROR(SEARCH("Fallido",V235)))</formula>
    </cfRule>
    <cfRule type="containsText" dxfId="3493" priority="3788" operator="containsText" text="Éxitoso">
      <formula>NOT(ISERROR(SEARCH("Éxitoso",V235)))</formula>
    </cfRule>
  </conditionalFormatting>
  <conditionalFormatting sqref="W235">
    <cfRule type="containsText" dxfId="3492" priority="3779" operator="containsText" text="No se pudo ejecutar">
      <formula>NOT(ISERROR(SEARCH("No se pudo ejecutar",W235)))</formula>
    </cfRule>
    <cfRule type="containsText" dxfId="3491" priority="3780" operator="containsText" text="Pendiente">
      <formula>NOT(ISERROR(SEARCH("Pendiente",W235)))</formula>
    </cfRule>
    <cfRule type="containsText" dxfId="3490" priority="3781" operator="containsText" text="No Aplica">
      <formula>NOT(ISERROR(SEARCH("No Aplica",W235)))</formula>
    </cfRule>
    <cfRule type="containsText" dxfId="3489" priority="3782" operator="containsText" text="Fallido">
      <formula>NOT(ISERROR(SEARCH("Fallido",W235)))</formula>
    </cfRule>
    <cfRule type="containsText" dxfId="3488" priority="3783" operator="containsText" text="Éxitoso">
      <formula>NOT(ISERROR(SEARCH("Éxitoso",W235)))</formula>
    </cfRule>
  </conditionalFormatting>
  <conditionalFormatting sqref="M235">
    <cfRule type="containsText" dxfId="3487" priority="3774" operator="containsText" text="No se pudo ejecutar">
      <formula>NOT(ISERROR(SEARCH("No se pudo ejecutar",M235)))</formula>
    </cfRule>
    <cfRule type="containsText" dxfId="3486" priority="3775" operator="containsText" text="Pendiente">
      <formula>NOT(ISERROR(SEARCH("Pendiente",M235)))</formula>
    </cfRule>
    <cfRule type="containsText" dxfId="3485" priority="3776" operator="containsText" text="No Aplica">
      <formula>NOT(ISERROR(SEARCH("No Aplica",M235)))</formula>
    </cfRule>
    <cfRule type="containsText" dxfId="3484" priority="3777" operator="containsText" text="Fallido">
      <formula>NOT(ISERROR(SEARCH("Fallido",M235)))</formula>
    </cfRule>
    <cfRule type="containsText" dxfId="3483" priority="3778" operator="containsText" text="Éxitoso">
      <formula>NOT(ISERROR(SEARCH("Éxitoso",M235)))</formula>
    </cfRule>
  </conditionalFormatting>
  <conditionalFormatting sqref="G235">
    <cfRule type="containsText" dxfId="3482" priority="3771" operator="containsText" text="Bajo">
      <formula>NOT(ISERROR(SEARCH("Bajo",G235)))</formula>
    </cfRule>
    <cfRule type="containsText" dxfId="3481" priority="3772" operator="containsText" text="Medio">
      <formula>NOT(ISERROR(SEARCH("Medio",G235)))</formula>
    </cfRule>
    <cfRule type="containsText" dxfId="3480" priority="3773" operator="containsText" text="Alto">
      <formula>NOT(ISERROR(SEARCH("Alto",G235)))</formula>
    </cfRule>
  </conditionalFormatting>
  <conditionalFormatting sqref="N236">
    <cfRule type="containsText" dxfId="3479" priority="3766" operator="containsText" text="No se pudo ejecutar">
      <formula>NOT(ISERROR(SEARCH("No se pudo ejecutar",N236)))</formula>
    </cfRule>
    <cfRule type="containsText" dxfId="3478" priority="3767" operator="containsText" text="Pendiente">
      <formula>NOT(ISERROR(SEARCH("Pendiente",N236)))</formula>
    </cfRule>
    <cfRule type="containsText" dxfId="3477" priority="3768" operator="containsText" text="No Aplica">
      <formula>NOT(ISERROR(SEARCH("No Aplica",N236)))</formula>
    </cfRule>
    <cfRule type="containsText" dxfId="3476" priority="3769" operator="containsText" text="Fallido">
      <formula>NOT(ISERROR(SEARCH("Fallido",N236)))</formula>
    </cfRule>
    <cfRule type="containsText" dxfId="3475" priority="3770" operator="containsText" text="Éxitoso">
      <formula>NOT(ISERROR(SEARCH("Éxitoso",N236)))</formula>
    </cfRule>
  </conditionalFormatting>
  <conditionalFormatting sqref="O236">
    <cfRule type="containsText" dxfId="3474" priority="3761" operator="containsText" text="No se pudo ejecutar">
      <formula>NOT(ISERROR(SEARCH("No se pudo ejecutar",O236)))</formula>
    </cfRule>
    <cfRule type="containsText" dxfId="3473" priority="3762" operator="containsText" text="Pendiente">
      <formula>NOT(ISERROR(SEARCH("Pendiente",O236)))</formula>
    </cfRule>
    <cfRule type="containsText" dxfId="3472" priority="3763" operator="containsText" text="No Aplica">
      <formula>NOT(ISERROR(SEARCH("No Aplica",O236)))</formula>
    </cfRule>
    <cfRule type="containsText" dxfId="3471" priority="3764" operator="containsText" text="Fallido">
      <formula>NOT(ISERROR(SEARCH("Fallido",O236)))</formula>
    </cfRule>
    <cfRule type="containsText" dxfId="3470" priority="3765" operator="containsText" text="Éxitoso">
      <formula>NOT(ISERROR(SEARCH("Éxitoso",O236)))</formula>
    </cfRule>
  </conditionalFormatting>
  <conditionalFormatting sqref="P236">
    <cfRule type="containsText" dxfId="3469" priority="3756" operator="containsText" text="No se pudo ejecutar">
      <formula>NOT(ISERROR(SEARCH("No se pudo ejecutar",P236)))</formula>
    </cfRule>
    <cfRule type="containsText" dxfId="3468" priority="3757" operator="containsText" text="Pendiente">
      <formula>NOT(ISERROR(SEARCH("Pendiente",P236)))</formula>
    </cfRule>
    <cfRule type="containsText" dxfId="3467" priority="3758" operator="containsText" text="No Aplica">
      <formula>NOT(ISERROR(SEARCH("No Aplica",P236)))</formula>
    </cfRule>
    <cfRule type="containsText" dxfId="3466" priority="3759" operator="containsText" text="Fallido">
      <formula>NOT(ISERROR(SEARCH("Fallido",P236)))</formula>
    </cfRule>
    <cfRule type="containsText" dxfId="3465" priority="3760" operator="containsText" text="Éxitoso">
      <formula>NOT(ISERROR(SEARCH("Éxitoso",P236)))</formula>
    </cfRule>
  </conditionalFormatting>
  <conditionalFormatting sqref="Q236">
    <cfRule type="containsText" dxfId="3464" priority="3751" operator="containsText" text="No se pudo ejecutar">
      <formula>NOT(ISERROR(SEARCH("No se pudo ejecutar",Q236)))</formula>
    </cfRule>
    <cfRule type="containsText" dxfId="3463" priority="3752" operator="containsText" text="Pendiente">
      <formula>NOT(ISERROR(SEARCH("Pendiente",Q236)))</formula>
    </cfRule>
    <cfRule type="containsText" dxfId="3462" priority="3753" operator="containsText" text="No Aplica">
      <formula>NOT(ISERROR(SEARCH("No Aplica",Q236)))</formula>
    </cfRule>
    <cfRule type="containsText" dxfId="3461" priority="3754" operator="containsText" text="Fallido">
      <formula>NOT(ISERROR(SEARCH("Fallido",Q236)))</formula>
    </cfRule>
    <cfRule type="containsText" dxfId="3460" priority="3755" operator="containsText" text="Éxitoso">
      <formula>NOT(ISERROR(SEARCH("Éxitoso",Q236)))</formula>
    </cfRule>
  </conditionalFormatting>
  <conditionalFormatting sqref="R236">
    <cfRule type="containsText" dxfId="3459" priority="3746" operator="containsText" text="No se pudo ejecutar">
      <formula>NOT(ISERROR(SEARCH("No se pudo ejecutar",R236)))</formula>
    </cfRule>
    <cfRule type="containsText" dxfId="3458" priority="3747" operator="containsText" text="Pendiente">
      <formula>NOT(ISERROR(SEARCH("Pendiente",R236)))</formula>
    </cfRule>
    <cfRule type="containsText" dxfId="3457" priority="3748" operator="containsText" text="No Aplica">
      <formula>NOT(ISERROR(SEARCH("No Aplica",R236)))</formula>
    </cfRule>
    <cfRule type="containsText" dxfId="3456" priority="3749" operator="containsText" text="Fallido">
      <formula>NOT(ISERROR(SEARCH("Fallido",R236)))</formula>
    </cfRule>
    <cfRule type="containsText" dxfId="3455" priority="3750" operator="containsText" text="Éxitoso">
      <formula>NOT(ISERROR(SEARCH("Éxitoso",R236)))</formula>
    </cfRule>
  </conditionalFormatting>
  <conditionalFormatting sqref="S236">
    <cfRule type="containsText" dxfId="3454" priority="3741" operator="containsText" text="No se pudo ejecutar">
      <formula>NOT(ISERROR(SEARCH("No se pudo ejecutar",S236)))</formula>
    </cfRule>
    <cfRule type="containsText" dxfId="3453" priority="3742" operator="containsText" text="Pendiente">
      <formula>NOT(ISERROR(SEARCH("Pendiente",S236)))</formula>
    </cfRule>
    <cfRule type="containsText" dxfId="3452" priority="3743" operator="containsText" text="No Aplica">
      <formula>NOT(ISERROR(SEARCH("No Aplica",S236)))</formula>
    </cfRule>
    <cfRule type="containsText" dxfId="3451" priority="3744" operator="containsText" text="Fallido">
      <formula>NOT(ISERROR(SEARCH("Fallido",S236)))</formula>
    </cfRule>
    <cfRule type="containsText" dxfId="3450" priority="3745" operator="containsText" text="Éxitoso">
      <formula>NOT(ISERROR(SEARCH("Éxitoso",S236)))</formula>
    </cfRule>
  </conditionalFormatting>
  <conditionalFormatting sqref="T236">
    <cfRule type="containsText" dxfId="3449" priority="3736" operator="containsText" text="No se pudo ejecutar">
      <formula>NOT(ISERROR(SEARCH("No se pudo ejecutar",T236)))</formula>
    </cfRule>
    <cfRule type="containsText" dxfId="3448" priority="3737" operator="containsText" text="Pendiente">
      <formula>NOT(ISERROR(SEARCH("Pendiente",T236)))</formula>
    </cfRule>
    <cfRule type="containsText" dxfId="3447" priority="3738" operator="containsText" text="No Aplica">
      <formula>NOT(ISERROR(SEARCH("No Aplica",T236)))</formula>
    </cfRule>
    <cfRule type="containsText" dxfId="3446" priority="3739" operator="containsText" text="Fallido">
      <formula>NOT(ISERROR(SEARCH("Fallido",T236)))</formula>
    </cfRule>
    <cfRule type="containsText" dxfId="3445" priority="3740" operator="containsText" text="Éxitoso">
      <formula>NOT(ISERROR(SEARCH("Éxitoso",T236)))</formula>
    </cfRule>
  </conditionalFormatting>
  <conditionalFormatting sqref="U236">
    <cfRule type="containsText" dxfId="3444" priority="3731" operator="containsText" text="No se pudo ejecutar">
      <formula>NOT(ISERROR(SEARCH("No se pudo ejecutar",U236)))</formula>
    </cfRule>
    <cfRule type="containsText" dxfId="3443" priority="3732" operator="containsText" text="Pendiente">
      <formula>NOT(ISERROR(SEARCH("Pendiente",U236)))</formula>
    </cfRule>
    <cfRule type="containsText" dxfId="3442" priority="3733" operator="containsText" text="No Aplica">
      <formula>NOT(ISERROR(SEARCH("No Aplica",U236)))</formula>
    </cfRule>
    <cfRule type="containsText" dxfId="3441" priority="3734" operator="containsText" text="Fallido">
      <formula>NOT(ISERROR(SEARCH("Fallido",U236)))</formula>
    </cfRule>
    <cfRule type="containsText" dxfId="3440" priority="3735" operator="containsText" text="Éxitoso">
      <formula>NOT(ISERROR(SEARCH("Éxitoso",U236)))</formula>
    </cfRule>
  </conditionalFormatting>
  <conditionalFormatting sqref="V236">
    <cfRule type="containsText" dxfId="3439" priority="3726" operator="containsText" text="No se pudo ejecutar">
      <formula>NOT(ISERROR(SEARCH("No se pudo ejecutar",V236)))</formula>
    </cfRule>
    <cfRule type="containsText" dxfId="3438" priority="3727" operator="containsText" text="Pendiente">
      <formula>NOT(ISERROR(SEARCH("Pendiente",V236)))</formula>
    </cfRule>
    <cfRule type="containsText" dxfId="3437" priority="3728" operator="containsText" text="No Aplica">
      <formula>NOT(ISERROR(SEARCH("No Aplica",V236)))</formula>
    </cfRule>
    <cfRule type="containsText" dxfId="3436" priority="3729" operator="containsText" text="Fallido">
      <formula>NOT(ISERROR(SEARCH("Fallido",V236)))</formula>
    </cfRule>
    <cfRule type="containsText" dxfId="3435" priority="3730" operator="containsText" text="Éxitoso">
      <formula>NOT(ISERROR(SEARCH("Éxitoso",V236)))</formula>
    </cfRule>
  </conditionalFormatting>
  <conditionalFormatting sqref="W236">
    <cfRule type="containsText" dxfId="3434" priority="3721" operator="containsText" text="No se pudo ejecutar">
      <formula>NOT(ISERROR(SEARCH("No se pudo ejecutar",W236)))</formula>
    </cfRule>
    <cfRule type="containsText" dxfId="3433" priority="3722" operator="containsText" text="Pendiente">
      <formula>NOT(ISERROR(SEARCH("Pendiente",W236)))</formula>
    </cfRule>
    <cfRule type="containsText" dxfId="3432" priority="3723" operator="containsText" text="No Aplica">
      <formula>NOT(ISERROR(SEARCH("No Aplica",W236)))</formula>
    </cfRule>
    <cfRule type="containsText" dxfId="3431" priority="3724" operator="containsText" text="Fallido">
      <formula>NOT(ISERROR(SEARCH("Fallido",W236)))</formula>
    </cfRule>
    <cfRule type="containsText" dxfId="3430" priority="3725" operator="containsText" text="Éxitoso">
      <formula>NOT(ISERROR(SEARCH("Éxitoso",W236)))</formula>
    </cfRule>
  </conditionalFormatting>
  <conditionalFormatting sqref="M236">
    <cfRule type="containsText" dxfId="3429" priority="3716" operator="containsText" text="No se pudo ejecutar">
      <formula>NOT(ISERROR(SEARCH("No se pudo ejecutar",M236)))</formula>
    </cfRule>
    <cfRule type="containsText" dxfId="3428" priority="3717" operator="containsText" text="Pendiente">
      <formula>NOT(ISERROR(SEARCH("Pendiente",M236)))</formula>
    </cfRule>
    <cfRule type="containsText" dxfId="3427" priority="3718" operator="containsText" text="No Aplica">
      <formula>NOT(ISERROR(SEARCH("No Aplica",M236)))</formula>
    </cfRule>
    <cfRule type="containsText" dxfId="3426" priority="3719" operator="containsText" text="Fallido">
      <formula>NOT(ISERROR(SEARCH("Fallido",M236)))</formula>
    </cfRule>
    <cfRule type="containsText" dxfId="3425" priority="3720" operator="containsText" text="Éxitoso">
      <formula>NOT(ISERROR(SEARCH("Éxitoso",M236)))</formula>
    </cfRule>
  </conditionalFormatting>
  <conditionalFormatting sqref="G236">
    <cfRule type="containsText" dxfId="3424" priority="3713" operator="containsText" text="Bajo">
      <formula>NOT(ISERROR(SEARCH("Bajo",G236)))</formula>
    </cfRule>
    <cfRule type="containsText" dxfId="3423" priority="3714" operator="containsText" text="Medio">
      <formula>NOT(ISERROR(SEARCH("Medio",G236)))</formula>
    </cfRule>
    <cfRule type="containsText" dxfId="3422" priority="3715" operator="containsText" text="Alto">
      <formula>NOT(ISERROR(SEARCH("Alto",G236)))</formula>
    </cfRule>
  </conditionalFormatting>
  <conditionalFormatting sqref="N237">
    <cfRule type="containsText" dxfId="3421" priority="3708" operator="containsText" text="No se pudo ejecutar">
      <formula>NOT(ISERROR(SEARCH("No se pudo ejecutar",N237)))</formula>
    </cfRule>
    <cfRule type="containsText" dxfId="3420" priority="3709" operator="containsText" text="Pendiente">
      <formula>NOT(ISERROR(SEARCH("Pendiente",N237)))</formula>
    </cfRule>
    <cfRule type="containsText" dxfId="3419" priority="3710" operator="containsText" text="No Aplica">
      <formula>NOT(ISERROR(SEARCH("No Aplica",N237)))</formula>
    </cfRule>
    <cfRule type="containsText" dxfId="3418" priority="3711" operator="containsText" text="Fallido">
      <formula>NOT(ISERROR(SEARCH("Fallido",N237)))</formula>
    </cfRule>
    <cfRule type="containsText" dxfId="3417" priority="3712" operator="containsText" text="Éxitoso">
      <formula>NOT(ISERROR(SEARCH("Éxitoso",N237)))</formula>
    </cfRule>
  </conditionalFormatting>
  <conditionalFormatting sqref="O237">
    <cfRule type="containsText" dxfId="3416" priority="3703" operator="containsText" text="No se pudo ejecutar">
      <formula>NOT(ISERROR(SEARCH("No se pudo ejecutar",O237)))</formula>
    </cfRule>
    <cfRule type="containsText" dxfId="3415" priority="3704" operator="containsText" text="Pendiente">
      <formula>NOT(ISERROR(SEARCH("Pendiente",O237)))</formula>
    </cfRule>
    <cfRule type="containsText" dxfId="3414" priority="3705" operator="containsText" text="No Aplica">
      <formula>NOT(ISERROR(SEARCH("No Aplica",O237)))</formula>
    </cfRule>
    <cfRule type="containsText" dxfId="3413" priority="3706" operator="containsText" text="Fallido">
      <formula>NOT(ISERROR(SEARCH("Fallido",O237)))</formula>
    </cfRule>
    <cfRule type="containsText" dxfId="3412" priority="3707" operator="containsText" text="Éxitoso">
      <formula>NOT(ISERROR(SEARCH("Éxitoso",O237)))</formula>
    </cfRule>
  </conditionalFormatting>
  <conditionalFormatting sqref="P237">
    <cfRule type="containsText" dxfId="3411" priority="3698" operator="containsText" text="No se pudo ejecutar">
      <formula>NOT(ISERROR(SEARCH("No se pudo ejecutar",P237)))</formula>
    </cfRule>
    <cfRule type="containsText" dxfId="3410" priority="3699" operator="containsText" text="Pendiente">
      <formula>NOT(ISERROR(SEARCH("Pendiente",P237)))</formula>
    </cfRule>
    <cfRule type="containsText" dxfId="3409" priority="3700" operator="containsText" text="No Aplica">
      <formula>NOT(ISERROR(SEARCH("No Aplica",P237)))</formula>
    </cfRule>
    <cfRule type="containsText" dxfId="3408" priority="3701" operator="containsText" text="Fallido">
      <formula>NOT(ISERROR(SEARCH("Fallido",P237)))</formula>
    </cfRule>
    <cfRule type="containsText" dxfId="3407" priority="3702" operator="containsText" text="Éxitoso">
      <formula>NOT(ISERROR(SEARCH("Éxitoso",P237)))</formula>
    </cfRule>
  </conditionalFormatting>
  <conditionalFormatting sqref="Q237">
    <cfRule type="containsText" dxfId="3406" priority="3693" operator="containsText" text="No se pudo ejecutar">
      <formula>NOT(ISERROR(SEARCH("No se pudo ejecutar",Q237)))</formula>
    </cfRule>
    <cfRule type="containsText" dxfId="3405" priority="3694" operator="containsText" text="Pendiente">
      <formula>NOT(ISERROR(SEARCH("Pendiente",Q237)))</formula>
    </cfRule>
    <cfRule type="containsText" dxfId="3404" priority="3695" operator="containsText" text="No Aplica">
      <formula>NOT(ISERROR(SEARCH("No Aplica",Q237)))</formula>
    </cfRule>
    <cfRule type="containsText" dxfId="3403" priority="3696" operator="containsText" text="Fallido">
      <formula>NOT(ISERROR(SEARCH("Fallido",Q237)))</formula>
    </cfRule>
    <cfRule type="containsText" dxfId="3402" priority="3697" operator="containsText" text="Éxitoso">
      <formula>NOT(ISERROR(SEARCH("Éxitoso",Q237)))</formula>
    </cfRule>
  </conditionalFormatting>
  <conditionalFormatting sqref="R237">
    <cfRule type="containsText" dxfId="3401" priority="3688" operator="containsText" text="No se pudo ejecutar">
      <formula>NOT(ISERROR(SEARCH("No se pudo ejecutar",R237)))</formula>
    </cfRule>
    <cfRule type="containsText" dxfId="3400" priority="3689" operator="containsText" text="Pendiente">
      <formula>NOT(ISERROR(SEARCH("Pendiente",R237)))</formula>
    </cfRule>
    <cfRule type="containsText" dxfId="3399" priority="3690" operator="containsText" text="No Aplica">
      <formula>NOT(ISERROR(SEARCH("No Aplica",R237)))</formula>
    </cfRule>
    <cfRule type="containsText" dxfId="3398" priority="3691" operator="containsText" text="Fallido">
      <formula>NOT(ISERROR(SEARCH("Fallido",R237)))</formula>
    </cfRule>
    <cfRule type="containsText" dxfId="3397" priority="3692" operator="containsText" text="Éxitoso">
      <formula>NOT(ISERROR(SEARCH("Éxitoso",R237)))</formula>
    </cfRule>
  </conditionalFormatting>
  <conditionalFormatting sqref="S237">
    <cfRule type="containsText" dxfId="3396" priority="3683" operator="containsText" text="No se pudo ejecutar">
      <formula>NOT(ISERROR(SEARCH("No se pudo ejecutar",S237)))</formula>
    </cfRule>
    <cfRule type="containsText" dxfId="3395" priority="3684" operator="containsText" text="Pendiente">
      <formula>NOT(ISERROR(SEARCH("Pendiente",S237)))</formula>
    </cfRule>
    <cfRule type="containsText" dxfId="3394" priority="3685" operator="containsText" text="No Aplica">
      <formula>NOT(ISERROR(SEARCH("No Aplica",S237)))</formula>
    </cfRule>
    <cfRule type="containsText" dxfId="3393" priority="3686" operator="containsText" text="Fallido">
      <formula>NOT(ISERROR(SEARCH("Fallido",S237)))</formula>
    </cfRule>
    <cfRule type="containsText" dxfId="3392" priority="3687" operator="containsText" text="Éxitoso">
      <formula>NOT(ISERROR(SEARCH("Éxitoso",S237)))</formula>
    </cfRule>
  </conditionalFormatting>
  <conditionalFormatting sqref="T237">
    <cfRule type="containsText" dxfId="3391" priority="3678" operator="containsText" text="No se pudo ejecutar">
      <formula>NOT(ISERROR(SEARCH("No se pudo ejecutar",T237)))</formula>
    </cfRule>
    <cfRule type="containsText" dxfId="3390" priority="3679" operator="containsText" text="Pendiente">
      <formula>NOT(ISERROR(SEARCH("Pendiente",T237)))</formula>
    </cfRule>
    <cfRule type="containsText" dxfId="3389" priority="3680" operator="containsText" text="No Aplica">
      <formula>NOT(ISERROR(SEARCH("No Aplica",T237)))</formula>
    </cfRule>
    <cfRule type="containsText" dxfId="3388" priority="3681" operator="containsText" text="Fallido">
      <formula>NOT(ISERROR(SEARCH("Fallido",T237)))</formula>
    </cfRule>
    <cfRule type="containsText" dxfId="3387" priority="3682" operator="containsText" text="Éxitoso">
      <formula>NOT(ISERROR(SEARCH("Éxitoso",T237)))</formula>
    </cfRule>
  </conditionalFormatting>
  <conditionalFormatting sqref="U237">
    <cfRule type="containsText" dxfId="3386" priority="3673" operator="containsText" text="No se pudo ejecutar">
      <formula>NOT(ISERROR(SEARCH("No se pudo ejecutar",U237)))</formula>
    </cfRule>
    <cfRule type="containsText" dxfId="3385" priority="3674" operator="containsText" text="Pendiente">
      <formula>NOT(ISERROR(SEARCH("Pendiente",U237)))</formula>
    </cfRule>
    <cfRule type="containsText" dxfId="3384" priority="3675" operator="containsText" text="No Aplica">
      <formula>NOT(ISERROR(SEARCH("No Aplica",U237)))</formula>
    </cfRule>
    <cfRule type="containsText" dxfId="3383" priority="3676" operator="containsText" text="Fallido">
      <formula>NOT(ISERROR(SEARCH("Fallido",U237)))</formula>
    </cfRule>
    <cfRule type="containsText" dxfId="3382" priority="3677" operator="containsText" text="Éxitoso">
      <formula>NOT(ISERROR(SEARCH("Éxitoso",U237)))</formula>
    </cfRule>
  </conditionalFormatting>
  <conditionalFormatting sqref="V237">
    <cfRule type="containsText" dxfId="3381" priority="3668" operator="containsText" text="No se pudo ejecutar">
      <formula>NOT(ISERROR(SEARCH("No se pudo ejecutar",V237)))</formula>
    </cfRule>
    <cfRule type="containsText" dxfId="3380" priority="3669" operator="containsText" text="Pendiente">
      <formula>NOT(ISERROR(SEARCH("Pendiente",V237)))</formula>
    </cfRule>
    <cfRule type="containsText" dxfId="3379" priority="3670" operator="containsText" text="No Aplica">
      <formula>NOT(ISERROR(SEARCH("No Aplica",V237)))</formula>
    </cfRule>
    <cfRule type="containsText" dxfId="3378" priority="3671" operator="containsText" text="Fallido">
      <formula>NOT(ISERROR(SEARCH("Fallido",V237)))</formula>
    </cfRule>
    <cfRule type="containsText" dxfId="3377" priority="3672" operator="containsText" text="Éxitoso">
      <formula>NOT(ISERROR(SEARCH("Éxitoso",V237)))</formula>
    </cfRule>
  </conditionalFormatting>
  <conditionalFormatting sqref="W237">
    <cfRule type="containsText" dxfId="3376" priority="3663" operator="containsText" text="No se pudo ejecutar">
      <formula>NOT(ISERROR(SEARCH("No se pudo ejecutar",W237)))</formula>
    </cfRule>
    <cfRule type="containsText" dxfId="3375" priority="3664" operator="containsText" text="Pendiente">
      <formula>NOT(ISERROR(SEARCH("Pendiente",W237)))</formula>
    </cfRule>
    <cfRule type="containsText" dxfId="3374" priority="3665" operator="containsText" text="No Aplica">
      <formula>NOT(ISERROR(SEARCH("No Aplica",W237)))</formula>
    </cfRule>
    <cfRule type="containsText" dxfId="3373" priority="3666" operator="containsText" text="Fallido">
      <formula>NOT(ISERROR(SEARCH("Fallido",W237)))</formula>
    </cfRule>
    <cfRule type="containsText" dxfId="3372" priority="3667" operator="containsText" text="Éxitoso">
      <formula>NOT(ISERROR(SEARCH("Éxitoso",W237)))</formula>
    </cfRule>
  </conditionalFormatting>
  <conditionalFormatting sqref="M237">
    <cfRule type="containsText" dxfId="3371" priority="3658" operator="containsText" text="No se pudo ejecutar">
      <formula>NOT(ISERROR(SEARCH("No se pudo ejecutar",M237)))</formula>
    </cfRule>
    <cfRule type="containsText" dxfId="3370" priority="3659" operator="containsText" text="Pendiente">
      <formula>NOT(ISERROR(SEARCH("Pendiente",M237)))</formula>
    </cfRule>
    <cfRule type="containsText" dxfId="3369" priority="3660" operator="containsText" text="No Aplica">
      <formula>NOT(ISERROR(SEARCH("No Aplica",M237)))</formula>
    </cfRule>
    <cfRule type="containsText" dxfId="3368" priority="3661" operator="containsText" text="Fallido">
      <formula>NOT(ISERROR(SEARCH("Fallido",M237)))</formula>
    </cfRule>
    <cfRule type="containsText" dxfId="3367" priority="3662" operator="containsText" text="Éxitoso">
      <formula>NOT(ISERROR(SEARCH("Éxitoso",M237)))</formula>
    </cfRule>
  </conditionalFormatting>
  <conditionalFormatting sqref="G237">
    <cfRule type="containsText" dxfId="3366" priority="3655" operator="containsText" text="Bajo">
      <formula>NOT(ISERROR(SEARCH("Bajo",G237)))</formula>
    </cfRule>
    <cfRule type="containsText" dxfId="3365" priority="3656" operator="containsText" text="Medio">
      <formula>NOT(ISERROR(SEARCH("Medio",G237)))</formula>
    </cfRule>
    <cfRule type="containsText" dxfId="3364" priority="3657" operator="containsText" text="Alto">
      <formula>NOT(ISERROR(SEARCH("Alto",G237)))</formula>
    </cfRule>
  </conditionalFormatting>
  <conditionalFormatting sqref="N238">
    <cfRule type="containsText" dxfId="3363" priority="3650" operator="containsText" text="No se pudo ejecutar">
      <formula>NOT(ISERROR(SEARCH("No se pudo ejecutar",N238)))</formula>
    </cfRule>
    <cfRule type="containsText" dxfId="3362" priority="3651" operator="containsText" text="Pendiente">
      <formula>NOT(ISERROR(SEARCH("Pendiente",N238)))</formula>
    </cfRule>
    <cfRule type="containsText" dxfId="3361" priority="3652" operator="containsText" text="No Aplica">
      <formula>NOT(ISERROR(SEARCH("No Aplica",N238)))</formula>
    </cfRule>
    <cfRule type="containsText" dxfId="3360" priority="3653" operator="containsText" text="Fallido">
      <formula>NOT(ISERROR(SEARCH("Fallido",N238)))</formula>
    </cfRule>
    <cfRule type="containsText" dxfId="3359" priority="3654" operator="containsText" text="Éxitoso">
      <formula>NOT(ISERROR(SEARCH("Éxitoso",N238)))</formula>
    </cfRule>
  </conditionalFormatting>
  <conditionalFormatting sqref="O238">
    <cfRule type="containsText" dxfId="3358" priority="3645" operator="containsText" text="No se pudo ejecutar">
      <formula>NOT(ISERROR(SEARCH("No se pudo ejecutar",O238)))</formula>
    </cfRule>
    <cfRule type="containsText" dxfId="3357" priority="3646" operator="containsText" text="Pendiente">
      <formula>NOT(ISERROR(SEARCH("Pendiente",O238)))</formula>
    </cfRule>
    <cfRule type="containsText" dxfId="3356" priority="3647" operator="containsText" text="No Aplica">
      <formula>NOT(ISERROR(SEARCH("No Aplica",O238)))</formula>
    </cfRule>
    <cfRule type="containsText" dxfId="3355" priority="3648" operator="containsText" text="Fallido">
      <formula>NOT(ISERROR(SEARCH("Fallido",O238)))</formula>
    </cfRule>
    <cfRule type="containsText" dxfId="3354" priority="3649" operator="containsText" text="Éxitoso">
      <formula>NOT(ISERROR(SEARCH("Éxitoso",O238)))</formula>
    </cfRule>
  </conditionalFormatting>
  <conditionalFormatting sqref="P238">
    <cfRule type="containsText" dxfId="3353" priority="3640" operator="containsText" text="No se pudo ejecutar">
      <formula>NOT(ISERROR(SEARCH("No se pudo ejecutar",P238)))</formula>
    </cfRule>
    <cfRule type="containsText" dxfId="3352" priority="3641" operator="containsText" text="Pendiente">
      <formula>NOT(ISERROR(SEARCH("Pendiente",P238)))</formula>
    </cfRule>
    <cfRule type="containsText" dxfId="3351" priority="3642" operator="containsText" text="No Aplica">
      <formula>NOT(ISERROR(SEARCH("No Aplica",P238)))</formula>
    </cfRule>
    <cfRule type="containsText" dxfId="3350" priority="3643" operator="containsText" text="Fallido">
      <formula>NOT(ISERROR(SEARCH("Fallido",P238)))</formula>
    </cfRule>
    <cfRule type="containsText" dxfId="3349" priority="3644" operator="containsText" text="Éxitoso">
      <formula>NOT(ISERROR(SEARCH("Éxitoso",P238)))</formula>
    </cfRule>
  </conditionalFormatting>
  <conditionalFormatting sqref="Q238">
    <cfRule type="containsText" dxfId="3348" priority="3635" operator="containsText" text="No se pudo ejecutar">
      <formula>NOT(ISERROR(SEARCH("No se pudo ejecutar",Q238)))</formula>
    </cfRule>
    <cfRule type="containsText" dxfId="3347" priority="3636" operator="containsText" text="Pendiente">
      <formula>NOT(ISERROR(SEARCH("Pendiente",Q238)))</formula>
    </cfRule>
    <cfRule type="containsText" dxfId="3346" priority="3637" operator="containsText" text="No Aplica">
      <formula>NOT(ISERROR(SEARCH("No Aplica",Q238)))</formula>
    </cfRule>
    <cfRule type="containsText" dxfId="3345" priority="3638" operator="containsText" text="Fallido">
      <formula>NOT(ISERROR(SEARCH("Fallido",Q238)))</formula>
    </cfRule>
    <cfRule type="containsText" dxfId="3344" priority="3639" operator="containsText" text="Éxitoso">
      <formula>NOT(ISERROR(SEARCH("Éxitoso",Q238)))</formula>
    </cfRule>
  </conditionalFormatting>
  <conditionalFormatting sqref="R238">
    <cfRule type="containsText" dxfId="3343" priority="3630" operator="containsText" text="No se pudo ejecutar">
      <formula>NOT(ISERROR(SEARCH("No se pudo ejecutar",R238)))</formula>
    </cfRule>
    <cfRule type="containsText" dxfId="3342" priority="3631" operator="containsText" text="Pendiente">
      <formula>NOT(ISERROR(SEARCH("Pendiente",R238)))</formula>
    </cfRule>
    <cfRule type="containsText" dxfId="3341" priority="3632" operator="containsText" text="No Aplica">
      <formula>NOT(ISERROR(SEARCH("No Aplica",R238)))</formula>
    </cfRule>
    <cfRule type="containsText" dxfId="3340" priority="3633" operator="containsText" text="Fallido">
      <formula>NOT(ISERROR(SEARCH("Fallido",R238)))</formula>
    </cfRule>
    <cfRule type="containsText" dxfId="3339" priority="3634" operator="containsText" text="Éxitoso">
      <formula>NOT(ISERROR(SEARCH("Éxitoso",R238)))</formula>
    </cfRule>
  </conditionalFormatting>
  <conditionalFormatting sqref="S238">
    <cfRule type="containsText" dxfId="3338" priority="3625" operator="containsText" text="No se pudo ejecutar">
      <formula>NOT(ISERROR(SEARCH("No se pudo ejecutar",S238)))</formula>
    </cfRule>
    <cfRule type="containsText" dxfId="3337" priority="3626" operator="containsText" text="Pendiente">
      <formula>NOT(ISERROR(SEARCH("Pendiente",S238)))</formula>
    </cfRule>
    <cfRule type="containsText" dxfId="3336" priority="3627" operator="containsText" text="No Aplica">
      <formula>NOT(ISERROR(SEARCH("No Aplica",S238)))</formula>
    </cfRule>
    <cfRule type="containsText" dxfId="3335" priority="3628" operator="containsText" text="Fallido">
      <formula>NOT(ISERROR(SEARCH("Fallido",S238)))</formula>
    </cfRule>
    <cfRule type="containsText" dxfId="3334" priority="3629" operator="containsText" text="Éxitoso">
      <formula>NOT(ISERROR(SEARCH("Éxitoso",S238)))</formula>
    </cfRule>
  </conditionalFormatting>
  <conditionalFormatting sqref="T238">
    <cfRule type="containsText" dxfId="3333" priority="3620" operator="containsText" text="No se pudo ejecutar">
      <formula>NOT(ISERROR(SEARCH("No se pudo ejecutar",T238)))</formula>
    </cfRule>
    <cfRule type="containsText" dxfId="3332" priority="3621" operator="containsText" text="Pendiente">
      <formula>NOT(ISERROR(SEARCH("Pendiente",T238)))</formula>
    </cfRule>
    <cfRule type="containsText" dxfId="3331" priority="3622" operator="containsText" text="No Aplica">
      <formula>NOT(ISERROR(SEARCH("No Aplica",T238)))</formula>
    </cfRule>
    <cfRule type="containsText" dxfId="3330" priority="3623" operator="containsText" text="Fallido">
      <formula>NOT(ISERROR(SEARCH("Fallido",T238)))</formula>
    </cfRule>
    <cfRule type="containsText" dxfId="3329" priority="3624" operator="containsText" text="Éxitoso">
      <formula>NOT(ISERROR(SEARCH("Éxitoso",T238)))</formula>
    </cfRule>
  </conditionalFormatting>
  <conditionalFormatting sqref="U238">
    <cfRule type="containsText" dxfId="3328" priority="3615" operator="containsText" text="No se pudo ejecutar">
      <formula>NOT(ISERROR(SEARCH("No se pudo ejecutar",U238)))</formula>
    </cfRule>
    <cfRule type="containsText" dxfId="3327" priority="3616" operator="containsText" text="Pendiente">
      <formula>NOT(ISERROR(SEARCH("Pendiente",U238)))</formula>
    </cfRule>
    <cfRule type="containsText" dxfId="3326" priority="3617" operator="containsText" text="No Aplica">
      <formula>NOT(ISERROR(SEARCH("No Aplica",U238)))</formula>
    </cfRule>
    <cfRule type="containsText" dxfId="3325" priority="3618" operator="containsText" text="Fallido">
      <formula>NOT(ISERROR(SEARCH("Fallido",U238)))</formula>
    </cfRule>
    <cfRule type="containsText" dxfId="3324" priority="3619" operator="containsText" text="Éxitoso">
      <formula>NOT(ISERROR(SEARCH("Éxitoso",U238)))</formula>
    </cfRule>
  </conditionalFormatting>
  <conditionalFormatting sqref="V238">
    <cfRule type="containsText" dxfId="3323" priority="3610" operator="containsText" text="No se pudo ejecutar">
      <formula>NOT(ISERROR(SEARCH("No se pudo ejecutar",V238)))</formula>
    </cfRule>
    <cfRule type="containsText" dxfId="3322" priority="3611" operator="containsText" text="Pendiente">
      <formula>NOT(ISERROR(SEARCH("Pendiente",V238)))</formula>
    </cfRule>
    <cfRule type="containsText" dxfId="3321" priority="3612" operator="containsText" text="No Aplica">
      <formula>NOT(ISERROR(SEARCH("No Aplica",V238)))</formula>
    </cfRule>
    <cfRule type="containsText" dxfId="3320" priority="3613" operator="containsText" text="Fallido">
      <formula>NOT(ISERROR(SEARCH("Fallido",V238)))</formula>
    </cfRule>
    <cfRule type="containsText" dxfId="3319" priority="3614" operator="containsText" text="Éxitoso">
      <formula>NOT(ISERROR(SEARCH("Éxitoso",V238)))</formula>
    </cfRule>
  </conditionalFormatting>
  <conditionalFormatting sqref="W238">
    <cfRule type="containsText" dxfId="3318" priority="3605" operator="containsText" text="No se pudo ejecutar">
      <formula>NOT(ISERROR(SEARCH("No se pudo ejecutar",W238)))</formula>
    </cfRule>
    <cfRule type="containsText" dxfId="3317" priority="3606" operator="containsText" text="Pendiente">
      <formula>NOT(ISERROR(SEARCH("Pendiente",W238)))</formula>
    </cfRule>
    <cfRule type="containsText" dxfId="3316" priority="3607" operator="containsText" text="No Aplica">
      <formula>NOT(ISERROR(SEARCH("No Aplica",W238)))</formula>
    </cfRule>
    <cfRule type="containsText" dxfId="3315" priority="3608" operator="containsText" text="Fallido">
      <formula>NOT(ISERROR(SEARCH("Fallido",W238)))</formula>
    </cfRule>
    <cfRule type="containsText" dxfId="3314" priority="3609" operator="containsText" text="Éxitoso">
      <formula>NOT(ISERROR(SEARCH("Éxitoso",W238)))</formula>
    </cfRule>
  </conditionalFormatting>
  <conditionalFormatting sqref="M238">
    <cfRule type="containsText" dxfId="3313" priority="3600" operator="containsText" text="No se pudo ejecutar">
      <formula>NOT(ISERROR(SEARCH("No se pudo ejecutar",M238)))</formula>
    </cfRule>
    <cfRule type="containsText" dxfId="3312" priority="3601" operator="containsText" text="Pendiente">
      <formula>NOT(ISERROR(SEARCH("Pendiente",M238)))</formula>
    </cfRule>
    <cfRule type="containsText" dxfId="3311" priority="3602" operator="containsText" text="No Aplica">
      <formula>NOT(ISERROR(SEARCH("No Aplica",M238)))</formula>
    </cfRule>
    <cfRule type="containsText" dxfId="3310" priority="3603" operator="containsText" text="Fallido">
      <formula>NOT(ISERROR(SEARCH("Fallido",M238)))</formula>
    </cfRule>
    <cfRule type="containsText" dxfId="3309" priority="3604" operator="containsText" text="Éxitoso">
      <formula>NOT(ISERROR(SEARCH("Éxitoso",M238)))</formula>
    </cfRule>
  </conditionalFormatting>
  <conditionalFormatting sqref="G238">
    <cfRule type="containsText" dxfId="3308" priority="3597" operator="containsText" text="Bajo">
      <formula>NOT(ISERROR(SEARCH("Bajo",G238)))</formula>
    </cfRule>
    <cfRule type="containsText" dxfId="3307" priority="3598" operator="containsText" text="Medio">
      <formula>NOT(ISERROR(SEARCH("Medio",G238)))</formula>
    </cfRule>
    <cfRule type="containsText" dxfId="3306" priority="3599" operator="containsText" text="Alto">
      <formula>NOT(ISERROR(SEARCH("Alto",G238)))</formula>
    </cfRule>
  </conditionalFormatting>
  <conditionalFormatting sqref="N239">
    <cfRule type="containsText" dxfId="3305" priority="3592" operator="containsText" text="No se pudo ejecutar">
      <formula>NOT(ISERROR(SEARCH("No se pudo ejecutar",N239)))</formula>
    </cfRule>
    <cfRule type="containsText" dxfId="3304" priority="3593" operator="containsText" text="Pendiente">
      <formula>NOT(ISERROR(SEARCH("Pendiente",N239)))</formula>
    </cfRule>
    <cfRule type="containsText" dxfId="3303" priority="3594" operator="containsText" text="No Aplica">
      <formula>NOT(ISERROR(SEARCH("No Aplica",N239)))</formula>
    </cfRule>
    <cfRule type="containsText" dxfId="3302" priority="3595" operator="containsText" text="Fallido">
      <formula>NOT(ISERROR(SEARCH("Fallido",N239)))</formula>
    </cfRule>
    <cfRule type="containsText" dxfId="3301" priority="3596" operator="containsText" text="Éxitoso">
      <formula>NOT(ISERROR(SEARCH("Éxitoso",N239)))</formula>
    </cfRule>
  </conditionalFormatting>
  <conditionalFormatting sqref="O239">
    <cfRule type="containsText" dxfId="3300" priority="3587" operator="containsText" text="No se pudo ejecutar">
      <formula>NOT(ISERROR(SEARCH("No se pudo ejecutar",O239)))</formula>
    </cfRule>
    <cfRule type="containsText" dxfId="3299" priority="3588" operator="containsText" text="Pendiente">
      <formula>NOT(ISERROR(SEARCH("Pendiente",O239)))</formula>
    </cfRule>
    <cfRule type="containsText" dxfId="3298" priority="3589" operator="containsText" text="No Aplica">
      <formula>NOT(ISERROR(SEARCH("No Aplica",O239)))</formula>
    </cfRule>
    <cfRule type="containsText" dxfId="3297" priority="3590" operator="containsText" text="Fallido">
      <formula>NOT(ISERROR(SEARCH("Fallido",O239)))</formula>
    </cfRule>
    <cfRule type="containsText" dxfId="3296" priority="3591" operator="containsText" text="Éxitoso">
      <formula>NOT(ISERROR(SEARCH("Éxitoso",O239)))</formula>
    </cfRule>
  </conditionalFormatting>
  <conditionalFormatting sqref="P239">
    <cfRule type="containsText" dxfId="3295" priority="3582" operator="containsText" text="No se pudo ejecutar">
      <formula>NOT(ISERROR(SEARCH("No se pudo ejecutar",P239)))</formula>
    </cfRule>
    <cfRule type="containsText" dxfId="3294" priority="3583" operator="containsText" text="Pendiente">
      <formula>NOT(ISERROR(SEARCH("Pendiente",P239)))</formula>
    </cfRule>
    <cfRule type="containsText" dxfId="3293" priority="3584" operator="containsText" text="No Aplica">
      <formula>NOT(ISERROR(SEARCH("No Aplica",P239)))</formula>
    </cfRule>
    <cfRule type="containsText" dxfId="3292" priority="3585" operator="containsText" text="Fallido">
      <formula>NOT(ISERROR(SEARCH("Fallido",P239)))</formula>
    </cfRule>
    <cfRule type="containsText" dxfId="3291" priority="3586" operator="containsText" text="Éxitoso">
      <formula>NOT(ISERROR(SEARCH("Éxitoso",P239)))</formula>
    </cfRule>
  </conditionalFormatting>
  <conditionalFormatting sqref="Q239">
    <cfRule type="containsText" dxfId="3290" priority="3577" operator="containsText" text="No se pudo ejecutar">
      <formula>NOT(ISERROR(SEARCH("No se pudo ejecutar",Q239)))</formula>
    </cfRule>
    <cfRule type="containsText" dxfId="3289" priority="3578" operator="containsText" text="Pendiente">
      <formula>NOT(ISERROR(SEARCH("Pendiente",Q239)))</formula>
    </cfRule>
    <cfRule type="containsText" dxfId="3288" priority="3579" operator="containsText" text="No Aplica">
      <formula>NOT(ISERROR(SEARCH("No Aplica",Q239)))</formula>
    </cfRule>
    <cfRule type="containsText" dxfId="3287" priority="3580" operator="containsText" text="Fallido">
      <formula>NOT(ISERROR(SEARCH("Fallido",Q239)))</formula>
    </cfRule>
    <cfRule type="containsText" dxfId="3286" priority="3581" operator="containsText" text="Éxitoso">
      <formula>NOT(ISERROR(SEARCH("Éxitoso",Q239)))</formula>
    </cfRule>
  </conditionalFormatting>
  <conditionalFormatting sqref="R239">
    <cfRule type="containsText" dxfId="3285" priority="3572" operator="containsText" text="No se pudo ejecutar">
      <formula>NOT(ISERROR(SEARCH("No se pudo ejecutar",R239)))</formula>
    </cfRule>
    <cfRule type="containsText" dxfId="3284" priority="3573" operator="containsText" text="Pendiente">
      <formula>NOT(ISERROR(SEARCH("Pendiente",R239)))</formula>
    </cfRule>
    <cfRule type="containsText" dxfId="3283" priority="3574" operator="containsText" text="No Aplica">
      <formula>NOT(ISERROR(SEARCH("No Aplica",R239)))</formula>
    </cfRule>
    <cfRule type="containsText" dxfId="3282" priority="3575" operator="containsText" text="Fallido">
      <formula>NOT(ISERROR(SEARCH("Fallido",R239)))</formula>
    </cfRule>
    <cfRule type="containsText" dxfId="3281" priority="3576" operator="containsText" text="Éxitoso">
      <formula>NOT(ISERROR(SEARCH("Éxitoso",R239)))</formula>
    </cfRule>
  </conditionalFormatting>
  <conditionalFormatting sqref="S239">
    <cfRule type="containsText" dxfId="3280" priority="3567" operator="containsText" text="No se pudo ejecutar">
      <formula>NOT(ISERROR(SEARCH("No se pudo ejecutar",S239)))</formula>
    </cfRule>
    <cfRule type="containsText" dxfId="3279" priority="3568" operator="containsText" text="Pendiente">
      <formula>NOT(ISERROR(SEARCH("Pendiente",S239)))</formula>
    </cfRule>
    <cfRule type="containsText" dxfId="3278" priority="3569" operator="containsText" text="No Aplica">
      <formula>NOT(ISERROR(SEARCH("No Aplica",S239)))</formula>
    </cfRule>
    <cfRule type="containsText" dxfId="3277" priority="3570" operator="containsText" text="Fallido">
      <formula>NOT(ISERROR(SEARCH("Fallido",S239)))</formula>
    </cfRule>
    <cfRule type="containsText" dxfId="3276" priority="3571" operator="containsText" text="Éxitoso">
      <formula>NOT(ISERROR(SEARCH("Éxitoso",S239)))</formula>
    </cfRule>
  </conditionalFormatting>
  <conditionalFormatting sqref="T239">
    <cfRule type="containsText" dxfId="3275" priority="3562" operator="containsText" text="No se pudo ejecutar">
      <formula>NOT(ISERROR(SEARCH("No se pudo ejecutar",T239)))</formula>
    </cfRule>
    <cfRule type="containsText" dxfId="3274" priority="3563" operator="containsText" text="Pendiente">
      <formula>NOT(ISERROR(SEARCH("Pendiente",T239)))</formula>
    </cfRule>
    <cfRule type="containsText" dxfId="3273" priority="3564" operator="containsText" text="No Aplica">
      <formula>NOT(ISERROR(SEARCH("No Aplica",T239)))</formula>
    </cfRule>
    <cfRule type="containsText" dxfId="3272" priority="3565" operator="containsText" text="Fallido">
      <formula>NOT(ISERROR(SEARCH("Fallido",T239)))</formula>
    </cfRule>
    <cfRule type="containsText" dxfId="3271" priority="3566" operator="containsText" text="Éxitoso">
      <formula>NOT(ISERROR(SEARCH("Éxitoso",T239)))</formula>
    </cfRule>
  </conditionalFormatting>
  <conditionalFormatting sqref="U239">
    <cfRule type="containsText" dxfId="3270" priority="3557" operator="containsText" text="No se pudo ejecutar">
      <formula>NOT(ISERROR(SEARCH("No se pudo ejecutar",U239)))</formula>
    </cfRule>
    <cfRule type="containsText" dxfId="3269" priority="3558" operator="containsText" text="Pendiente">
      <formula>NOT(ISERROR(SEARCH("Pendiente",U239)))</formula>
    </cfRule>
    <cfRule type="containsText" dxfId="3268" priority="3559" operator="containsText" text="No Aplica">
      <formula>NOT(ISERROR(SEARCH("No Aplica",U239)))</formula>
    </cfRule>
    <cfRule type="containsText" dxfId="3267" priority="3560" operator="containsText" text="Fallido">
      <formula>NOT(ISERROR(SEARCH("Fallido",U239)))</formula>
    </cfRule>
    <cfRule type="containsText" dxfId="3266" priority="3561" operator="containsText" text="Éxitoso">
      <formula>NOT(ISERROR(SEARCH("Éxitoso",U239)))</formula>
    </cfRule>
  </conditionalFormatting>
  <conditionalFormatting sqref="V239">
    <cfRule type="containsText" dxfId="3265" priority="3552" operator="containsText" text="No se pudo ejecutar">
      <formula>NOT(ISERROR(SEARCH("No se pudo ejecutar",V239)))</formula>
    </cfRule>
    <cfRule type="containsText" dxfId="3264" priority="3553" operator="containsText" text="Pendiente">
      <formula>NOT(ISERROR(SEARCH("Pendiente",V239)))</formula>
    </cfRule>
    <cfRule type="containsText" dxfId="3263" priority="3554" operator="containsText" text="No Aplica">
      <formula>NOT(ISERROR(SEARCH("No Aplica",V239)))</formula>
    </cfRule>
    <cfRule type="containsText" dxfId="3262" priority="3555" operator="containsText" text="Fallido">
      <formula>NOT(ISERROR(SEARCH("Fallido",V239)))</formula>
    </cfRule>
    <cfRule type="containsText" dxfId="3261" priority="3556" operator="containsText" text="Éxitoso">
      <formula>NOT(ISERROR(SEARCH("Éxitoso",V239)))</formula>
    </cfRule>
  </conditionalFormatting>
  <conditionalFormatting sqref="W239">
    <cfRule type="containsText" dxfId="3260" priority="3547" operator="containsText" text="No se pudo ejecutar">
      <formula>NOT(ISERROR(SEARCH("No se pudo ejecutar",W239)))</formula>
    </cfRule>
    <cfRule type="containsText" dxfId="3259" priority="3548" operator="containsText" text="Pendiente">
      <formula>NOT(ISERROR(SEARCH("Pendiente",W239)))</formula>
    </cfRule>
    <cfRule type="containsText" dxfId="3258" priority="3549" operator="containsText" text="No Aplica">
      <formula>NOT(ISERROR(SEARCH("No Aplica",W239)))</formula>
    </cfRule>
    <cfRule type="containsText" dxfId="3257" priority="3550" operator="containsText" text="Fallido">
      <formula>NOT(ISERROR(SEARCH("Fallido",W239)))</formula>
    </cfRule>
    <cfRule type="containsText" dxfId="3256" priority="3551" operator="containsText" text="Éxitoso">
      <formula>NOT(ISERROR(SEARCH("Éxitoso",W239)))</formula>
    </cfRule>
  </conditionalFormatting>
  <conditionalFormatting sqref="M239">
    <cfRule type="containsText" dxfId="3255" priority="3542" operator="containsText" text="No se pudo ejecutar">
      <formula>NOT(ISERROR(SEARCH("No se pudo ejecutar",M239)))</formula>
    </cfRule>
    <cfRule type="containsText" dxfId="3254" priority="3543" operator="containsText" text="Pendiente">
      <formula>NOT(ISERROR(SEARCH("Pendiente",M239)))</formula>
    </cfRule>
    <cfRule type="containsText" dxfId="3253" priority="3544" operator="containsText" text="No Aplica">
      <formula>NOT(ISERROR(SEARCH("No Aplica",M239)))</formula>
    </cfRule>
    <cfRule type="containsText" dxfId="3252" priority="3545" operator="containsText" text="Fallido">
      <formula>NOT(ISERROR(SEARCH("Fallido",M239)))</formula>
    </cfRule>
    <cfRule type="containsText" dxfId="3251" priority="3546" operator="containsText" text="Éxitoso">
      <formula>NOT(ISERROR(SEARCH("Éxitoso",M239)))</formula>
    </cfRule>
  </conditionalFormatting>
  <conditionalFormatting sqref="G239">
    <cfRule type="containsText" dxfId="3250" priority="3539" operator="containsText" text="Bajo">
      <formula>NOT(ISERROR(SEARCH("Bajo",G239)))</formula>
    </cfRule>
    <cfRule type="containsText" dxfId="3249" priority="3540" operator="containsText" text="Medio">
      <formula>NOT(ISERROR(SEARCH("Medio",G239)))</formula>
    </cfRule>
    <cfRule type="containsText" dxfId="3248" priority="3541" operator="containsText" text="Alto">
      <formula>NOT(ISERROR(SEARCH("Alto",G239)))</formula>
    </cfRule>
  </conditionalFormatting>
  <conditionalFormatting sqref="N240">
    <cfRule type="containsText" dxfId="3247" priority="3534" operator="containsText" text="No se pudo ejecutar">
      <formula>NOT(ISERROR(SEARCH("No se pudo ejecutar",N240)))</formula>
    </cfRule>
    <cfRule type="containsText" dxfId="3246" priority="3535" operator="containsText" text="Pendiente">
      <formula>NOT(ISERROR(SEARCH("Pendiente",N240)))</formula>
    </cfRule>
    <cfRule type="containsText" dxfId="3245" priority="3536" operator="containsText" text="No Aplica">
      <formula>NOT(ISERROR(SEARCH("No Aplica",N240)))</formula>
    </cfRule>
    <cfRule type="containsText" dxfId="3244" priority="3537" operator="containsText" text="Fallido">
      <formula>NOT(ISERROR(SEARCH("Fallido",N240)))</formula>
    </cfRule>
    <cfRule type="containsText" dxfId="3243" priority="3538" operator="containsText" text="Éxitoso">
      <formula>NOT(ISERROR(SEARCH("Éxitoso",N240)))</formula>
    </cfRule>
  </conditionalFormatting>
  <conditionalFormatting sqref="O240">
    <cfRule type="containsText" dxfId="3242" priority="3529" operator="containsText" text="No se pudo ejecutar">
      <formula>NOT(ISERROR(SEARCH("No se pudo ejecutar",O240)))</formula>
    </cfRule>
    <cfRule type="containsText" dxfId="3241" priority="3530" operator="containsText" text="Pendiente">
      <formula>NOT(ISERROR(SEARCH("Pendiente",O240)))</formula>
    </cfRule>
    <cfRule type="containsText" dxfId="3240" priority="3531" operator="containsText" text="No Aplica">
      <formula>NOT(ISERROR(SEARCH("No Aplica",O240)))</formula>
    </cfRule>
    <cfRule type="containsText" dxfId="3239" priority="3532" operator="containsText" text="Fallido">
      <formula>NOT(ISERROR(SEARCH("Fallido",O240)))</formula>
    </cfRule>
    <cfRule type="containsText" dxfId="3238" priority="3533" operator="containsText" text="Éxitoso">
      <formula>NOT(ISERROR(SEARCH("Éxitoso",O240)))</formula>
    </cfRule>
  </conditionalFormatting>
  <conditionalFormatting sqref="P240">
    <cfRule type="containsText" dxfId="3237" priority="3524" operator="containsText" text="No se pudo ejecutar">
      <formula>NOT(ISERROR(SEARCH("No se pudo ejecutar",P240)))</formula>
    </cfRule>
    <cfRule type="containsText" dxfId="3236" priority="3525" operator="containsText" text="Pendiente">
      <formula>NOT(ISERROR(SEARCH("Pendiente",P240)))</formula>
    </cfRule>
    <cfRule type="containsText" dxfId="3235" priority="3526" operator="containsText" text="No Aplica">
      <formula>NOT(ISERROR(SEARCH("No Aplica",P240)))</formula>
    </cfRule>
    <cfRule type="containsText" dxfId="3234" priority="3527" operator="containsText" text="Fallido">
      <formula>NOT(ISERROR(SEARCH("Fallido",P240)))</formula>
    </cfRule>
    <cfRule type="containsText" dxfId="3233" priority="3528" operator="containsText" text="Éxitoso">
      <formula>NOT(ISERROR(SEARCH("Éxitoso",P240)))</formula>
    </cfRule>
  </conditionalFormatting>
  <conditionalFormatting sqref="Q240">
    <cfRule type="containsText" dxfId="3232" priority="3519" operator="containsText" text="No se pudo ejecutar">
      <formula>NOT(ISERROR(SEARCH("No se pudo ejecutar",Q240)))</formula>
    </cfRule>
    <cfRule type="containsText" dxfId="3231" priority="3520" operator="containsText" text="Pendiente">
      <formula>NOT(ISERROR(SEARCH("Pendiente",Q240)))</formula>
    </cfRule>
    <cfRule type="containsText" dxfId="3230" priority="3521" operator="containsText" text="No Aplica">
      <formula>NOT(ISERROR(SEARCH("No Aplica",Q240)))</formula>
    </cfRule>
    <cfRule type="containsText" dxfId="3229" priority="3522" operator="containsText" text="Fallido">
      <formula>NOT(ISERROR(SEARCH("Fallido",Q240)))</formula>
    </cfRule>
    <cfRule type="containsText" dxfId="3228" priority="3523" operator="containsText" text="Éxitoso">
      <formula>NOT(ISERROR(SEARCH("Éxitoso",Q240)))</formula>
    </cfRule>
  </conditionalFormatting>
  <conditionalFormatting sqref="R240">
    <cfRule type="containsText" dxfId="3227" priority="3514" operator="containsText" text="No se pudo ejecutar">
      <formula>NOT(ISERROR(SEARCH("No se pudo ejecutar",R240)))</formula>
    </cfRule>
    <cfRule type="containsText" dxfId="3226" priority="3515" operator="containsText" text="Pendiente">
      <formula>NOT(ISERROR(SEARCH("Pendiente",R240)))</formula>
    </cfRule>
    <cfRule type="containsText" dxfId="3225" priority="3516" operator="containsText" text="No Aplica">
      <formula>NOT(ISERROR(SEARCH("No Aplica",R240)))</formula>
    </cfRule>
    <cfRule type="containsText" dxfId="3224" priority="3517" operator="containsText" text="Fallido">
      <formula>NOT(ISERROR(SEARCH("Fallido",R240)))</formula>
    </cfRule>
    <cfRule type="containsText" dxfId="3223" priority="3518" operator="containsText" text="Éxitoso">
      <formula>NOT(ISERROR(SEARCH("Éxitoso",R240)))</formula>
    </cfRule>
  </conditionalFormatting>
  <conditionalFormatting sqref="S240">
    <cfRule type="containsText" dxfId="3222" priority="3509" operator="containsText" text="No se pudo ejecutar">
      <formula>NOT(ISERROR(SEARCH("No se pudo ejecutar",S240)))</formula>
    </cfRule>
    <cfRule type="containsText" dxfId="3221" priority="3510" operator="containsText" text="Pendiente">
      <formula>NOT(ISERROR(SEARCH("Pendiente",S240)))</formula>
    </cfRule>
    <cfRule type="containsText" dxfId="3220" priority="3511" operator="containsText" text="No Aplica">
      <formula>NOT(ISERROR(SEARCH("No Aplica",S240)))</formula>
    </cfRule>
    <cfRule type="containsText" dxfId="3219" priority="3512" operator="containsText" text="Fallido">
      <formula>NOT(ISERROR(SEARCH("Fallido",S240)))</formula>
    </cfRule>
    <cfRule type="containsText" dxfId="3218" priority="3513" operator="containsText" text="Éxitoso">
      <formula>NOT(ISERROR(SEARCH("Éxitoso",S240)))</formula>
    </cfRule>
  </conditionalFormatting>
  <conditionalFormatting sqref="T240">
    <cfRule type="containsText" dxfId="3217" priority="3504" operator="containsText" text="No se pudo ejecutar">
      <formula>NOT(ISERROR(SEARCH("No se pudo ejecutar",T240)))</formula>
    </cfRule>
    <cfRule type="containsText" dxfId="3216" priority="3505" operator="containsText" text="Pendiente">
      <formula>NOT(ISERROR(SEARCH("Pendiente",T240)))</formula>
    </cfRule>
    <cfRule type="containsText" dxfId="3215" priority="3506" operator="containsText" text="No Aplica">
      <formula>NOT(ISERROR(SEARCH("No Aplica",T240)))</formula>
    </cfRule>
    <cfRule type="containsText" dxfId="3214" priority="3507" operator="containsText" text="Fallido">
      <formula>NOT(ISERROR(SEARCH("Fallido",T240)))</formula>
    </cfRule>
    <cfRule type="containsText" dxfId="3213" priority="3508" operator="containsText" text="Éxitoso">
      <formula>NOT(ISERROR(SEARCH("Éxitoso",T240)))</formula>
    </cfRule>
  </conditionalFormatting>
  <conditionalFormatting sqref="U240">
    <cfRule type="containsText" dxfId="3212" priority="3499" operator="containsText" text="No se pudo ejecutar">
      <formula>NOT(ISERROR(SEARCH("No se pudo ejecutar",U240)))</formula>
    </cfRule>
    <cfRule type="containsText" dxfId="3211" priority="3500" operator="containsText" text="Pendiente">
      <formula>NOT(ISERROR(SEARCH("Pendiente",U240)))</formula>
    </cfRule>
    <cfRule type="containsText" dxfId="3210" priority="3501" operator="containsText" text="No Aplica">
      <formula>NOT(ISERROR(SEARCH("No Aplica",U240)))</formula>
    </cfRule>
    <cfRule type="containsText" dxfId="3209" priority="3502" operator="containsText" text="Fallido">
      <formula>NOT(ISERROR(SEARCH("Fallido",U240)))</formula>
    </cfRule>
    <cfRule type="containsText" dxfId="3208" priority="3503" operator="containsText" text="Éxitoso">
      <formula>NOT(ISERROR(SEARCH("Éxitoso",U240)))</formula>
    </cfRule>
  </conditionalFormatting>
  <conditionalFormatting sqref="V240">
    <cfRule type="containsText" dxfId="3207" priority="3494" operator="containsText" text="No se pudo ejecutar">
      <formula>NOT(ISERROR(SEARCH("No se pudo ejecutar",V240)))</formula>
    </cfRule>
    <cfRule type="containsText" dxfId="3206" priority="3495" operator="containsText" text="Pendiente">
      <formula>NOT(ISERROR(SEARCH("Pendiente",V240)))</formula>
    </cfRule>
    <cfRule type="containsText" dxfId="3205" priority="3496" operator="containsText" text="No Aplica">
      <formula>NOT(ISERROR(SEARCH("No Aplica",V240)))</formula>
    </cfRule>
    <cfRule type="containsText" dxfId="3204" priority="3497" operator="containsText" text="Fallido">
      <formula>NOT(ISERROR(SEARCH("Fallido",V240)))</formula>
    </cfRule>
    <cfRule type="containsText" dxfId="3203" priority="3498" operator="containsText" text="Éxitoso">
      <formula>NOT(ISERROR(SEARCH("Éxitoso",V240)))</formula>
    </cfRule>
  </conditionalFormatting>
  <conditionalFormatting sqref="W240">
    <cfRule type="containsText" dxfId="3202" priority="3489" operator="containsText" text="No se pudo ejecutar">
      <formula>NOT(ISERROR(SEARCH("No se pudo ejecutar",W240)))</formula>
    </cfRule>
    <cfRule type="containsText" dxfId="3201" priority="3490" operator="containsText" text="Pendiente">
      <formula>NOT(ISERROR(SEARCH("Pendiente",W240)))</formula>
    </cfRule>
    <cfRule type="containsText" dxfId="3200" priority="3491" operator="containsText" text="No Aplica">
      <formula>NOT(ISERROR(SEARCH("No Aplica",W240)))</formula>
    </cfRule>
    <cfRule type="containsText" dxfId="3199" priority="3492" operator="containsText" text="Fallido">
      <formula>NOT(ISERROR(SEARCH("Fallido",W240)))</formula>
    </cfRule>
    <cfRule type="containsText" dxfId="3198" priority="3493" operator="containsText" text="Éxitoso">
      <formula>NOT(ISERROR(SEARCH("Éxitoso",W240)))</formula>
    </cfRule>
  </conditionalFormatting>
  <conditionalFormatting sqref="M240">
    <cfRule type="containsText" dxfId="3197" priority="3484" operator="containsText" text="No se pudo ejecutar">
      <formula>NOT(ISERROR(SEARCH("No se pudo ejecutar",M240)))</formula>
    </cfRule>
    <cfRule type="containsText" dxfId="3196" priority="3485" operator="containsText" text="Pendiente">
      <formula>NOT(ISERROR(SEARCH("Pendiente",M240)))</formula>
    </cfRule>
    <cfRule type="containsText" dxfId="3195" priority="3486" operator="containsText" text="No Aplica">
      <formula>NOT(ISERROR(SEARCH("No Aplica",M240)))</formula>
    </cfRule>
    <cfRule type="containsText" dxfId="3194" priority="3487" operator="containsText" text="Fallido">
      <formula>NOT(ISERROR(SEARCH("Fallido",M240)))</formula>
    </cfRule>
    <cfRule type="containsText" dxfId="3193" priority="3488" operator="containsText" text="Éxitoso">
      <formula>NOT(ISERROR(SEARCH("Éxitoso",M240)))</formula>
    </cfRule>
  </conditionalFormatting>
  <conditionalFormatting sqref="G240">
    <cfRule type="containsText" dxfId="3192" priority="3481" operator="containsText" text="Bajo">
      <formula>NOT(ISERROR(SEARCH("Bajo",G240)))</formula>
    </cfRule>
    <cfRule type="containsText" dxfId="3191" priority="3482" operator="containsText" text="Medio">
      <formula>NOT(ISERROR(SEARCH("Medio",G240)))</formula>
    </cfRule>
    <cfRule type="containsText" dxfId="3190" priority="3483" operator="containsText" text="Alto">
      <formula>NOT(ISERROR(SEARCH("Alto",G240)))</formula>
    </cfRule>
  </conditionalFormatting>
  <conditionalFormatting sqref="N241">
    <cfRule type="containsText" dxfId="3189" priority="3476" operator="containsText" text="No se pudo ejecutar">
      <formula>NOT(ISERROR(SEARCH("No se pudo ejecutar",N241)))</formula>
    </cfRule>
    <cfRule type="containsText" dxfId="3188" priority="3477" operator="containsText" text="Pendiente">
      <formula>NOT(ISERROR(SEARCH("Pendiente",N241)))</formula>
    </cfRule>
    <cfRule type="containsText" dxfId="3187" priority="3478" operator="containsText" text="No Aplica">
      <formula>NOT(ISERROR(SEARCH("No Aplica",N241)))</formula>
    </cfRule>
    <cfRule type="containsText" dxfId="3186" priority="3479" operator="containsText" text="Fallido">
      <formula>NOT(ISERROR(SEARCH("Fallido",N241)))</formula>
    </cfRule>
    <cfRule type="containsText" dxfId="3185" priority="3480" operator="containsText" text="Éxitoso">
      <formula>NOT(ISERROR(SEARCH("Éxitoso",N241)))</formula>
    </cfRule>
  </conditionalFormatting>
  <conditionalFormatting sqref="O241">
    <cfRule type="containsText" dxfId="3184" priority="3471" operator="containsText" text="No se pudo ejecutar">
      <formula>NOT(ISERROR(SEARCH("No se pudo ejecutar",O241)))</formula>
    </cfRule>
    <cfRule type="containsText" dxfId="3183" priority="3472" operator="containsText" text="Pendiente">
      <formula>NOT(ISERROR(SEARCH("Pendiente",O241)))</formula>
    </cfRule>
    <cfRule type="containsText" dxfId="3182" priority="3473" operator="containsText" text="No Aplica">
      <formula>NOT(ISERROR(SEARCH("No Aplica",O241)))</formula>
    </cfRule>
    <cfRule type="containsText" dxfId="3181" priority="3474" operator="containsText" text="Fallido">
      <formula>NOT(ISERROR(SEARCH("Fallido",O241)))</formula>
    </cfRule>
    <cfRule type="containsText" dxfId="3180" priority="3475" operator="containsText" text="Éxitoso">
      <formula>NOT(ISERROR(SEARCH("Éxitoso",O241)))</formula>
    </cfRule>
  </conditionalFormatting>
  <conditionalFormatting sqref="P241">
    <cfRule type="containsText" dxfId="3179" priority="3466" operator="containsText" text="No se pudo ejecutar">
      <formula>NOT(ISERROR(SEARCH("No se pudo ejecutar",P241)))</formula>
    </cfRule>
    <cfRule type="containsText" dxfId="3178" priority="3467" operator="containsText" text="Pendiente">
      <formula>NOT(ISERROR(SEARCH("Pendiente",P241)))</formula>
    </cfRule>
    <cfRule type="containsText" dxfId="3177" priority="3468" operator="containsText" text="No Aplica">
      <formula>NOT(ISERROR(SEARCH("No Aplica",P241)))</formula>
    </cfRule>
    <cfRule type="containsText" dxfId="3176" priority="3469" operator="containsText" text="Fallido">
      <formula>NOT(ISERROR(SEARCH("Fallido",P241)))</formula>
    </cfRule>
    <cfRule type="containsText" dxfId="3175" priority="3470" operator="containsText" text="Éxitoso">
      <formula>NOT(ISERROR(SEARCH("Éxitoso",P241)))</formula>
    </cfRule>
  </conditionalFormatting>
  <conditionalFormatting sqref="Q241">
    <cfRule type="containsText" dxfId="3174" priority="3461" operator="containsText" text="No se pudo ejecutar">
      <formula>NOT(ISERROR(SEARCH("No se pudo ejecutar",Q241)))</formula>
    </cfRule>
    <cfRule type="containsText" dxfId="3173" priority="3462" operator="containsText" text="Pendiente">
      <formula>NOT(ISERROR(SEARCH("Pendiente",Q241)))</formula>
    </cfRule>
    <cfRule type="containsText" dxfId="3172" priority="3463" operator="containsText" text="No Aplica">
      <formula>NOT(ISERROR(SEARCH("No Aplica",Q241)))</formula>
    </cfRule>
    <cfRule type="containsText" dxfId="3171" priority="3464" operator="containsText" text="Fallido">
      <formula>NOT(ISERROR(SEARCH("Fallido",Q241)))</formula>
    </cfRule>
    <cfRule type="containsText" dxfId="3170" priority="3465" operator="containsText" text="Éxitoso">
      <formula>NOT(ISERROR(SEARCH("Éxitoso",Q241)))</formula>
    </cfRule>
  </conditionalFormatting>
  <conditionalFormatting sqref="R241">
    <cfRule type="containsText" dxfId="3169" priority="3456" operator="containsText" text="No se pudo ejecutar">
      <formula>NOT(ISERROR(SEARCH("No se pudo ejecutar",R241)))</formula>
    </cfRule>
    <cfRule type="containsText" dxfId="3168" priority="3457" operator="containsText" text="Pendiente">
      <formula>NOT(ISERROR(SEARCH("Pendiente",R241)))</formula>
    </cfRule>
    <cfRule type="containsText" dxfId="3167" priority="3458" operator="containsText" text="No Aplica">
      <formula>NOT(ISERROR(SEARCH("No Aplica",R241)))</formula>
    </cfRule>
    <cfRule type="containsText" dxfId="3166" priority="3459" operator="containsText" text="Fallido">
      <formula>NOT(ISERROR(SEARCH("Fallido",R241)))</formula>
    </cfRule>
    <cfRule type="containsText" dxfId="3165" priority="3460" operator="containsText" text="Éxitoso">
      <formula>NOT(ISERROR(SEARCH("Éxitoso",R241)))</formula>
    </cfRule>
  </conditionalFormatting>
  <conditionalFormatting sqref="S241">
    <cfRule type="containsText" dxfId="3164" priority="3451" operator="containsText" text="No se pudo ejecutar">
      <formula>NOT(ISERROR(SEARCH("No se pudo ejecutar",S241)))</formula>
    </cfRule>
    <cfRule type="containsText" dxfId="3163" priority="3452" operator="containsText" text="Pendiente">
      <formula>NOT(ISERROR(SEARCH("Pendiente",S241)))</formula>
    </cfRule>
    <cfRule type="containsText" dxfId="3162" priority="3453" operator="containsText" text="No Aplica">
      <formula>NOT(ISERROR(SEARCH("No Aplica",S241)))</formula>
    </cfRule>
    <cfRule type="containsText" dxfId="3161" priority="3454" operator="containsText" text="Fallido">
      <formula>NOT(ISERROR(SEARCH("Fallido",S241)))</formula>
    </cfRule>
    <cfRule type="containsText" dxfId="3160" priority="3455" operator="containsText" text="Éxitoso">
      <formula>NOT(ISERROR(SEARCH("Éxitoso",S241)))</formula>
    </cfRule>
  </conditionalFormatting>
  <conditionalFormatting sqref="T241">
    <cfRule type="containsText" dxfId="3159" priority="3446" operator="containsText" text="No se pudo ejecutar">
      <formula>NOT(ISERROR(SEARCH("No se pudo ejecutar",T241)))</formula>
    </cfRule>
    <cfRule type="containsText" dxfId="3158" priority="3447" operator="containsText" text="Pendiente">
      <formula>NOT(ISERROR(SEARCH("Pendiente",T241)))</formula>
    </cfRule>
    <cfRule type="containsText" dxfId="3157" priority="3448" operator="containsText" text="No Aplica">
      <formula>NOT(ISERROR(SEARCH("No Aplica",T241)))</formula>
    </cfRule>
    <cfRule type="containsText" dxfId="3156" priority="3449" operator="containsText" text="Fallido">
      <formula>NOT(ISERROR(SEARCH("Fallido",T241)))</formula>
    </cfRule>
    <cfRule type="containsText" dxfId="3155" priority="3450" operator="containsText" text="Éxitoso">
      <formula>NOT(ISERROR(SEARCH("Éxitoso",T241)))</formula>
    </cfRule>
  </conditionalFormatting>
  <conditionalFormatting sqref="U241">
    <cfRule type="containsText" dxfId="3154" priority="3441" operator="containsText" text="No se pudo ejecutar">
      <formula>NOT(ISERROR(SEARCH("No se pudo ejecutar",U241)))</formula>
    </cfRule>
    <cfRule type="containsText" dxfId="3153" priority="3442" operator="containsText" text="Pendiente">
      <formula>NOT(ISERROR(SEARCH("Pendiente",U241)))</formula>
    </cfRule>
    <cfRule type="containsText" dxfId="3152" priority="3443" operator="containsText" text="No Aplica">
      <formula>NOT(ISERROR(SEARCH("No Aplica",U241)))</formula>
    </cfRule>
    <cfRule type="containsText" dxfId="3151" priority="3444" operator="containsText" text="Fallido">
      <formula>NOT(ISERROR(SEARCH("Fallido",U241)))</formula>
    </cfRule>
    <cfRule type="containsText" dxfId="3150" priority="3445" operator="containsText" text="Éxitoso">
      <formula>NOT(ISERROR(SEARCH("Éxitoso",U241)))</formula>
    </cfRule>
  </conditionalFormatting>
  <conditionalFormatting sqref="V241">
    <cfRule type="containsText" dxfId="3149" priority="3436" operator="containsText" text="No se pudo ejecutar">
      <formula>NOT(ISERROR(SEARCH("No se pudo ejecutar",V241)))</formula>
    </cfRule>
    <cfRule type="containsText" dxfId="3148" priority="3437" operator="containsText" text="Pendiente">
      <formula>NOT(ISERROR(SEARCH("Pendiente",V241)))</formula>
    </cfRule>
    <cfRule type="containsText" dxfId="3147" priority="3438" operator="containsText" text="No Aplica">
      <formula>NOT(ISERROR(SEARCH("No Aplica",V241)))</formula>
    </cfRule>
    <cfRule type="containsText" dxfId="3146" priority="3439" operator="containsText" text="Fallido">
      <formula>NOT(ISERROR(SEARCH("Fallido",V241)))</formula>
    </cfRule>
    <cfRule type="containsText" dxfId="3145" priority="3440" operator="containsText" text="Éxitoso">
      <formula>NOT(ISERROR(SEARCH("Éxitoso",V241)))</formula>
    </cfRule>
  </conditionalFormatting>
  <conditionalFormatting sqref="W241">
    <cfRule type="containsText" dxfId="3144" priority="3431" operator="containsText" text="No se pudo ejecutar">
      <formula>NOT(ISERROR(SEARCH("No se pudo ejecutar",W241)))</formula>
    </cfRule>
    <cfRule type="containsText" dxfId="3143" priority="3432" operator="containsText" text="Pendiente">
      <formula>NOT(ISERROR(SEARCH("Pendiente",W241)))</formula>
    </cfRule>
    <cfRule type="containsText" dxfId="3142" priority="3433" operator="containsText" text="No Aplica">
      <formula>NOT(ISERROR(SEARCH("No Aplica",W241)))</formula>
    </cfRule>
    <cfRule type="containsText" dxfId="3141" priority="3434" operator="containsText" text="Fallido">
      <formula>NOT(ISERROR(SEARCH("Fallido",W241)))</formula>
    </cfRule>
    <cfRule type="containsText" dxfId="3140" priority="3435" operator="containsText" text="Éxitoso">
      <formula>NOT(ISERROR(SEARCH("Éxitoso",W241)))</formula>
    </cfRule>
  </conditionalFormatting>
  <conditionalFormatting sqref="M241">
    <cfRule type="containsText" dxfId="3139" priority="3426" operator="containsText" text="No se pudo ejecutar">
      <formula>NOT(ISERROR(SEARCH("No se pudo ejecutar",M241)))</formula>
    </cfRule>
    <cfRule type="containsText" dxfId="3138" priority="3427" operator="containsText" text="Pendiente">
      <formula>NOT(ISERROR(SEARCH("Pendiente",M241)))</formula>
    </cfRule>
    <cfRule type="containsText" dxfId="3137" priority="3428" operator="containsText" text="No Aplica">
      <formula>NOT(ISERROR(SEARCH("No Aplica",M241)))</formula>
    </cfRule>
    <cfRule type="containsText" dxfId="3136" priority="3429" operator="containsText" text="Fallido">
      <formula>NOT(ISERROR(SEARCH("Fallido",M241)))</formula>
    </cfRule>
    <cfRule type="containsText" dxfId="3135" priority="3430" operator="containsText" text="Éxitoso">
      <formula>NOT(ISERROR(SEARCH("Éxitoso",M241)))</formula>
    </cfRule>
  </conditionalFormatting>
  <conditionalFormatting sqref="G241">
    <cfRule type="containsText" dxfId="3134" priority="3423" operator="containsText" text="Bajo">
      <formula>NOT(ISERROR(SEARCH("Bajo",G241)))</formula>
    </cfRule>
    <cfRule type="containsText" dxfId="3133" priority="3424" operator="containsText" text="Medio">
      <formula>NOT(ISERROR(SEARCH("Medio",G241)))</formula>
    </cfRule>
    <cfRule type="containsText" dxfId="3132" priority="3425" operator="containsText" text="Alto">
      <formula>NOT(ISERROR(SEARCH("Alto",G241)))</formula>
    </cfRule>
  </conditionalFormatting>
  <conditionalFormatting sqref="N242">
    <cfRule type="containsText" dxfId="3131" priority="3418" operator="containsText" text="No se pudo ejecutar">
      <formula>NOT(ISERROR(SEARCH("No se pudo ejecutar",N242)))</formula>
    </cfRule>
    <cfRule type="containsText" dxfId="3130" priority="3419" operator="containsText" text="Pendiente">
      <formula>NOT(ISERROR(SEARCH("Pendiente",N242)))</formula>
    </cfRule>
    <cfRule type="containsText" dxfId="3129" priority="3420" operator="containsText" text="No Aplica">
      <formula>NOT(ISERROR(SEARCH("No Aplica",N242)))</formula>
    </cfRule>
    <cfRule type="containsText" dxfId="3128" priority="3421" operator="containsText" text="Fallido">
      <formula>NOT(ISERROR(SEARCH("Fallido",N242)))</formula>
    </cfRule>
    <cfRule type="containsText" dxfId="3127" priority="3422" operator="containsText" text="Éxitoso">
      <formula>NOT(ISERROR(SEARCH("Éxitoso",N242)))</formula>
    </cfRule>
  </conditionalFormatting>
  <conditionalFormatting sqref="O242">
    <cfRule type="containsText" dxfId="3126" priority="3413" operator="containsText" text="No se pudo ejecutar">
      <formula>NOT(ISERROR(SEARCH("No se pudo ejecutar",O242)))</formula>
    </cfRule>
    <cfRule type="containsText" dxfId="3125" priority="3414" operator="containsText" text="Pendiente">
      <formula>NOT(ISERROR(SEARCH("Pendiente",O242)))</formula>
    </cfRule>
    <cfRule type="containsText" dxfId="3124" priority="3415" operator="containsText" text="No Aplica">
      <formula>NOT(ISERROR(SEARCH("No Aplica",O242)))</formula>
    </cfRule>
    <cfRule type="containsText" dxfId="3123" priority="3416" operator="containsText" text="Fallido">
      <formula>NOT(ISERROR(SEARCH("Fallido",O242)))</formula>
    </cfRule>
    <cfRule type="containsText" dxfId="3122" priority="3417" operator="containsText" text="Éxitoso">
      <formula>NOT(ISERROR(SEARCH("Éxitoso",O242)))</formula>
    </cfRule>
  </conditionalFormatting>
  <conditionalFormatting sqref="P242">
    <cfRule type="containsText" dxfId="3121" priority="3408" operator="containsText" text="No se pudo ejecutar">
      <formula>NOT(ISERROR(SEARCH("No se pudo ejecutar",P242)))</formula>
    </cfRule>
    <cfRule type="containsText" dxfId="3120" priority="3409" operator="containsText" text="Pendiente">
      <formula>NOT(ISERROR(SEARCH("Pendiente",P242)))</formula>
    </cfRule>
    <cfRule type="containsText" dxfId="3119" priority="3410" operator="containsText" text="No Aplica">
      <formula>NOT(ISERROR(SEARCH("No Aplica",P242)))</formula>
    </cfRule>
    <cfRule type="containsText" dxfId="3118" priority="3411" operator="containsText" text="Fallido">
      <formula>NOT(ISERROR(SEARCH("Fallido",P242)))</formula>
    </cfRule>
    <cfRule type="containsText" dxfId="3117" priority="3412" operator="containsText" text="Éxitoso">
      <formula>NOT(ISERROR(SEARCH("Éxitoso",P242)))</formula>
    </cfRule>
  </conditionalFormatting>
  <conditionalFormatting sqref="Q242">
    <cfRule type="containsText" dxfId="3116" priority="3403" operator="containsText" text="No se pudo ejecutar">
      <formula>NOT(ISERROR(SEARCH("No se pudo ejecutar",Q242)))</formula>
    </cfRule>
    <cfRule type="containsText" dxfId="3115" priority="3404" operator="containsText" text="Pendiente">
      <formula>NOT(ISERROR(SEARCH("Pendiente",Q242)))</formula>
    </cfRule>
    <cfRule type="containsText" dxfId="3114" priority="3405" operator="containsText" text="No Aplica">
      <formula>NOT(ISERROR(SEARCH("No Aplica",Q242)))</formula>
    </cfRule>
    <cfRule type="containsText" dxfId="3113" priority="3406" operator="containsText" text="Fallido">
      <formula>NOT(ISERROR(SEARCH("Fallido",Q242)))</formula>
    </cfRule>
    <cfRule type="containsText" dxfId="3112" priority="3407" operator="containsText" text="Éxitoso">
      <formula>NOT(ISERROR(SEARCH("Éxitoso",Q242)))</formula>
    </cfRule>
  </conditionalFormatting>
  <conditionalFormatting sqref="R242">
    <cfRule type="containsText" dxfId="3111" priority="3398" operator="containsText" text="No se pudo ejecutar">
      <formula>NOT(ISERROR(SEARCH("No se pudo ejecutar",R242)))</formula>
    </cfRule>
    <cfRule type="containsText" dxfId="3110" priority="3399" operator="containsText" text="Pendiente">
      <formula>NOT(ISERROR(SEARCH("Pendiente",R242)))</formula>
    </cfRule>
    <cfRule type="containsText" dxfId="3109" priority="3400" operator="containsText" text="No Aplica">
      <formula>NOT(ISERROR(SEARCH("No Aplica",R242)))</formula>
    </cfRule>
    <cfRule type="containsText" dxfId="3108" priority="3401" operator="containsText" text="Fallido">
      <formula>NOT(ISERROR(SEARCH("Fallido",R242)))</formula>
    </cfRule>
    <cfRule type="containsText" dxfId="3107" priority="3402" operator="containsText" text="Éxitoso">
      <formula>NOT(ISERROR(SEARCH("Éxitoso",R242)))</formula>
    </cfRule>
  </conditionalFormatting>
  <conditionalFormatting sqref="S242">
    <cfRule type="containsText" dxfId="3106" priority="3393" operator="containsText" text="No se pudo ejecutar">
      <formula>NOT(ISERROR(SEARCH("No se pudo ejecutar",S242)))</formula>
    </cfRule>
    <cfRule type="containsText" dxfId="3105" priority="3394" operator="containsText" text="Pendiente">
      <formula>NOT(ISERROR(SEARCH("Pendiente",S242)))</formula>
    </cfRule>
    <cfRule type="containsText" dxfId="3104" priority="3395" operator="containsText" text="No Aplica">
      <formula>NOT(ISERROR(SEARCH("No Aplica",S242)))</formula>
    </cfRule>
    <cfRule type="containsText" dxfId="3103" priority="3396" operator="containsText" text="Fallido">
      <formula>NOT(ISERROR(SEARCH("Fallido",S242)))</formula>
    </cfRule>
    <cfRule type="containsText" dxfId="3102" priority="3397" operator="containsText" text="Éxitoso">
      <formula>NOT(ISERROR(SEARCH("Éxitoso",S242)))</formula>
    </cfRule>
  </conditionalFormatting>
  <conditionalFormatting sqref="T242">
    <cfRule type="containsText" dxfId="3101" priority="3388" operator="containsText" text="No se pudo ejecutar">
      <formula>NOT(ISERROR(SEARCH("No se pudo ejecutar",T242)))</formula>
    </cfRule>
    <cfRule type="containsText" dxfId="3100" priority="3389" operator="containsText" text="Pendiente">
      <formula>NOT(ISERROR(SEARCH("Pendiente",T242)))</formula>
    </cfRule>
    <cfRule type="containsText" dxfId="3099" priority="3390" operator="containsText" text="No Aplica">
      <formula>NOT(ISERROR(SEARCH("No Aplica",T242)))</formula>
    </cfRule>
    <cfRule type="containsText" dxfId="3098" priority="3391" operator="containsText" text="Fallido">
      <formula>NOT(ISERROR(SEARCH("Fallido",T242)))</formula>
    </cfRule>
    <cfRule type="containsText" dxfId="3097" priority="3392" operator="containsText" text="Éxitoso">
      <formula>NOT(ISERROR(SEARCH("Éxitoso",T242)))</formula>
    </cfRule>
  </conditionalFormatting>
  <conditionalFormatting sqref="U242">
    <cfRule type="containsText" dxfId="3096" priority="3383" operator="containsText" text="No se pudo ejecutar">
      <formula>NOT(ISERROR(SEARCH("No se pudo ejecutar",U242)))</formula>
    </cfRule>
    <cfRule type="containsText" dxfId="3095" priority="3384" operator="containsText" text="Pendiente">
      <formula>NOT(ISERROR(SEARCH("Pendiente",U242)))</formula>
    </cfRule>
    <cfRule type="containsText" dxfId="3094" priority="3385" operator="containsText" text="No Aplica">
      <formula>NOT(ISERROR(SEARCH("No Aplica",U242)))</formula>
    </cfRule>
    <cfRule type="containsText" dxfId="3093" priority="3386" operator="containsText" text="Fallido">
      <formula>NOT(ISERROR(SEARCH("Fallido",U242)))</formula>
    </cfRule>
    <cfRule type="containsText" dxfId="3092" priority="3387" operator="containsText" text="Éxitoso">
      <formula>NOT(ISERROR(SEARCH("Éxitoso",U242)))</formula>
    </cfRule>
  </conditionalFormatting>
  <conditionalFormatting sqref="V242">
    <cfRule type="containsText" dxfId="3091" priority="3378" operator="containsText" text="No se pudo ejecutar">
      <formula>NOT(ISERROR(SEARCH("No se pudo ejecutar",V242)))</formula>
    </cfRule>
    <cfRule type="containsText" dxfId="3090" priority="3379" operator="containsText" text="Pendiente">
      <formula>NOT(ISERROR(SEARCH("Pendiente",V242)))</formula>
    </cfRule>
    <cfRule type="containsText" dxfId="3089" priority="3380" operator="containsText" text="No Aplica">
      <formula>NOT(ISERROR(SEARCH("No Aplica",V242)))</formula>
    </cfRule>
    <cfRule type="containsText" dxfId="3088" priority="3381" operator="containsText" text="Fallido">
      <formula>NOT(ISERROR(SEARCH("Fallido",V242)))</formula>
    </cfRule>
    <cfRule type="containsText" dxfId="3087" priority="3382" operator="containsText" text="Éxitoso">
      <formula>NOT(ISERROR(SEARCH("Éxitoso",V242)))</formula>
    </cfRule>
  </conditionalFormatting>
  <conditionalFormatting sqref="W242">
    <cfRule type="containsText" dxfId="3086" priority="3373" operator="containsText" text="No se pudo ejecutar">
      <formula>NOT(ISERROR(SEARCH("No se pudo ejecutar",W242)))</formula>
    </cfRule>
    <cfRule type="containsText" dxfId="3085" priority="3374" operator="containsText" text="Pendiente">
      <formula>NOT(ISERROR(SEARCH("Pendiente",W242)))</formula>
    </cfRule>
    <cfRule type="containsText" dxfId="3084" priority="3375" operator="containsText" text="No Aplica">
      <formula>NOT(ISERROR(SEARCH("No Aplica",W242)))</formula>
    </cfRule>
    <cfRule type="containsText" dxfId="3083" priority="3376" operator="containsText" text="Fallido">
      <formula>NOT(ISERROR(SEARCH("Fallido",W242)))</formula>
    </cfRule>
    <cfRule type="containsText" dxfId="3082" priority="3377" operator="containsText" text="Éxitoso">
      <formula>NOT(ISERROR(SEARCH("Éxitoso",W242)))</formula>
    </cfRule>
  </conditionalFormatting>
  <conditionalFormatting sqref="M242">
    <cfRule type="containsText" dxfId="3081" priority="3368" operator="containsText" text="No se pudo ejecutar">
      <formula>NOT(ISERROR(SEARCH("No se pudo ejecutar",M242)))</formula>
    </cfRule>
    <cfRule type="containsText" dxfId="3080" priority="3369" operator="containsText" text="Pendiente">
      <formula>NOT(ISERROR(SEARCH("Pendiente",M242)))</formula>
    </cfRule>
    <cfRule type="containsText" dxfId="3079" priority="3370" operator="containsText" text="No Aplica">
      <formula>NOT(ISERROR(SEARCH("No Aplica",M242)))</formula>
    </cfRule>
    <cfRule type="containsText" dxfId="3078" priority="3371" operator="containsText" text="Fallido">
      <formula>NOT(ISERROR(SEARCH("Fallido",M242)))</formula>
    </cfRule>
    <cfRule type="containsText" dxfId="3077" priority="3372" operator="containsText" text="Éxitoso">
      <formula>NOT(ISERROR(SEARCH("Éxitoso",M242)))</formula>
    </cfRule>
  </conditionalFormatting>
  <conditionalFormatting sqref="G242">
    <cfRule type="containsText" dxfId="3076" priority="3365" operator="containsText" text="Bajo">
      <formula>NOT(ISERROR(SEARCH("Bajo",G242)))</formula>
    </cfRule>
    <cfRule type="containsText" dxfId="3075" priority="3366" operator="containsText" text="Medio">
      <formula>NOT(ISERROR(SEARCH("Medio",G242)))</formula>
    </cfRule>
    <cfRule type="containsText" dxfId="3074" priority="3367" operator="containsText" text="Alto">
      <formula>NOT(ISERROR(SEARCH("Alto",G242)))</formula>
    </cfRule>
  </conditionalFormatting>
  <conditionalFormatting sqref="N243">
    <cfRule type="containsText" dxfId="3073" priority="3360" operator="containsText" text="No se pudo ejecutar">
      <formula>NOT(ISERROR(SEARCH("No se pudo ejecutar",N243)))</formula>
    </cfRule>
    <cfRule type="containsText" dxfId="3072" priority="3361" operator="containsText" text="Pendiente">
      <formula>NOT(ISERROR(SEARCH("Pendiente",N243)))</formula>
    </cfRule>
    <cfRule type="containsText" dxfId="3071" priority="3362" operator="containsText" text="No Aplica">
      <formula>NOT(ISERROR(SEARCH("No Aplica",N243)))</formula>
    </cfRule>
    <cfRule type="containsText" dxfId="3070" priority="3363" operator="containsText" text="Fallido">
      <formula>NOT(ISERROR(SEARCH("Fallido",N243)))</formula>
    </cfRule>
    <cfRule type="containsText" dxfId="3069" priority="3364" operator="containsText" text="Éxitoso">
      <formula>NOT(ISERROR(SEARCH("Éxitoso",N243)))</formula>
    </cfRule>
  </conditionalFormatting>
  <conditionalFormatting sqref="O243">
    <cfRule type="containsText" dxfId="3068" priority="3355" operator="containsText" text="No se pudo ejecutar">
      <formula>NOT(ISERROR(SEARCH("No se pudo ejecutar",O243)))</formula>
    </cfRule>
    <cfRule type="containsText" dxfId="3067" priority="3356" operator="containsText" text="Pendiente">
      <formula>NOT(ISERROR(SEARCH("Pendiente",O243)))</formula>
    </cfRule>
    <cfRule type="containsText" dxfId="3066" priority="3357" operator="containsText" text="No Aplica">
      <formula>NOT(ISERROR(SEARCH("No Aplica",O243)))</formula>
    </cfRule>
    <cfRule type="containsText" dxfId="3065" priority="3358" operator="containsText" text="Fallido">
      <formula>NOT(ISERROR(SEARCH("Fallido",O243)))</formula>
    </cfRule>
    <cfRule type="containsText" dxfId="3064" priority="3359" operator="containsText" text="Éxitoso">
      <formula>NOT(ISERROR(SEARCH("Éxitoso",O243)))</formula>
    </cfRule>
  </conditionalFormatting>
  <conditionalFormatting sqref="P243">
    <cfRule type="containsText" dxfId="3063" priority="3350" operator="containsText" text="No se pudo ejecutar">
      <formula>NOT(ISERROR(SEARCH("No se pudo ejecutar",P243)))</formula>
    </cfRule>
    <cfRule type="containsText" dxfId="3062" priority="3351" operator="containsText" text="Pendiente">
      <formula>NOT(ISERROR(SEARCH("Pendiente",P243)))</formula>
    </cfRule>
    <cfRule type="containsText" dxfId="3061" priority="3352" operator="containsText" text="No Aplica">
      <formula>NOT(ISERROR(SEARCH("No Aplica",P243)))</formula>
    </cfRule>
    <cfRule type="containsText" dxfId="3060" priority="3353" operator="containsText" text="Fallido">
      <formula>NOT(ISERROR(SEARCH("Fallido",P243)))</formula>
    </cfRule>
    <cfRule type="containsText" dxfId="3059" priority="3354" operator="containsText" text="Éxitoso">
      <formula>NOT(ISERROR(SEARCH("Éxitoso",P243)))</formula>
    </cfRule>
  </conditionalFormatting>
  <conditionalFormatting sqref="Q243">
    <cfRule type="containsText" dxfId="3058" priority="3345" operator="containsText" text="No se pudo ejecutar">
      <formula>NOT(ISERROR(SEARCH("No se pudo ejecutar",Q243)))</formula>
    </cfRule>
    <cfRule type="containsText" dxfId="3057" priority="3346" operator="containsText" text="Pendiente">
      <formula>NOT(ISERROR(SEARCH("Pendiente",Q243)))</formula>
    </cfRule>
    <cfRule type="containsText" dxfId="3056" priority="3347" operator="containsText" text="No Aplica">
      <formula>NOT(ISERROR(SEARCH("No Aplica",Q243)))</formula>
    </cfRule>
    <cfRule type="containsText" dxfId="3055" priority="3348" operator="containsText" text="Fallido">
      <formula>NOT(ISERROR(SEARCH("Fallido",Q243)))</formula>
    </cfRule>
    <cfRule type="containsText" dxfId="3054" priority="3349" operator="containsText" text="Éxitoso">
      <formula>NOT(ISERROR(SEARCH("Éxitoso",Q243)))</formula>
    </cfRule>
  </conditionalFormatting>
  <conditionalFormatting sqref="R243">
    <cfRule type="containsText" dxfId="3053" priority="3340" operator="containsText" text="No se pudo ejecutar">
      <formula>NOT(ISERROR(SEARCH("No se pudo ejecutar",R243)))</formula>
    </cfRule>
    <cfRule type="containsText" dxfId="3052" priority="3341" operator="containsText" text="Pendiente">
      <formula>NOT(ISERROR(SEARCH("Pendiente",R243)))</formula>
    </cfRule>
    <cfRule type="containsText" dxfId="3051" priority="3342" operator="containsText" text="No Aplica">
      <formula>NOT(ISERROR(SEARCH("No Aplica",R243)))</formula>
    </cfRule>
    <cfRule type="containsText" dxfId="3050" priority="3343" operator="containsText" text="Fallido">
      <formula>NOT(ISERROR(SEARCH("Fallido",R243)))</formula>
    </cfRule>
    <cfRule type="containsText" dxfId="3049" priority="3344" operator="containsText" text="Éxitoso">
      <formula>NOT(ISERROR(SEARCH("Éxitoso",R243)))</formula>
    </cfRule>
  </conditionalFormatting>
  <conditionalFormatting sqref="S243">
    <cfRule type="containsText" dxfId="3048" priority="3335" operator="containsText" text="No se pudo ejecutar">
      <formula>NOT(ISERROR(SEARCH("No se pudo ejecutar",S243)))</formula>
    </cfRule>
    <cfRule type="containsText" dxfId="3047" priority="3336" operator="containsText" text="Pendiente">
      <formula>NOT(ISERROR(SEARCH("Pendiente",S243)))</formula>
    </cfRule>
    <cfRule type="containsText" dxfId="3046" priority="3337" operator="containsText" text="No Aplica">
      <formula>NOT(ISERROR(SEARCH("No Aplica",S243)))</formula>
    </cfRule>
    <cfRule type="containsText" dxfId="3045" priority="3338" operator="containsText" text="Fallido">
      <formula>NOT(ISERROR(SEARCH("Fallido",S243)))</formula>
    </cfRule>
    <cfRule type="containsText" dxfId="3044" priority="3339" operator="containsText" text="Éxitoso">
      <formula>NOT(ISERROR(SEARCH("Éxitoso",S243)))</formula>
    </cfRule>
  </conditionalFormatting>
  <conditionalFormatting sqref="T243">
    <cfRule type="containsText" dxfId="3043" priority="3330" operator="containsText" text="No se pudo ejecutar">
      <formula>NOT(ISERROR(SEARCH("No se pudo ejecutar",T243)))</formula>
    </cfRule>
    <cfRule type="containsText" dxfId="3042" priority="3331" operator="containsText" text="Pendiente">
      <formula>NOT(ISERROR(SEARCH("Pendiente",T243)))</formula>
    </cfRule>
    <cfRule type="containsText" dxfId="3041" priority="3332" operator="containsText" text="No Aplica">
      <formula>NOT(ISERROR(SEARCH("No Aplica",T243)))</formula>
    </cfRule>
    <cfRule type="containsText" dxfId="3040" priority="3333" operator="containsText" text="Fallido">
      <formula>NOT(ISERROR(SEARCH("Fallido",T243)))</formula>
    </cfRule>
    <cfRule type="containsText" dxfId="3039" priority="3334" operator="containsText" text="Éxitoso">
      <formula>NOT(ISERROR(SEARCH("Éxitoso",T243)))</formula>
    </cfRule>
  </conditionalFormatting>
  <conditionalFormatting sqref="U243">
    <cfRule type="containsText" dxfId="3038" priority="3325" operator="containsText" text="No se pudo ejecutar">
      <formula>NOT(ISERROR(SEARCH("No se pudo ejecutar",U243)))</formula>
    </cfRule>
    <cfRule type="containsText" dxfId="3037" priority="3326" operator="containsText" text="Pendiente">
      <formula>NOT(ISERROR(SEARCH("Pendiente",U243)))</formula>
    </cfRule>
    <cfRule type="containsText" dxfId="3036" priority="3327" operator="containsText" text="No Aplica">
      <formula>NOT(ISERROR(SEARCH("No Aplica",U243)))</formula>
    </cfRule>
    <cfRule type="containsText" dxfId="3035" priority="3328" operator="containsText" text="Fallido">
      <formula>NOT(ISERROR(SEARCH("Fallido",U243)))</formula>
    </cfRule>
    <cfRule type="containsText" dxfId="3034" priority="3329" operator="containsText" text="Éxitoso">
      <formula>NOT(ISERROR(SEARCH("Éxitoso",U243)))</formula>
    </cfRule>
  </conditionalFormatting>
  <conditionalFormatting sqref="V243">
    <cfRule type="containsText" dxfId="3033" priority="3320" operator="containsText" text="No se pudo ejecutar">
      <formula>NOT(ISERROR(SEARCH("No se pudo ejecutar",V243)))</formula>
    </cfRule>
    <cfRule type="containsText" dxfId="3032" priority="3321" operator="containsText" text="Pendiente">
      <formula>NOT(ISERROR(SEARCH("Pendiente",V243)))</formula>
    </cfRule>
    <cfRule type="containsText" dxfId="3031" priority="3322" operator="containsText" text="No Aplica">
      <formula>NOT(ISERROR(SEARCH("No Aplica",V243)))</formula>
    </cfRule>
    <cfRule type="containsText" dxfId="3030" priority="3323" operator="containsText" text="Fallido">
      <formula>NOT(ISERROR(SEARCH("Fallido",V243)))</formula>
    </cfRule>
    <cfRule type="containsText" dxfId="3029" priority="3324" operator="containsText" text="Éxitoso">
      <formula>NOT(ISERROR(SEARCH("Éxitoso",V243)))</formula>
    </cfRule>
  </conditionalFormatting>
  <conditionalFormatting sqref="W243">
    <cfRule type="containsText" dxfId="3028" priority="3315" operator="containsText" text="No se pudo ejecutar">
      <formula>NOT(ISERROR(SEARCH("No se pudo ejecutar",W243)))</formula>
    </cfRule>
    <cfRule type="containsText" dxfId="3027" priority="3316" operator="containsText" text="Pendiente">
      <formula>NOT(ISERROR(SEARCH("Pendiente",W243)))</formula>
    </cfRule>
    <cfRule type="containsText" dxfId="3026" priority="3317" operator="containsText" text="No Aplica">
      <formula>NOT(ISERROR(SEARCH("No Aplica",W243)))</formula>
    </cfRule>
    <cfRule type="containsText" dxfId="3025" priority="3318" operator="containsText" text="Fallido">
      <formula>NOT(ISERROR(SEARCH("Fallido",W243)))</formula>
    </cfRule>
    <cfRule type="containsText" dxfId="3024" priority="3319" operator="containsText" text="Éxitoso">
      <formula>NOT(ISERROR(SEARCH("Éxitoso",W243)))</formula>
    </cfRule>
  </conditionalFormatting>
  <conditionalFormatting sqref="M243">
    <cfRule type="containsText" dxfId="3023" priority="3310" operator="containsText" text="No se pudo ejecutar">
      <formula>NOT(ISERROR(SEARCH("No se pudo ejecutar",M243)))</formula>
    </cfRule>
    <cfRule type="containsText" dxfId="3022" priority="3311" operator="containsText" text="Pendiente">
      <formula>NOT(ISERROR(SEARCH("Pendiente",M243)))</formula>
    </cfRule>
    <cfRule type="containsText" dxfId="3021" priority="3312" operator="containsText" text="No Aplica">
      <formula>NOT(ISERROR(SEARCH("No Aplica",M243)))</formula>
    </cfRule>
    <cfRule type="containsText" dxfId="3020" priority="3313" operator="containsText" text="Fallido">
      <formula>NOT(ISERROR(SEARCH("Fallido",M243)))</formula>
    </cfRule>
    <cfRule type="containsText" dxfId="3019" priority="3314" operator="containsText" text="Éxitoso">
      <formula>NOT(ISERROR(SEARCH("Éxitoso",M243)))</formula>
    </cfRule>
  </conditionalFormatting>
  <conditionalFormatting sqref="G243">
    <cfRule type="containsText" dxfId="3018" priority="3307" operator="containsText" text="Bajo">
      <formula>NOT(ISERROR(SEARCH("Bajo",G243)))</formula>
    </cfRule>
    <cfRule type="containsText" dxfId="3017" priority="3308" operator="containsText" text="Medio">
      <formula>NOT(ISERROR(SEARCH("Medio",G243)))</formula>
    </cfRule>
    <cfRule type="containsText" dxfId="3016" priority="3309" operator="containsText" text="Alto">
      <formula>NOT(ISERROR(SEARCH("Alto",G243)))</formula>
    </cfRule>
  </conditionalFormatting>
  <conditionalFormatting sqref="N244">
    <cfRule type="containsText" dxfId="3015" priority="3302" operator="containsText" text="No se pudo ejecutar">
      <formula>NOT(ISERROR(SEARCH("No se pudo ejecutar",N244)))</formula>
    </cfRule>
    <cfRule type="containsText" dxfId="3014" priority="3303" operator="containsText" text="Pendiente">
      <formula>NOT(ISERROR(SEARCH("Pendiente",N244)))</formula>
    </cfRule>
    <cfRule type="containsText" dxfId="3013" priority="3304" operator="containsText" text="No Aplica">
      <formula>NOT(ISERROR(SEARCH("No Aplica",N244)))</formula>
    </cfRule>
    <cfRule type="containsText" dxfId="3012" priority="3305" operator="containsText" text="Fallido">
      <formula>NOT(ISERROR(SEARCH("Fallido",N244)))</formula>
    </cfRule>
    <cfRule type="containsText" dxfId="3011" priority="3306" operator="containsText" text="Éxitoso">
      <formula>NOT(ISERROR(SEARCH("Éxitoso",N244)))</formula>
    </cfRule>
  </conditionalFormatting>
  <conditionalFormatting sqref="O244">
    <cfRule type="containsText" dxfId="3010" priority="3297" operator="containsText" text="No se pudo ejecutar">
      <formula>NOT(ISERROR(SEARCH("No se pudo ejecutar",O244)))</formula>
    </cfRule>
    <cfRule type="containsText" dxfId="3009" priority="3298" operator="containsText" text="Pendiente">
      <formula>NOT(ISERROR(SEARCH("Pendiente",O244)))</formula>
    </cfRule>
    <cfRule type="containsText" dxfId="3008" priority="3299" operator="containsText" text="No Aplica">
      <formula>NOT(ISERROR(SEARCH("No Aplica",O244)))</formula>
    </cfRule>
    <cfRule type="containsText" dxfId="3007" priority="3300" operator="containsText" text="Fallido">
      <formula>NOT(ISERROR(SEARCH("Fallido",O244)))</formula>
    </cfRule>
    <cfRule type="containsText" dxfId="3006" priority="3301" operator="containsText" text="Éxitoso">
      <formula>NOT(ISERROR(SEARCH("Éxitoso",O244)))</formula>
    </cfRule>
  </conditionalFormatting>
  <conditionalFormatting sqref="P244">
    <cfRule type="containsText" dxfId="3005" priority="3292" operator="containsText" text="No se pudo ejecutar">
      <formula>NOT(ISERROR(SEARCH("No se pudo ejecutar",P244)))</formula>
    </cfRule>
    <cfRule type="containsText" dxfId="3004" priority="3293" operator="containsText" text="Pendiente">
      <formula>NOT(ISERROR(SEARCH("Pendiente",P244)))</formula>
    </cfRule>
    <cfRule type="containsText" dxfId="3003" priority="3294" operator="containsText" text="No Aplica">
      <formula>NOT(ISERROR(SEARCH("No Aplica",P244)))</formula>
    </cfRule>
    <cfRule type="containsText" dxfId="3002" priority="3295" operator="containsText" text="Fallido">
      <formula>NOT(ISERROR(SEARCH("Fallido",P244)))</formula>
    </cfRule>
    <cfRule type="containsText" dxfId="3001" priority="3296" operator="containsText" text="Éxitoso">
      <formula>NOT(ISERROR(SEARCH("Éxitoso",P244)))</formula>
    </cfRule>
  </conditionalFormatting>
  <conditionalFormatting sqref="Q244">
    <cfRule type="containsText" dxfId="3000" priority="3287" operator="containsText" text="No se pudo ejecutar">
      <formula>NOT(ISERROR(SEARCH("No se pudo ejecutar",Q244)))</formula>
    </cfRule>
    <cfRule type="containsText" dxfId="2999" priority="3288" operator="containsText" text="Pendiente">
      <formula>NOT(ISERROR(SEARCH("Pendiente",Q244)))</formula>
    </cfRule>
    <cfRule type="containsText" dxfId="2998" priority="3289" operator="containsText" text="No Aplica">
      <formula>NOT(ISERROR(SEARCH("No Aplica",Q244)))</formula>
    </cfRule>
    <cfRule type="containsText" dxfId="2997" priority="3290" operator="containsText" text="Fallido">
      <formula>NOT(ISERROR(SEARCH("Fallido",Q244)))</formula>
    </cfRule>
    <cfRule type="containsText" dxfId="2996" priority="3291" operator="containsText" text="Éxitoso">
      <formula>NOT(ISERROR(SEARCH("Éxitoso",Q244)))</formula>
    </cfRule>
  </conditionalFormatting>
  <conditionalFormatting sqref="R244">
    <cfRule type="containsText" dxfId="2995" priority="3282" operator="containsText" text="No se pudo ejecutar">
      <formula>NOT(ISERROR(SEARCH("No se pudo ejecutar",R244)))</formula>
    </cfRule>
    <cfRule type="containsText" dxfId="2994" priority="3283" operator="containsText" text="Pendiente">
      <formula>NOT(ISERROR(SEARCH("Pendiente",R244)))</formula>
    </cfRule>
    <cfRule type="containsText" dxfId="2993" priority="3284" operator="containsText" text="No Aplica">
      <formula>NOT(ISERROR(SEARCH("No Aplica",R244)))</formula>
    </cfRule>
    <cfRule type="containsText" dxfId="2992" priority="3285" operator="containsText" text="Fallido">
      <formula>NOT(ISERROR(SEARCH("Fallido",R244)))</formula>
    </cfRule>
    <cfRule type="containsText" dxfId="2991" priority="3286" operator="containsText" text="Éxitoso">
      <formula>NOT(ISERROR(SEARCH("Éxitoso",R244)))</formula>
    </cfRule>
  </conditionalFormatting>
  <conditionalFormatting sqref="S244">
    <cfRule type="containsText" dxfId="2990" priority="3277" operator="containsText" text="No se pudo ejecutar">
      <formula>NOT(ISERROR(SEARCH("No se pudo ejecutar",S244)))</formula>
    </cfRule>
    <cfRule type="containsText" dxfId="2989" priority="3278" operator="containsText" text="Pendiente">
      <formula>NOT(ISERROR(SEARCH("Pendiente",S244)))</formula>
    </cfRule>
    <cfRule type="containsText" dxfId="2988" priority="3279" operator="containsText" text="No Aplica">
      <formula>NOT(ISERROR(SEARCH("No Aplica",S244)))</formula>
    </cfRule>
    <cfRule type="containsText" dxfId="2987" priority="3280" operator="containsText" text="Fallido">
      <formula>NOT(ISERROR(SEARCH("Fallido",S244)))</formula>
    </cfRule>
    <cfRule type="containsText" dxfId="2986" priority="3281" operator="containsText" text="Éxitoso">
      <formula>NOT(ISERROR(SEARCH("Éxitoso",S244)))</formula>
    </cfRule>
  </conditionalFormatting>
  <conditionalFormatting sqref="T244">
    <cfRule type="containsText" dxfId="2985" priority="3272" operator="containsText" text="No se pudo ejecutar">
      <formula>NOT(ISERROR(SEARCH("No se pudo ejecutar",T244)))</formula>
    </cfRule>
    <cfRule type="containsText" dxfId="2984" priority="3273" operator="containsText" text="Pendiente">
      <formula>NOT(ISERROR(SEARCH("Pendiente",T244)))</formula>
    </cfRule>
    <cfRule type="containsText" dxfId="2983" priority="3274" operator="containsText" text="No Aplica">
      <formula>NOT(ISERROR(SEARCH("No Aplica",T244)))</formula>
    </cfRule>
    <cfRule type="containsText" dxfId="2982" priority="3275" operator="containsText" text="Fallido">
      <formula>NOT(ISERROR(SEARCH("Fallido",T244)))</formula>
    </cfRule>
    <cfRule type="containsText" dxfId="2981" priority="3276" operator="containsText" text="Éxitoso">
      <formula>NOT(ISERROR(SEARCH("Éxitoso",T244)))</formula>
    </cfRule>
  </conditionalFormatting>
  <conditionalFormatting sqref="U244">
    <cfRule type="containsText" dxfId="2980" priority="3267" operator="containsText" text="No se pudo ejecutar">
      <formula>NOT(ISERROR(SEARCH("No se pudo ejecutar",U244)))</formula>
    </cfRule>
    <cfRule type="containsText" dxfId="2979" priority="3268" operator="containsText" text="Pendiente">
      <formula>NOT(ISERROR(SEARCH("Pendiente",U244)))</formula>
    </cfRule>
    <cfRule type="containsText" dxfId="2978" priority="3269" operator="containsText" text="No Aplica">
      <formula>NOT(ISERROR(SEARCH("No Aplica",U244)))</formula>
    </cfRule>
    <cfRule type="containsText" dxfId="2977" priority="3270" operator="containsText" text="Fallido">
      <formula>NOT(ISERROR(SEARCH("Fallido",U244)))</formula>
    </cfRule>
    <cfRule type="containsText" dxfId="2976" priority="3271" operator="containsText" text="Éxitoso">
      <formula>NOT(ISERROR(SEARCH("Éxitoso",U244)))</formula>
    </cfRule>
  </conditionalFormatting>
  <conditionalFormatting sqref="V244">
    <cfRule type="containsText" dxfId="2975" priority="3262" operator="containsText" text="No se pudo ejecutar">
      <formula>NOT(ISERROR(SEARCH("No se pudo ejecutar",V244)))</formula>
    </cfRule>
    <cfRule type="containsText" dxfId="2974" priority="3263" operator="containsText" text="Pendiente">
      <formula>NOT(ISERROR(SEARCH("Pendiente",V244)))</formula>
    </cfRule>
    <cfRule type="containsText" dxfId="2973" priority="3264" operator="containsText" text="No Aplica">
      <formula>NOT(ISERROR(SEARCH("No Aplica",V244)))</formula>
    </cfRule>
    <cfRule type="containsText" dxfId="2972" priority="3265" operator="containsText" text="Fallido">
      <formula>NOT(ISERROR(SEARCH("Fallido",V244)))</formula>
    </cfRule>
    <cfRule type="containsText" dxfId="2971" priority="3266" operator="containsText" text="Éxitoso">
      <formula>NOT(ISERROR(SEARCH("Éxitoso",V244)))</formula>
    </cfRule>
  </conditionalFormatting>
  <conditionalFormatting sqref="W244">
    <cfRule type="containsText" dxfId="2970" priority="3257" operator="containsText" text="No se pudo ejecutar">
      <formula>NOT(ISERROR(SEARCH("No se pudo ejecutar",W244)))</formula>
    </cfRule>
    <cfRule type="containsText" dxfId="2969" priority="3258" operator="containsText" text="Pendiente">
      <formula>NOT(ISERROR(SEARCH("Pendiente",W244)))</formula>
    </cfRule>
    <cfRule type="containsText" dxfId="2968" priority="3259" operator="containsText" text="No Aplica">
      <formula>NOT(ISERROR(SEARCH("No Aplica",W244)))</formula>
    </cfRule>
    <cfRule type="containsText" dxfId="2967" priority="3260" operator="containsText" text="Fallido">
      <formula>NOT(ISERROR(SEARCH("Fallido",W244)))</formula>
    </cfRule>
    <cfRule type="containsText" dxfId="2966" priority="3261" operator="containsText" text="Éxitoso">
      <formula>NOT(ISERROR(SEARCH("Éxitoso",W244)))</formula>
    </cfRule>
  </conditionalFormatting>
  <conditionalFormatting sqref="M244">
    <cfRule type="containsText" dxfId="2965" priority="3252" operator="containsText" text="No se pudo ejecutar">
      <formula>NOT(ISERROR(SEARCH("No se pudo ejecutar",M244)))</formula>
    </cfRule>
    <cfRule type="containsText" dxfId="2964" priority="3253" operator="containsText" text="Pendiente">
      <formula>NOT(ISERROR(SEARCH("Pendiente",M244)))</formula>
    </cfRule>
    <cfRule type="containsText" dxfId="2963" priority="3254" operator="containsText" text="No Aplica">
      <formula>NOT(ISERROR(SEARCH("No Aplica",M244)))</formula>
    </cfRule>
    <cfRule type="containsText" dxfId="2962" priority="3255" operator="containsText" text="Fallido">
      <formula>NOT(ISERROR(SEARCH("Fallido",M244)))</formula>
    </cfRule>
    <cfRule type="containsText" dxfId="2961" priority="3256" operator="containsText" text="Éxitoso">
      <formula>NOT(ISERROR(SEARCH("Éxitoso",M244)))</formula>
    </cfRule>
  </conditionalFormatting>
  <conditionalFormatting sqref="G244">
    <cfRule type="containsText" dxfId="2960" priority="3249" operator="containsText" text="Bajo">
      <formula>NOT(ISERROR(SEARCH("Bajo",G244)))</formula>
    </cfRule>
    <cfRule type="containsText" dxfId="2959" priority="3250" operator="containsText" text="Medio">
      <formula>NOT(ISERROR(SEARCH("Medio",G244)))</formula>
    </cfRule>
    <cfRule type="containsText" dxfId="2958" priority="3251" operator="containsText" text="Alto">
      <formula>NOT(ISERROR(SEARCH("Alto",G244)))</formula>
    </cfRule>
  </conditionalFormatting>
  <conditionalFormatting sqref="N245">
    <cfRule type="containsText" dxfId="2957" priority="3244" operator="containsText" text="No se pudo ejecutar">
      <formula>NOT(ISERROR(SEARCH("No se pudo ejecutar",N245)))</formula>
    </cfRule>
    <cfRule type="containsText" dxfId="2956" priority="3245" operator="containsText" text="Pendiente">
      <formula>NOT(ISERROR(SEARCH("Pendiente",N245)))</formula>
    </cfRule>
    <cfRule type="containsText" dxfId="2955" priority="3246" operator="containsText" text="No Aplica">
      <formula>NOT(ISERROR(SEARCH("No Aplica",N245)))</formula>
    </cfRule>
    <cfRule type="containsText" dxfId="2954" priority="3247" operator="containsText" text="Fallido">
      <formula>NOT(ISERROR(SEARCH("Fallido",N245)))</formula>
    </cfRule>
    <cfRule type="containsText" dxfId="2953" priority="3248" operator="containsText" text="Éxitoso">
      <formula>NOT(ISERROR(SEARCH("Éxitoso",N245)))</formula>
    </cfRule>
  </conditionalFormatting>
  <conditionalFormatting sqref="O245">
    <cfRule type="containsText" dxfId="2952" priority="3239" operator="containsText" text="No se pudo ejecutar">
      <formula>NOT(ISERROR(SEARCH("No se pudo ejecutar",O245)))</formula>
    </cfRule>
    <cfRule type="containsText" dxfId="2951" priority="3240" operator="containsText" text="Pendiente">
      <formula>NOT(ISERROR(SEARCH("Pendiente",O245)))</formula>
    </cfRule>
    <cfRule type="containsText" dxfId="2950" priority="3241" operator="containsText" text="No Aplica">
      <formula>NOT(ISERROR(SEARCH("No Aplica",O245)))</formula>
    </cfRule>
    <cfRule type="containsText" dxfId="2949" priority="3242" operator="containsText" text="Fallido">
      <formula>NOT(ISERROR(SEARCH("Fallido",O245)))</formula>
    </cfRule>
    <cfRule type="containsText" dxfId="2948" priority="3243" operator="containsText" text="Éxitoso">
      <formula>NOT(ISERROR(SEARCH("Éxitoso",O245)))</formula>
    </cfRule>
  </conditionalFormatting>
  <conditionalFormatting sqref="P245">
    <cfRule type="containsText" dxfId="2947" priority="3234" operator="containsText" text="No se pudo ejecutar">
      <formula>NOT(ISERROR(SEARCH("No se pudo ejecutar",P245)))</formula>
    </cfRule>
    <cfRule type="containsText" dxfId="2946" priority="3235" operator="containsText" text="Pendiente">
      <formula>NOT(ISERROR(SEARCH("Pendiente",P245)))</formula>
    </cfRule>
    <cfRule type="containsText" dxfId="2945" priority="3236" operator="containsText" text="No Aplica">
      <formula>NOT(ISERROR(SEARCH("No Aplica",P245)))</formula>
    </cfRule>
    <cfRule type="containsText" dxfId="2944" priority="3237" operator="containsText" text="Fallido">
      <formula>NOT(ISERROR(SEARCH("Fallido",P245)))</formula>
    </cfRule>
    <cfRule type="containsText" dxfId="2943" priority="3238" operator="containsText" text="Éxitoso">
      <formula>NOT(ISERROR(SEARCH("Éxitoso",P245)))</formula>
    </cfRule>
  </conditionalFormatting>
  <conditionalFormatting sqref="Q245">
    <cfRule type="containsText" dxfId="2942" priority="3229" operator="containsText" text="No se pudo ejecutar">
      <formula>NOT(ISERROR(SEARCH("No se pudo ejecutar",Q245)))</formula>
    </cfRule>
    <cfRule type="containsText" dxfId="2941" priority="3230" operator="containsText" text="Pendiente">
      <formula>NOT(ISERROR(SEARCH("Pendiente",Q245)))</formula>
    </cfRule>
    <cfRule type="containsText" dxfId="2940" priority="3231" operator="containsText" text="No Aplica">
      <formula>NOT(ISERROR(SEARCH("No Aplica",Q245)))</formula>
    </cfRule>
    <cfRule type="containsText" dxfId="2939" priority="3232" operator="containsText" text="Fallido">
      <formula>NOT(ISERROR(SEARCH("Fallido",Q245)))</formula>
    </cfRule>
    <cfRule type="containsText" dxfId="2938" priority="3233" operator="containsText" text="Éxitoso">
      <formula>NOT(ISERROR(SEARCH("Éxitoso",Q245)))</formula>
    </cfRule>
  </conditionalFormatting>
  <conditionalFormatting sqref="R245">
    <cfRule type="containsText" dxfId="2937" priority="3224" operator="containsText" text="No se pudo ejecutar">
      <formula>NOT(ISERROR(SEARCH("No se pudo ejecutar",R245)))</formula>
    </cfRule>
    <cfRule type="containsText" dxfId="2936" priority="3225" operator="containsText" text="Pendiente">
      <formula>NOT(ISERROR(SEARCH("Pendiente",R245)))</formula>
    </cfRule>
    <cfRule type="containsText" dxfId="2935" priority="3226" operator="containsText" text="No Aplica">
      <formula>NOT(ISERROR(SEARCH("No Aplica",R245)))</formula>
    </cfRule>
    <cfRule type="containsText" dxfId="2934" priority="3227" operator="containsText" text="Fallido">
      <formula>NOT(ISERROR(SEARCH("Fallido",R245)))</formula>
    </cfRule>
    <cfRule type="containsText" dxfId="2933" priority="3228" operator="containsText" text="Éxitoso">
      <formula>NOT(ISERROR(SEARCH("Éxitoso",R245)))</formula>
    </cfRule>
  </conditionalFormatting>
  <conditionalFormatting sqref="S245">
    <cfRule type="containsText" dxfId="2932" priority="3219" operator="containsText" text="No se pudo ejecutar">
      <formula>NOT(ISERROR(SEARCH("No se pudo ejecutar",S245)))</formula>
    </cfRule>
    <cfRule type="containsText" dxfId="2931" priority="3220" operator="containsText" text="Pendiente">
      <formula>NOT(ISERROR(SEARCH("Pendiente",S245)))</formula>
    </cfRule>
    <cfRule type="containsText" dxfId="2930" priority="3221" operator="containsText" text="No Aplica">
      <formula>NOT(ISERROR(SEARCH("No Aplica",S245)))</formula>
    </cfRule>
    <cfRule type="containsText" dxfId="2929" priority="3222" operator="containsText" text="Fallido">
      <formula>NOT(ISERROR(SEARCH("Fallido",S245)))</formula>
    </cfRule>
    <cfRule type="containsText" dxfId="2928" priority="3223" operator="containsText" text="Éxitoso">
      <formula>NOT(ISERROR(SEARCH("Éxitoso",S245)))</formula>
    </cfRule>
  </conditionalFormatting>
  <conditionalFormatting sqref="T245">
    <cfRule type="containsText" dxfId="2927" priority="3214" operator="containsText" text="No se pudo ejecutar">
      <formula>NOT(ISERROR(SEARCH("No se pudo ejecutar",T245)))</formula>
    </cfRule>
    <cfRule type="containsText" dxfId="2926" priority="3215" operator="containsText" text="Pendiente">
      <formula>NOT(ISERROR(SEARCH("Pendiente",T245)))</formula>
    </cfRule>
    <cfRule type="containsText" dxfId="2925" priority="3216" operator="containsText" text="No Aplica">
      <formula>NOT(ISERROR(SEARCH("No Aplica",T245)))</formula>
    </cfRule>
    <cfRule type="containsText" dxfId="2924" priority="3217" operator="containsText" text="Fallido">
      <formula>NOT(ISERROR(SEARCH("Fallido",T245)))</formula>
    </cfRule>
    <cfRule type="containsText" dxfId="2923" priority="3218" operator="containsText" text="Éxitoso">
      <formula>NOT(ISERROR(SEARCH("Éxitoso",T245)))</formula>
    </cfRule>
  </conditionalFormatting>
  <conditionalFormatting sqref="U245">
    <cfRule type="containsText" dxfId="2922" priority="3209" operator="containsText" text="No se pudo ejecutar">
      <formula>NOT(ISERROR(SEARCH("No se pudo ejecutar",U245)))</formula>
    </cfRule>
    <cfRule type="containsText" dxfId="2921" priority="3210" operator="containsText" text="Pendiente">
      <formula>NOT(ISERROR(SEARCH("Pendiente",U245)))</formula>
    </cfRule>
    <cfRule type="containsText" dxfId="2920" priority="3211" operator="containsText" text="No Aplica">
      <formula>NOT(ISERROR(SEARCH("No Aplica",U245)))</formula>
    </cfRule>
    <cfRule type="containsText" dxfId="2919" priority="3212" operator="containsText" text="Fallido">
      <formula>NOT(ISERROR(SEARCH("Fallido",U245)))</formula>
    </cfRule>
    <cfRule type="containsText" dxfId="2918" priority="3213" operator="containsText" text="Éxitoso">
      <formula>NOT(ISERROR(SEARCH("Éxitoso",U245)))</formula>
    </cfRule>
  </conditionalFormatting>
  <conditionalFormatting sqref="V245">
    <cfRule type="containsText" dxfId="2917" priority="3204" operator="containsText" text="No se pudo ejecutar">
      <formula>NOT(ISERROR(SEARCH("No se pudo ejecutar",V245)))</formula>
    </cfRule>
    <cfRule type="containsText" dxfId="2916" priority="3205" operator="containsText" text="Pendiente">
      <formula>NOT(ISERROR(SEARCH("Pendiente",V245)))</formula>
    </cfRule>
    <cfRule type="containsText" dxfId="2915" priority="3206" operator="containsText" text="No Aplica">
      <formula>NOT(ISERROR(SEARCH("No Aplica",V245)))</formula>
    </cfRule>
    <cfRule type="containsText" dxfId="2914" priority="3207" operator="containsText" text="Fallido">
      <formula>NOT(ISERROR(SEARCH("Fallido",V245)))</formula>
    </cfRule>
    <cfRule type="containsText" dxfId="2913" priority="3208" operator="containsText" text="Éxitoso">
      <formula>NOT(ISERROR(SEARCH("Éxitoso",V245)))</formula>
    </cfRule>
  </conditionalFormatting>
  <conditionalFormatting sqref="W245">
    <cfRule type="containsText" dxfId="2912" priority="3199" operator="containsText" text="No se pudo ejecutar">
      <formula>NOT(ISERROR(SEARCH("No se pudo ejecutar",W245)))</formula>
    </cfRule>
    <cfRule type="containsText" dxfId="2911" priority="3200" operator="containsText" text="Pendiente">
      <formula>NOT(ISERROR(SEARCH("Pendiente",W245)))</formula>
    </cfRule>
    <cfRule type="containsText" dxfId="2910" priority="3201" operator="containsText" text="No Aplica">
      <formula>NOT(ISERROR(SEARCH("No Aplica",W245)))</formula>
    </cfRule>
    <cfRule type="containsText" dxfId="2909" priority="3202" operator="containsText" text="Fallido">
      <formula>NOT(ISERROR(SEARCH("Fallido",W245)))</formula>
    </cfRule>
    <cfRule type="containsText" dxfId="2908" priority="3203" operator="containsText" text="Éxitoso">
      <formula>NOT(ISERROR(SEARCH("Éxitoso",W245)))</formula>
    </cfRule>
  </conditionalFormatting>
  <conditionalFormatting sqref="M245">
    <cfRule type="containsText" dxfId="2907" priority="3194" operator="containsText" text="No se pudo ejecutar">
      <formula>NOT(ISERROR(SEARCH("No se pudo ejecutar",M245)))</formula>
    </cfRule>
    <cfRule type="containsText" dxfId="2906" priority="3195" operator="containsText" text="Pendiente">
      <formula>NOT(ISERROR(SEARCH("Pendiente",M245)))</formula>
    </cfRule>
    <cfRule type="containsText" dxfId="2905" priority="3196" operator="containsText" text="No Aplica">
      <formula>NOT(ISERROR(SEARCH("No Aplica",M245)))</formula>
    </cfRule>
    <cfRule type="containsText" dxfId="2904" priority="3197" operator="containsText" text="Fallido">
      <formula>NOT(ISERROR(SEARCH("Fallido",M245)))</formula>
    </cfRule>
    <cfRule type="containsText" dxfId="2903" priority="3198" operator="containsText" text="Éxitoso">
      <formula>NOT(ISERROR(SEARCH("Éxitoso",M245)))</formula>
    </cfRule>
  </conditionalFormatting>
  <conditionalFormatting sqref="G245">
    <cfRule type="containsText" dxfId="2902" priority="3191" operator="containsText" text="Bajo">
      <formula>NOT(ISERROR(SEARCH("Bajo",G245)))</formula>
    </cfRule>
    <cfRule type="containsText" dxfId="2901" priority="3192" operator="containsText" text="Medio">
      <formula>NOT(ISERROR(SEARCH("Medio",G245)))</formula>
    </cfRule>
    <cfRule type="containsText" dxfId="2900" priority="3193" operator="containsText" text="Alto">
      <formula>NOT(ISERROR(SEARCH("Alto",G245)))</formula>
    </cfRule>
  </conditionalFormatting>
  <conditionalFormatting sqref="N246">
    <cfRule type="containsText" dxfId="2899" priority="3186" operator="containsText" text="No se pudo ejecutar">
      <formula>NOT(ISERROR(SEARCH("No se pudo ejecutar",N246)))</formula>
    </cfRule>
    <cfRule type="containsText" dxfId="2898" priority="3187" operator="containsText" text="Pendiente">
      <formula>NOT(ISERROR(SEARCH("Pendiente",N246)))</formula>
    </cfRule>
    <cfRule type="containsText" dxfId="2897" priority="3188" operator="containsText" text="No Aplica">
      <formula>NOT(ISERROR(SEARCH("No Aplica",N246)))</formula>
    </cfRule>
    <cfRule type="containsText" dxfId="2896" priority="3189" operator="containsText" text="Fallido">
      <formula>NOT(ISERROR(SEARCH("Fallido",N246)))</formula>
    </cfRule>
    <cfRule type="containsText" dxfId="2895" priority="3190" operator="containsText" text="Éxitoso">
      <formula>NOT(ISERROR(SEARCH("Éxitoso",N246)))</formula>
    </cfRule>
  </conditionalFormatting>
  <conditionalFormatting sqref="O246">
    <cfRule type="containsText" dxfId="2894" priority="3181" operator="containsText" text="No se pudo ejecutar">
      <formula>NOT(ISERROR(SEARCH("No se pudo ejecutar",O246)))</formula>
    </cfRule>
    <cfRule type="containsText" dxfId="2893" priority="3182" operator="containsText" text="Pendiente">
      <formula>NOT(ISERROR(SEARCH("Pendiente",O246)))</formula>
    </cfRule>
    <cfRule type="containsText" dxfId="2892" priority="3183" operator="containsText" text="No Aplica">
      <formula>NOT(ISERROR(SEARCH("No Aplica",O246)))</formula>
    </cfRule>
    <cfRule type="containsText" dxfId="2891" priority="3184" operator="containsText" text="Fallido">
      <formula>NOT(ISERROR(SEARCH("Fallido",O246)))</formula>
    </cfRule>
    <cfRule type="containsText" dxfId="2890" priority="3185" operator="containsText" text="Éxitoso">
      <formula>NOT(ISERROR(SEARCH("Éxitoso",O246)))</formula>
    </cfRule>
  </conditionalFormatting>
  <conditionalFormatting sqref="P246">
    <cfRule type="containsText" dxfId="2889" priority="3176" operator="containsText" text="No se pudo ejecutar">
      <formula>NOT(ISERROR(SEARCH("No se pudo ejecutar",P246)))</formula>
    </cfRule>
    <cfRule type="containsText" dxfId="2888" priority="3177" operator="containsText" text="Pendiente">
      <formula>NOT(ISERROR(SEARCH("Pendiente",P246)))</formula>
    </cfRule>
    <cfRule type="containsText" dxfId="2887" priority="3178" operator="containsText" text="No Aplica">
      <formula>NOT(ISERROR(SEARCH("No Aplica",P246)))</formula>
    </cfRule>
    <cfRule type="containsText" dxfId="2886" priority="3179" operator="containsText" text="Fallido">
      <formula>NOT(ISERROR(SEARCH("Fallido",P246)))</formula>
    </cfRule>
    <cfRule type="containsText" dxfId="2885" priority="3180" operator="containsText" text="Éxitoso">
      <formula>NOT(ISERROR(SEARCH("Éxitoso",P246)))</formula>
    </cfRule>
  </conditionalFormatting>
  <conditionalFormatting sqref="Q246">
    <cfRule type="containsText" dxfId="2884" priority="3171" operator="containsText" text="No se pudo ejecutar">
      <formula>NOT(ISERROR(SEARCH("No se pudo ejecutar",Q246)))</formula>
    </cfRule>
    <cfRule type="containsText" dxfId="2883" priority="3172" operator="containsText" text="Pendiente">
      <formula>NOT(ISERROR(SEARCH("Pendiente",Q246)))</formula>
    </cfRule>
    <cfRule type="containsText" dxfId="2882" priority="3173" operator="containsText" text="No Aplica">
      <formula>NOT(ISERROR(SEARCH("No Aplica",Q246)))</formula>
    </cfRule>
    <cfRule type="containsText" dxfId="2881" priority="3174" operator="containsText" text="Fallido">
      <formula>NOT(ISERROR(SEARCH("Fallido",Q246)))</formula>
    </cfRule>
    <cfRule type="containsText" dxfId="2880" priority="3175" operator="containsText" text="Éxitoso">
      <formula>NOT(ISERROR(SEARCH("Éxitoso",Q246)))</formula>
    </cfRule>
  </conditionalFormatting>
  <conditionalFormatting sqref="R246">
    <cfRule type="containsText" dxfId="2879" priority="3166" operator="containsText" text="No se pudo ejecutar">
      <formula>NOT(ISERROR(SEARCH("No se pudo ejecutar",R246)))</formula>
    </cfRule>
    <cfRule type="containsText" dxfId="2878" priority="3167" operator="containsText" text="Pendiente">
      <formula>NOT(ISERROR(SEARCH("Pendiente",R246)))</formula>
    </cfRule>
    <cfRule type="containsText" dxfId="2877" priority="3168" operator="containsText" text="No Aplica">
      <formula>NOT(ISERROR(SEARCH("No Aplica",R246)))</formula>
    </cfRule>
    <cfRule type="containsText" dxfId="2876" priority="3169" operator="containsText" text="Fallido">
      <formula>NOT(ISERROR(SEARCH("Fallido",R246)))</formula>
    </cfRule>
    <cfRule type="containsText" dxfId="2875" priority="3170" operator="containsText" text="Éxitoso">
      <formula>NOT(ISERROR(SEARCH("Éxitoso",R246)))</formula>
    </cfRule>
  </conditionalFormatting>
  <conditionalFormatting sqref="S246">
    <cfRule type="containsText" dxfId="2874" priority="3161" operator="containsText" text="No se pudo ejecutar">
      <formula>NOT(ISERROR(SEARCH("No se pudo ejecutar",S246)))</formula>
    </cfRule>
    <cfRule type="containsText" dxfId="2873" priority="3162" operator="containsText" text="Pendiente">
      <formula>NOT(ISERROR(SEARCH("Pendiente",S246)))</formula>
    </cfRule>
    <cfRule type="containsText" dxfId="2872" priority="3163" operator="containsText" text="No Aplica">
      <formula>NOT(ISERROR(SEARCH("No Aplica",S246)))</formula>
    </cfRule>
    <cfRule type="containsText" dxfId="2871" priority="3164" operator="containsText" text="Fallido">
      <formula>NOT(ISERROR(SEARCH("Fallido",S246)))</formula>
    </cfRule>
    <cfRule type="containsText" dxfId="2870" priority="3165" operator="containsText" text="Éxitoso">
      <formula>NOT(ISERROR(SEARCH("Éxitoso",S246)))</formula>
    </cfRule>
  </conditionalFormatting>
  <conditionalFormatting sqref="T246">
    <cfRule type="containsText" dxfId="2869" priority="3156" operator="containsText" text="No se pudo ejecutar">
      <formula>NOT(ISERROR(SEARCH("No se pudo ejecutar",T246)))</formula>
    </cfRule>
    <cfRule type="containsText" dxfId="2868" priority="3157" operator="containsText" text="Pendiente">
      <formula>NOT(ISERROR(SEARCH("Pendiente",T246)))</formula>
    </cfRule>
    <cfRule type="containsText" dxfId="2867" priority="3158" operator="containsText" text="No Aplica">
      <formula>NOT(ISERROR(SEARCH("No Aplica",T246)))</formula>
    </cfRule>
    <cfRule type="containsText" dxfId="2866" priority="3159" operator="containsText" text="Fallido">
      <formula>NOT(ISERROR(SEARCH("Fallido",T246)))</formula>
    </cfRule>
    <cfRule type="containsText" dxfId="2865" priority="3160" operator="containsText" text="Éxitoso">
      <formula>NOT(ISERROR(SEARCH("Éxitoso",T246)))</formula>
    </cfRule>
  </conditionalFormatting>
  <conditionalFormatting sqref="U246">
    <cfRule type="containsText" dxfId="2864" priority="3151" operator="containsText" text="No se pudo ejecutar">
      <formula>NOT(ISERROR(SEARCH("No se pudo ejecutar",U246)))</formula>
    </cfRule>
    <cfRule type="containsText" dxfId="2863" priority="3152" operator="containsText" text="Pendiente">
      <formula>NOT(ISERROR(SEARCH("Pendiente",U246)))</formula>
    </cfRule>
    <cfRule type="containsText" dxfId="2862" priority="3153" operator="containsText" text="No Aplica">
      <formula>NOT(ISERROR(SEARCH("No Aplica",U246)))</formula>
    </cfRule>
    <cfRule type="containsText" dxfId="2861" priority="3154" operator="containsText" text="Fallido">
      <formula>NOT(ISERROR(SEARCH("Fallido",U246)))</formula>
    </cfRule>
    <cfRule type="containsText" dxfId="2860" priority="3155" operator="containsText" text="Éxitoso">
      <formula>NOT(ISERROR(SEARCH("Éxitoso",U246)))</formula>
    </cfRule>
  </conditionalFormatting>
  <conditionalFormatting sqref="V246">
    <cfRule type="containsText" dxfId="2859" priority="3146" operator="containsText" text="No se pudo ejecutar">
      <formula>NOT(ISERROR(SEARCH("No se pudo ejecutar",V246)))</formula>
    </cfRule>
    <cfRule type="containsText" dxfId="2858" priority="3147" operator="containsText" text="Pendiente">
      <formula>NOT(ISERROR(SEARCH("Pendiente",V246)))</formula>
    </cfRule>
    <cfRule type="containsText" dxfId="2857" priority="3148" operator="containsText" text="No Aplica">
      <formula>NOT(ISERROR(SEARCH("No Aplica",V246)))</formula>
    </cfRule>
    <cfRule type="containsText" dxfId="2856" priority="3149" operator="containsText" text="Fallido">
      <formula>NOT(ISERROR(SEARCH("Fallido",V246)))</formula>
    </cfRule>
    <cfRule type="containsText" dxfId="2855" priority="3150" operator="containsText" text="Éxitoso">
      <formula>NOT(ISERROR(SEARCH("Éxitoso",V246)))</formula>
    </cfRule>
  </conditionalFormatting>
  <conditionalFormatting sqref="W246">
    <cfRule type="containsText" dxfId="2854" priority="3141" operator="containsText" text="No se pudo ejecutar">
      <formula>NOT(ISERROR(SEARCH("No se pudo ejecutar",W246)))</formula>
    </cfRule>
    <cfRule type="containsText" dxfId="2853" priority="3142" operator="containsText" text="Pendiente">
      <formula>NOT(ISERROR(SEARCH("Pendiente",W246)))</formula>
    </cfRule>
    <cfRule type="containsText" dxfId="2852" priority="3143" operator="containsText" text="No Aplica">
      <formula>NOT(ISERROR(SEARCH("No Aplica",W246)))</formula>
    </cfRule>
    <cfRule type="containsText" dxfId="2851" priority="3144" operator="containsText" text="Fallido">
      <formula>NOT(ISERROR(SEARCH("Fallido",W246)))</formula>
    </cfRule>
    <cfRule type="containsText" dxfId="2850" priority="3145" operator="containsText" text="Éxitoso">
      <formula>NOT(ISERROR(SEARCH("Éxitoso",W246)))</formula>
    </cfRule>
  </conditionalFormatting>
  <conditionalFormatting sqref="M246">
    <cfRule type="containsText" dxfId="2849" priority="3136" operator="containsText" text="No se pudo ejecutar">
      <formula>NOT(ISERROR(SEARCH("No se pudo ejecutar",M246)))</formula>
    </cfRule>
    <cfRule type="containsText" dxfId="2848" priority="3137" operator="containsText" text="Pendiente">
      <formula>NOT(ISERROR(SEARCH("Pendiente",M246)))</formula>
    </cfRule>
    <cfRule type="containsText" dxfId="2847" priority="3138" operator="containsText" text="No Aplica">
      <formula>NOT(ISERROR(SEARCH("No Aplica",M246)))</formula>
    </cfRule>
    <cfRule type="containsText" dxfId="2846" priority="3139" operator="containsText" text="Fallido">
      <formula>NOT(ISERROR(SEARCH("Fallido",M246)))</formula>
    </cfRule>
    <cfRule type="containsText" dxfId="2845" priority="3140" operator="containsText" text="Éxitoso">
      <formula>NOT(ISERROR(SEARCH("Éxitoso",M246)))</formula>
    </cfRule>
  </conditionalFormatting>
  <conditionalFormatting sqref="G246">
    <cfRule type="containsText" dxfId="2844" priority="3133" operator="containsText" text="Bajo">
      <formula>NOT(ISERROR(SEARCH("Bajo",G246)))</formula>
    </cfRule>
    <cfRule type="containsText" dxfId="2843" priority="3134" operator="containsText" text="Medio">
      <formula>NOT(ISERROR(SEARCH("Medio",G246)))</formula>
    </cfRule>
    <cfRule type="containsText" dxfId="2842" priority="3135" operator="containsText" text="Alto">
      <formula>NOT(ISERROR(SEARCH("Alto",G246)))</formula>
    </cfRule>
  </conditionalFormatting>
  <conditionalFormatting sqref="N247">
    <cfRule type="containsText" dxfId="2841" priority="3128" operator="containsText" text="No se pudo ejecutar">
      <formula>NOT(ISERROR(SEARCH("No se pudo ejecutar",N247)))</formula>
    </cfRule>
    <cfRule type="containsText" dxfId="2840" priority="3129" operator="containsText" text="Pendiente">
      <formula>NOT(ISERROR(SEARCH("Pendiente",N247)))</formula>
    </cfRule>
    <cfRule type="containsText" dxfId="2839" priority="3130" operator="containsText" text="No Aplica">
      <formula>NOT(ISERROR(SEARCH("No Aplica",N247)))</formula>
    </cfRule>
    <cfRule type="containsText" dxfId="2838" priority="3131" operator="containsText" text="Fallido">
      <formula>NOT(ISERROR(SEARCH("Fallido",N247)))</formula>
    </cfRule>
    <cfRule type="containsText" dxfId="2837" priority="3132" operator="containsText" text="Éxitoso">
      <formula>NOT(ISERROR(SEARCH("Éxitoso",N247)))</formula>
    </cfRule>
  </conditionalFormatting>
  <conditionalFormatting sqref="O247">
    <cfRule type="containsText" dxfId="2836" priority="3123" operator="containsText" text="No se pudo ejecutar">
      <formula>NOT(ISERROR(SEARCH("No se pudo ejecutar",O247)))</formula>
    </cfRule>
    <cfRule type="containsText" dxfId="2835" priority="3124" operator="containsText" text="Pendiente">
      <formula>NOT(ISERROR(SEARCH("Pendiente",O247)))</formula>
    </cfRule>
    <cfRule type="containsText" dxfId="2834" priority="3125" operator="containsText" text="No Aplica">
      <formula>NOT(ISERROR(SEARCH("No Aplica",O247)))</formula>
    </cfRule>
    <cfRule type="containsText" dxfId="2833" priority="3126" operator="containsText" text="Fallido">
      <formula>NOT(ISERROR(SEARCH("Fallido",O247)))</formula>
    </cfRule>
    <cfRule type="containsText" dxfId="2832" priority="3127" operator="containsText" text="Éxitoso">
      <formula>NOT(ISERROR(SEARCH("Éxitoso",O247)))</formula>
    </cfRule>
  </conditionalFormatting>
  <conditionalFormatting sqref="P247">
    <cfRule type="containsText" dxfId="2831" priority="3118" operator="containsText" text="No se pudo ejecutar">
      <formula>NOT(ISERROR(SEARCH("No se pudo ejecutar",P247)))</formula>
    </cfRule>
    <cfRule type="containsText" dxfId="2830" priority="3119" operator="containsText" text="Pendiente">
      <formula>NOT(ISERROR(SEARCH("Pendiente",P247)))</formula>
    </cfRule>
    <cfRule type="containsText" dxfId="2829" priority="3120" operator="containsText" text="No Aplica">
      <formula>NOT(ISERROR(SEARCH("No Aplica",P247)))</formula>
    </cfRule>
    <cfRule type="containsText" dxfId="2828" priority="3121" operator="containsText" text="Fallido">
      <formula>NOT(ISERROR(SEARCH("Fallido",P247)))</formula>
    </cfRule>
    <cfRule type="containsText" dxfId="2827" priority="3122" operator="containsText" text="Éxitoso">
      <formula>NOT(ISERROR(SEARCH("Éxitoso",P247)))</formula>
    </cfRule>
  </conditionalFormatting>
  <conditionalFormatting sqref="Q247">
    <cfRule type="containsText" dxfId="2826" priority="3113" operator="containsText" text="No se pudo ejecutar">
      <formula>NOT(ISERROR(SEARCH("No se pudo ejecutar",Q247)))</formula>
    </cfRule>
    <cfRule type="containsText" dxfId="2825" priority="3114" operator="containsText" text="Pendiente">
      <formula>NOT(ISERROR(SEARCH("Pendiente",Q247)))</formula>
    </cfRule>
    <cfRule type="containsText" dxfId="2824" priority="3115" operator="containsText" text="No Aplica">
      <formula>NOT(ISERROR(SEARCH("No Aplica",Q247)))</formula>
    </cfRule>
    <cfRule type="containsText" dxfId="2823" priority="3116" operator="containsText" text="Fallido">
      <formula>NOT(ISERROR(SEARCH("Fallido",Q247)))</formula>
    </cfRule>
    <cfRule type="containsText" dxfId="2822" priority="3117" operator="containsText" text="Éxitoso">
      <formula>NOT(ISERROR(SEARCH("Éxitoso",Q247)))</formula>
    </cfRule>
  </conditionalFormatting>
  <conditionalFormatting sqref="R247">
    <cfRule type="containsText" dxfId="2821" priority="3108" operator="containsText" text="No se pudo ejecutar">
      <formula>NOT(ISERROR(SEARCH("No se pudo ejecutar",R247)))</formula>
    </cfRule>
    <cfRule type="containsText" dxfId="2820" priority="3109" operator="containsText" text="Pendiente">
      <formula>NOT(ISERROR(SEARCH("Pendiente",R247)))</formula>
    </cfRule>
    <cfRule type="containsText" dxfId="2819" priority="3110" operator="containsText" text="No Aplica">
      <formula>NOT(ISERROR(SEARCH("No Aplica",R247)))</formula>
    </cfRule>
    <cfRule type="containsText" dxfId="2818" priority="3111" operator="containsText" text="Fallido">
      <formula>NOT(ISERROR(SEARCH("Fallido",R247)))</formula>
    </cfRule>
    <cfRule type="containsText" dxfId="2817" priority="3112" operator="containsText" text="Éxitoso">
      <formula>NOT(ISERROR(SEARCH("Éxitoso",R247)))</formula>
    </cfRule>
  </conditionalFormatting>
  <conditionalFormatting sqref="S247">
    <cfRule type="containsText" dxfId="2816" priority="3103" operator="containsText" text="No se pudo ejecutar">
      <formula>NOT(ISERROR(SEARCH("No se pudo ejecutar",S247)))</formula>
    </cfRule>
    <cfRule type="containsText" dxfId="2815" priority="3104" operator="containsText" text="Pendiente">
      <formula>NOT(ISERROR(SEARCH("Pendiente",S247)))</formula>
    </cfRule>
    <cfRule type="containsText" dxfId="2814" priority="3105" operator="containsText" text="No Aplica">
      <formula>NOT(ISERROR(SEARCH("No Aplica",S247)))</formula>
    </cfRule>
    <cfRule type="containsText" dxfId="2813" priority="3106" operator="containsText" text="Fallido">
      <formula>NOT(ISERROR(SEARCH("Fallido",S247)))</formula>
    </cfRule>
    <cfRule type="containsText" dxfId="2812" priority="3107" operator="containsText" text="Éxitoso">
      <formula>NOT(ISERROR(SEARCH("Éxitoso",S247)))</formula>
    </cfRule>
  </conditionalFormatting>
  <conditionalFormatting sqref="T247">
    <cfRule type="containsText" dxfId="2811" priority="3098" operator="containsText" text="No se pudo ejecutar">
      <formula>NOT(ISERROR(SEARCH("No se pudo ejecutar",T247)))</formula>
    </cfRule>
    <cfRule type="containsText" dxfId="2810" priority="3099" operator="containsText" text="Pendiente">
      <formula>NOT(ISERROR(SEARCH("Pendiente",T247)))</formula>
    </cfRule>
    <cfRule type="containsText" dxfId="2809" priority="3100" operator="containsText" text="No Aplica">
      <formula>NOT(ISERROR(SEARCH("No Aplica",T247)))</formula>
    </cfRule>
    <cfRule type="containsText" dxfId="2808" priority="3101" operator="containsText" text="Fallido">
      <formula>NOT(ISERROR(SEARCH("Fallido",T247)))</formula>
    </cfRule>
    <cfRule type="containsText" dxfId="2807" priority="3102" operator="containsText" text="Éxitoso">
      <formula>NOT(ISERROR(SEARCH("Éxitoso",T247)))</formula>
    </cfRule>
  </conditionalFormatting>
  <conditionalFormatting sqref="U247">
    <cfRule type="containsText" dxfId="2806" priority="3093" operator="containsText" text="No se pudo ejecutar">
      <formula>NOT(ISERROR(SEARCH("No se pudo ejecutar",U247)))</formula>
    </cfRule>
    <cfRule type="containsText" dxfId="2805" priority="3094" operator="containsText" text="Pendiente">
      <formula>NOT(ISERROR(SEARCH("Pendiente",U247)))</formula>
    </cfRule>
    <cfRule type="containsText" dxfId="2804" priority="3095" operator="containsText" text="No Aplica">
      <formula>NOT(ISERROR(SEARCH("No Aplica",U247)))</formula>
    </cfRule>
    <cfRule type="containsText" dxfId="2803" priority="3096" operator="containsText" text="Fallido">
      <formula>NOT(ISERROR(SEARCH("Fallido",U247)))</formula>
    </cfRule>
    <cfRule type="containsText" dxfId="2802" priority="3097" operator="containsText" text="Éxitoso">
      <formula>NOT(ISERROR(SEARCH("Éxitoso",U247)))</formula>
    </cfRule>
  </conditionalFormatting>
  <conditionalFormatting sqref="V247">
    <cfRule type="containsText" dxfId="2801" priority="3088" operator="containsText" text="No se pudo ejecutar">
      <formula>NOT(ISERROR(SEARCH("No se pudo ejecutar",V247)))</formula>
    </cfRule>
    <cfRule type="containsText" dxfId="2800" priority="3089" operator="containsText" text="Pendiente">
      <formula>NOT(ISERROR(SEARCH("Pendiente",V247)))</formula>
    </cfRule>
    <cfRule type="containsText" dxfId="2799" priority="3090" operator="containsText" text="No Aplica">
      <formula>NOT(ISERROR(SEARCH("No Aplica",V247)))</formula>
    </cfRule>
    <cfRule type="containsText" dxfId="2798" priority="3091" operator="containsText" text="Fallido">
      <formula>NOT(ISERROR(SEARCH("Fallido",V247)))</formula>
    </cfRule>
    <cfRule type="containsText" dxfId="2797" priority="3092" operator="containsText" text="Éxitoso">
      <formula>NOT(ISERROR(SEARCH("Éxitoso",V247)))</formula>
    </cfRule>
  </conditionalFormatting>
  <conditionalFormatting sqref="W247">
    <cfRule type="containsText" dxfId="2796" priority="3083" operator="containsText" text="No se pudo ejecutar">
      <formula>NOT(ISERROR(SEARCH("No se pudo ejecutar",W247)))</formula>
    </cfRule>
    <cfRule type="containsText" dxfId="2795" priority="3084" operator="containsText" text="Pendiente">
      <formula>NOT(ISERROR(SEARCH("Pendiente",W247)))</formula>
    </cfRule>
    <cfRule type="containsText" dxfId="2794" priority="3085" operator="containsText" text="No Aplica">
      <formula>NOT(ISERROR(SEARCH("No Aplica",W247)))</formula>
    </cfRule>
    <cfRule type="containsText" dxfId="2793" priority="3086" operator="containsText" text="Fallido">
      <formula>NOT(ISERROR(SEARCH("Fallido",W247)))</formula>
    </cfRule>
    <cfRule type="containsText" dxfId="2792" priority="3087" operator="containsText" text="Éxitoso">
      <formula>NOT(ISERROR(SEARCH("Éxitoso",W247)))</formula>
    </cfRule>
  </conditionalFormatting>
  <conditionalFormatting sqref="M247">
    <cfRule type="containsText" dxfId="2791" priority="3078" operator="containsText" text="No se pudo ejecutar">
      <formula>NOT(ISERROR(SEARCH("No se pudo ejecutar",M247)))</formula>
    </cfRule>
    <cfRule type="containsText" dxfId="2790" priority="3079" operator="containsText" text="Pendiente">
      <formula>NOT(ISERROR(SEARCH("Pendiente",M247)))</formula>
    </cfRule>
    <cfRule type="containsText" dxfId="2789" priority="3080" operator="containsText" text="No Aplica">
      <formula>NOT(ISERROR(SEARCH("No Aplica",M247)))</formula>
    </cfRule>
    <cfRule type="containsText" dxfId="2788" priority="3081" operator="containsText" text="Fallido">
      <formula>NOT(ISERROR(SEARCH("Fallido",M247)))</formula>
    </cfRule>
    <cfRule type="containsText" dxfId="2787" priority="3082" operator="containsText" text="Éxitoso">
      <formula>NOT(ISERROR(SEARCH("Éxitoso",M247)))</formula>
    </cfRule>
  </conditionalFormatting>
  <conditionalFormatting sqref="G247">
    <cfRule type="containsText" dxfId="2786" priority="3075" operator="containsText" text="Bajo">
      <formula>NOT(ISERROR(SEARCH("Bajo",G247)))</formula>
    </cfRule>
    <cfRule type="containsText" dxfId="2785" priority="3076" operator="containsText" text="Medio">
      <formula>NOT(ISERROR(SEARCH("Medio",G247)))</formula>
    </cfRule>
    <cfRule type="containsText" dxfId="2784" priority="3077" operator="containsText" text="Alto">
      <formula>NOT(ISERROR(SEARCH("Alto",G247)))</formula>
    </cfRule>
  </conditionalFormatting>
  <conditionalFormatting sqref="N248">
    <cfRule type="containsText" dxfId="2783" priority="3070" operator="containsText" text="No se pudo ejecutar">
      <formula>NOT(ISERROR(SEARCH("No se pudo ejecutar",N248)))</formula>
    </cfRule>
    <cfRule type="containsText" dxfId="2782" priority="3071" operator="containsText" text="Pendiente">
      <formula>NOT(ISERROR(SEARCH("Pendiente",N248)))</formula>
    </cfRule>
    <cfRule type="containsText" dxfId="2781" priority="3072" operator="containsText" text="No Aplica">
      <formula>NOT(ISERROR(SEARCH("No Aplica",N248)))</formula>
    </cfRule>
    <cfRule type="containsText" dxfId="2780" priority="3073" operator="containsText" text="Fallido">
      <formula>NOT(ISERROR(SEARCH("Fallido",N248)))</formula>
    </cfRule>
    <cfRule type="containsText" dxfId="2779" priority="3074" operator="containsText" text="Éxitoso">
      <formula>NOT(ISERROR(SEARCH("Éxitoso",N248)))</formula>
    </cfRule>
  </conditionalFormatting>
  <conditionalFormatting sqref="O248">
    <cfRule type="containsText" dxfId="2778" priority="3065" operator="containsText" text="No se pudo ejecutar">
      <formula>NOT(ISERROR(SEARCH("No se pudo ejecutar",O248)))</formula>
    </cfRule>
    <cfRule type="containsText" dxfId="2777" priority="3066" operator="containsText" text="Pendiente">
      <formula>NOT(ISERROR(SEARCH("Pendiente",O248)))</formula>
    </cfRule>
    <cfRule type="containsText" dxfId="2776" priority="3067" operator="containsText" text="No Aplica">
      <formula>NOT(ISERROR(SEARCH("No Aplica",O248)))</formula>
    </cfRule>
    <cfRule type="containsText" dxfId="2775" priority="3068" operator="containsText" text="Fallido">
      <formula>NOT(ISERROR(SEARCH("Fallido",O248)))</formula>
    </cfRule>
    <cfRule type="containsText" dxfId="2774" priority="3069" operator="containsText" text="Éxitoso">
      <formula>NOT(ISERROR(SEARCH("Éxitoso",O248)))</formula>
    </cfRule>
  </conditionalFormatting>
  <conditionalFormatting sqref="P248">
    <cfRule type="containsText" dxfId="2773" priority="3060" operator="containsText" text="No se pudo ejecutar">
      <formula>NOT(ISERROR(SEARCH("No se pudo ejecutar",P248)))</formula>
    </cfRule>
    <cfRule type="containsText" dxfId="2772" priority="3061" operator="containsText" text="Pendiente">
      <formula>NOT(ISERROR(SEARCH("Pendiente",P248)))</formula>
    </cfRule>
    <cfRule type="containsText" dxfId="2771" priority="3062" operator="containsText" text="No Aplica">
      <formula>NOT(ISERROR(SEARCH("No Aplica",P248)))</formula>
    </cfRule>
    <cfRule type="containsText" dxfId="2770" priority="3063" operator="containsText" text="Fallido">
      <formula>NOT(ISERROR(SEARCH("Fallido",P248)))</formula>
    </cfRule>
    <cfRule type="containsText" dxfId="2769" priority="3064" operator="containsText" text="Éxitoso">
      <formula>NOT(ISERROR(SEARCH("Éxitoso",P248)))</formula>
    </cfRule>
  </conditionalFormatting>
  <conditionalFormatting sqref="Q248">
    <cfRule type="containsText" dxfId="2768" priority="3055" operator="containsText" text="No se pudo ejecutar">
      <formula>NOT(ISERROR(SEARCH("No se pudo ejecutar",Q248)))</formula>
    </cfRule>
    <cfRule type="containsText" dxfId="2767" priority="3056" operator="containsText" text="Pendiente">
      <formula>NOT(ISERROR(SEARCH("Pendiente",Q248)))</formula>
    </cfRule>
    <cfRule type="containsText" dxfId="2766" priority="3057" operator="containsText" text="No Aplica">
      <formula>NOT(ISERROR(SEARCH("No Aplica",Q248)))</formula>
    </cfRule>
    <cfRule type="containsText" dxfId="2765" priority="3058" operator="containsText" text="Fallido">
      <formula>NOT(ISERROR(SEARCH("Fallido",Q248)))</formula>
    </cfRule>
    <cfRule type="containsText" dxfId="2764" priority="3059" operator="containsText" text="Éxitoso">
      <formula>NOT(ISERROR(SEARCH("Éxitoso",Q248)))</formula>
    </cfRule>
  </conditionalFormatting>
  <conditionalFormatting sqref="R248">
    <cfRule type="containsText" dxfId="2763" priority="3050" operator="containsText" text="No se pudo ejecutar">
      <formula>NOT(ISERROR(SEARCH("No se pudo ejecutar",R248)))</formula>
    </cfRule>
    <cfRule type="containsText" dxfId="2762" priority="3051" operator="containsText" text="Pendiente">
      <formula>NOT(ISERROR(SEARCH("Pendiente",R248)))</formula>
    </cfRule>
    <cfRule type="containsText" dxfId="2761" priority="3052" operator="containsText" text="No Aplica">
      <formula>NOT(ISERROR(SEARCH("No Aplica",R248)))</formula>
    </cfRule>
    <cfRule type="containsText" dxfId="2760" priority="3053" operator="containsText" text="Fallido">
      <formula>NOT(ISERROR(SEARCH("Fallido",R248)))</formula>
    </cfRule>
    <cfRule type="containsText" dxfId="2759" priority="3054" operator="containsText" text="Éxitoso">
      <formula>NOT(ISERROR(SEARCH("Éxitoso",R248)))</formula>
    </cfRule>
  </conditionalFormatting>
  <conditionalFormatting sqref="S248">
    <cfRule type="containsText" dxfId="2758" priority="3045" operator="containsText" text="No se pudo ejecutar">
      <formula>NOT(ISERROR(SEARCH("No se pudo ejecutar",S248)))</formula>
    </cfRule>
    <cfRule type="containsText" dxfId="2757" priority="3046" operator="containsText" text="Pendiente">
      <formula>NOT(ISERROR(SEARCH("Pendiente",S248)))</formula>
    </cfRule>
    <cfRule type="containsText" dxfId="2756" priority="3047" operator="containsText" text="No Aplica">
      <formula>NOT(ISERROR(SEARCH("No Aplica",S248)))</formula>
    </cfRule>
    <cfRule type="containsText" dxfId="2755" priority="3048" operator="containsText" text="Fallido">
      <formula>NOT(ISERROR(SEARCH("Fallido",S248)))</formula>
    </cfRule>
    <cfRule type="containsText" dxfId="2754" priority="3049" operator="containsText" text="Éxitoso">
      <formula>NOT(ISERROR(SEARCH("Éxitoso",S248)))</formula>
    </cfRule>
  </conditionalFormatting>
  <conditionalFormatting sqref="T248">
    <cfRule type="containsText" dxfId="2753" priority="3040" operator="containsText" text="No se pudo ejecutar">
      <formula>NOT(ISERROR(SEARCH("No se pudo ejecutar",T248)))</formula>
    </cfRule>
    <cfRule type="containsText" dxfId="2752" priority="3041" operator="containsText" text="Pendiente">
      <formula>NOT(ISERROR(SEARCH("Pendiente",T248)))</formula>
    </cfRule>
    <cfRule type="containsText" dxfId="2751" priority="3042" operator="containsText" text="No Aplica">
      <formula>NOT(ISERROR(SEARCH("No Aplica",T248)))</formula>
    </cfRule>
    <cfRule type="containsText" dxfId="2750" priority="3043" operator="containsText" text="Fallido">
      <formula>NOT(ISERROR(SEARCH("Fallido",T248)))</formula>
    </cfRule>
    <cfRule type="containsText" dxfId="2749" priority="3044" operator="containsText" text="Éxitoso">
      <formula>NOT(ISERROR(SEARCH("Éxitoso",T248)))</formula>
    </cfRule>
  </conditionalFormatting>
  <conditionalFormatting sqref="U248">
    <cfRule type="containsText" dxfId="2748" priority="3035" operator="containsText" text="No se pudo ejecutar">
      <formula>NOT(ISERROR(SEARCH("No se pudo ejecutar",U248)))</formula>
    </cfRule>
    <cfRule type="containsText" dxfId="2747" priority="3036" operator="containsText" text="Pendiente">
      <formula>NOT(ISERROR(SEARCH("Pendiente",U248)))</formula>
    </cfRule>
    <cfRule type="containsText" dxfId="2746" priority="3037" operator="containsText" text="No Aplica">
      <formula>NOT(ISERROR(SEARCH("No Aplica",U248)))</formula>
    </cfRule>
    <cfRule type="containsText" dxfId="2745" priority="3038" operator="containsText" text="Fallido">
      <formula>NOT(ISERROR(SEARCH("Fallido",U248)))</formula>
    </cfRule>
    <cfRule type="containsText" dxfId="2744" priority="3039" operator="containsText" text="Éxitoso">
      <formula>NOT(ISERROR(SEARCH("Éxitoso",U248)))</formula>
    </cfRule>
  </conditionalFormatting>
  <conditionalFormatting sqref="V248">
    <cfRule type="containsText" dxfId="2743" priority="3030" operator="containsText" text="No se pudo ejecutar">
      <formula>NOT(ISERROR(SEARCH("No se pudo ejecutar",V248)))</formula>
    </cfRule>
    <cfRule type="containsText" dxfId="2742" priority="3031" operator="containsText" text="Pendiente">
      <formula>NOT(ISERROR(SEARCH("Pendiente",V248)))</formula>
    </cfRule>
    <cfRule type="containsText" dxfId="2741" priority="3032" operator="containsText" text="No Aplica">
      <formula>NOT(ISERROR(SEARCH("No Aplica",V248)))</formula>
    </cfRule>
    <cfRule type="containsText" dxfId="2740" priority="3033" operator="containsText" text="Fallido">
      <formula>NOT(ISERROR(SEARCH("Fallido",V248)))</formula>
    </cfRule>
    <cfRule type="containsText" dxfId="2739" priority="3034" operator="containsText" text="Éxitoso">
      <formula>NOT(ISERROR(SEARCH("Éxitoso",V248)))</formula>
    </cfRule>
  </conditionalFormatting>
  <conditionalFormatting sqref="W248">
    <cfRule type="containsText" dxfId="2738" priority="3025" operator="containsText" text="No se pudo ejecutar">
      <formula>NOT(ISERROR(SEARCH("No se pudo ejecutar",W248)))</formula>
    </cfRule>
    <cfRule type="containsText" dxfId="2737" priority="3026" operator="containsText" text="Pendiente">
      <formula>NOT(ISERROR(SEARCH("Pendiente",W248)))</formula>
    </cfRule>
    <cfRule type="containsText" dxfId="2736" priority="3027" operator="containsText" text="No Aplica">
      <formula>NOT(ISERROR(SEARCH("No Aplica",W248)))</formula>
    </cfRule>
    <cfRule type="containsText" dxfId="2735" priority="3028" operator="containsText" text="Fallido">
      <formula>NOT(ISERROR(SEARCH("Fallido",W248)))</formula>
    </cfRule>
    <cfRule type="containsText" dxfId="2734" priority="3029" operator="containsText" text="Éxitoso">
      <formula>NOT(ISERROR(SEARCH("Éxitoso",W248)))</formula>
    </cfRule>
  </conditionalFormatting>
  <conditionalFormatting sqref="M248">
    <cfRule type="containsText" dxfId="2733" priority="3020" operator="containsText" text="No se pudo ejecutar">
      <formula>NOT(ISERROR(SEARCH("No se pudo ejecutar",M248)))</formula>
    </cfRule>
    <cfRule type="containsText" dxfId="2732" priority="3021" operator="containsText" text="Pendiente">
      <formula>NOT(ISERROR(SEARCH("Pendiente",M248)))</formula>
    </cfRule>
    <cfRule type="containsText" dxfId="2731" priority="3022" operator="containsText" text="No Aplica">
      <formula>NOT(ISERROR(SEARCH("No Aplica",M248)))</formula>
    </cfRule>
    <cfRule type="containsText" dxfId="2730" priority="3023" operator="containsText" text="Fallido">
      <formula>NOT(ISERROR(SEARCH("Fallido",M248)))</formula>
    </cfRule>
    <cfRule type="containsText" dxfId="2729" priority="3024" operator="containsText" text="Éxitoso">
      <formula>NOT(ISERROR(SEARCH("Éxitoso",M248)))</formula>
    </cfRule>
  </conditionalFormatting>
  <conditionalFormatting sqref="G248">
    <cfRule type="containsText" dxfId="2728" priority="3017" operator="containsText" text="Bajo">
      <formula>NOT(ISERROR(SEARCH("Bajo",G248)))</formula>
    </cfRule>
    <cfRule type="containsText" dxfId="2727" priority="3018" operator="containsText" text="Medio">
      <formula>NOT(ISERROR(SEARCH("Medio",G248)))</formula>
    </cfRule>
    <cfRule type="containsText" dxfId="2726" priority="3019" operator="containsText" text="Alto">
      <formula>NOT(ISERROR(SEARCH("Alto",G248)))</formula>
    </cfRule>
  </conditionalFormatting>
  <conditionalFormatting sqref="N249">
    <cfRule type="containsText" dxfId="2725" priority="3012" operator="containsText" text="No se pudo ejecutar">
      <formula>NOT(ISERROR(SEARCH("No se pudo ejecutar",N249)))</formula>
    </cfRule>
    <cfRule type="containsText" dxfId="2724" priority="3013" operator="containsText" text="Pendiente">
      <formula>NOT(ISERROR(SEARCH("Pendiente",N249)))</formula>
    </cfRule>
    <cfRule type="containsText" dxfId="2723" priority="3014" operator="containsText" text="No Aplica">
      <formula>NOT(ISERROR(SEARCH("No Aplica",N249)))</formula>
    </cfRule>
    <cfRule type="containsText" dxfId="2722" priority="3015" operator="containsText" text="Fallido">
      <formula>NOT(ISERROR(SEARCH("Fallido",N249)))</formula>
    </cfRule>
    <cfRule type="containsText" dxfId="2721" priority="3016" operator="containsText" text="Éxitoso">
      <formula>NOT(ISERROR(SEARCH("Éxitoso",N249)))</formula>
    </cfRule>
  </conditionalFormatting>
  <conditionalFormatting sqref="O249">
    <cfRule type="containsText" dxfId="2720" priority="3007" operator="containsText" text="No se pudo ejecutar">
      <formula>NOT(ISERROR(SEARCH("No se pudo ejecutar",O249)))</formula>
    </cfRule>
    <cfRule type="containsText" dxfId="2719" priority="3008" operator="containsText" text="Pendiente">
      <formula>NOT(ISERROR(SEARCH("Pendiente",O249)))</formula>
    </cfRule>
    <cfRule type="containsText" dxfId="2718" priority="3009" operator="containsText" text="No Aplica">
      <formula>NOT(ISERROR(SEARCH("No Aplica",O249)))</formula>
    </cfRule>
    <cfRule type="containsText" dxfId="2717" priority="3010" operator="containsText" text="Fallido">
      <formula>NOT(ISERROR(SEARCH("Fallido",O249)))</formula>
    </cfRule>
    <cfRule type="containsText" dxfId="2716" priority="3011" operator="containsText" text="Éxitoso">
      <formula>NOT(ISERROR(SEARCH("Éxitoso",O249)))</formula>
    </cfRule>
  </conditionalFormatting>
  <conditionalFormatting sqref="P249">
    <cfRule type="containsText" dxfId="2715" priority="3002" operator="containsText" text="No se pudo ejecutar">
      <formula>NOT(ISERROR(SEARCH("No se pudo ejecutar",P249)))</formula>
    </cfRule>
    <cfRule type="containsText" dxfId="2714" priority="3003" operator="containsText" text="Pendiente">
      <formula>NOT(ISERROR(SEARCH("Pendiente",P249)))</formula>
    </cfRule>
    <cfRule type="containsText" dxfId="2713" priority="3004" operator="containsText" text="No Aplica">
      <formula>NOT(ISERROR(SEARCH("No Aplica",P249)))</formula>
    </cfRule>
    <cfRule type="containsText" dxfId="2712" priority="3005" operator="containsText" text="Fallido">
      <formula>NOT(ISERROR(SEARCH("Fallido",P249)))</formula>
    </cfRule>
    <cfRule type="containsText" dxfId="2711" priority="3006" operator="containsText" text="Éxitoso">
      <formula>NOT(ISERROR(SEARCH("Éxitoso",P249)))</formula>
    </cfRule>
  </conditionalFormatting>
  <conditionalFormatting sqref="Q249">
    <cfRule type="containsText" dxfId="2710" priority="2997" operator="containsText" text="No se pudo ejecutar">
      <formula>NOT(ISERROR(SEARCH("No se pudo ejecutar",Q249)))</formula>
    </cfRule>
    <cfRule type="containsText" dxfId="2709" priority="2998" operator="containsText" text="Pendiente">
      <formula>NOT(ISERROR(SEARCH("Pendiente",Q249)))</formula>
    </cfRule>
    <cfRule type="containsText" dxfId="2708" priority="2999" operator="containsText" text="No Aplica">
      <formula>NOT(ISERROR(SEARCH("No Aplica",Q249)))</formula>
    </cfRule>
    <cfRule type="containsText" dxfId="2707" priority="3000" operator="containsText" text="Fallido">
      <formula>NOT(ISERROR(SEARCH("Fallido",Q249)))</formula>
    </cfRule>
    <cfRule type="containsText" dxfId="2706" priority="3001" operator="containsText" text="Éxitoso">
      <formula>NOT(ISERROR(SEARCH("Éxitoso",Q249)))</formula>
    </cfRule>
  </conditionalFormatting>
  <conditionalFormatting sqref="R249">
    <cfRule type="containsText" dxfId="2705" priority="2992" operator="containsText" text="No se pudo ejecutar">
      <formula>NOT(ISERROR(SEARCH("No se pudo ejecutar",R249)))</formula>
    </cfRule>
    <cfRule type="containsText" dxfId="2704" priority="2993" operator="containsText" text="Pendiente">
      <formula>NOT(ISERROR(SEARCH("Pendiente",R249)))</formula>
    </cfRule>
    <cfRule type="containsText" dxfId="2703" priority="2994" operator="containsText" text="No Aplica">
      <formula>NOT(ISERROR(SEARCH("No Aplica",R249)))</formula>
    </cfRule>
    <cfRule type="containsText" dxfId="2702" priority="2995" operator="containsText" text="Fallido">
      <formula>NOT(ISERROR(SEARCH("Fallido",R249)))</formula>
    </cfRule>
    <cfRule type="containsText" dxfId="2701" priority="2996" operator="containsText" text="Éxitoso">
      <formula>NOT(ISERROR(SEARCH("Éxitoso",R249)))</formula>
    </cfRule>
  </conditionalFormatting>
  <conditionalFormatting sqref="S249">
    <cfRule type="containsText" dxfId="2700" priority="2987" operator="containsText" text="No se pudo ejecutar">
      <formula>NOT(ISERROR(SEARCH("No se pudo ejecutar",S249)))</formula>
    </cfRule>
    <cfRule type="containsText" dxfId="2699" priority="2988" operator="containsText" text="Pendiente">
      <formula>NOT(ISERROR(SEARCH("Pendiente",S249)))</formula>
    </cfRule>
    <cfRule type="containsText" dxfId="2698" priority="2989" operator="containsText" text="No Aplica">
      <formula>NOT(ISERROR(SEARCH("No Aplica",S249)))</formula>
    </cfRule>
    <cfRule type="containsText" dxfId="2697" priority="2990" operator="containsText" text="Fallido">
      <formula>NOT(ISERROR(SEARCH("Fallido",S249)))</formula>
    </cfRule>
    <cfRule type="containsText" dxfId="2696" priority="2991" operator="containsText" text="Éxitoso">
      <formula>NOT(ISERROR(SEARCH("Éxitoso",S249)))</formula>
    </cfRule>
  </conditionalFormatting>
  <conditionalFormatting sqref="T249">
    <cfRule type="containsText" dxfId="2695" priority="2982" operator="containsText" text="No se pudo ejecutar">
      <formula>NOT(ISERROR(SEARCH("No se pudo ejecutar",T249)))</formula>
    </cfRule>
    <cfRule type="containsText" dxfId="2694" priority="2983" operator="containsText" text="Pendiente">
      <formula>NOT(ISERROR(SEARCH("Pendiente",T249)))</formula>
    </cfRule>
    <cfRule type="containsText" dxfId="2693" priority="2984" operator="containsText" text="No Aplica">
      <formula>NOT(ISERROR(SEARCH("No Aplica",T249)))</formula>
    </cfRule>
    <cfRule type="containsText" dxfId="2692" priority="2985" operator="containsText" text="Fallido">
      <formula>NOT(ISERROR(SEARCH("Fallido",T249)))</formula>
    </cfRule>
    <cfRule type="containsText" dxfId="2691" priority="2986" operator="containsText" text="Éxitoso">
      <formula>NOT(ISERROR(SEARCH("Éxitoso",T249)))</formula>
    </cfRule>
  </conditionalFormatting>
  <conditionalFormatting sqref="U249">
    <cfRule type="containsText" dxfId="2690" priority="2977" operator="containsText" text="No se pudo ejecutar">
      <formula>NOT(ISERROR(SEARCH("No se pudo ejecutar",U249)))</formula>
    </cfRule>
    <cfRule type="containsText" dxfId="2689" priority="2978" operator="containsText" text="Pendiente">
      <formula>NOT(ISERROR(SEARCH("Pendiente",U249)))</formula>
    </cfRule>
    <cfRule type="containsText" dxfId="2688" priority="2979" operator="containsText" text="No Aplica">
      <formula>NOT(ISERROR(SEARCH("No Aplica",U249)))</formula>
    </cfRule>
    <cfRule type="containsText" dxfId="2687" priority="2980" operator="containsText" text="Fallido">
      <formula>NOT(ISERROR(SEARCH("Fallido",U249)))</formula>
    </cfRule>
    <cfRule type="containsText" dxfId="2686" priority="2981" operator="containsText" text="Éxitoso">
      <formula>NOT(ISERROR(SEARCH("Éxitoso",U249)))</formula>
    </cfRule>
  </conditionalFormatting>
  <conditionalFormatting sqref="V249">
    <cfRule type="containsText" dxfId="2685" priority="2972" operator="containsText" text="No se pudo ejecutar">
      <formula>NOT(ISERROR(SEARCH("No se pudo ejecutar",V249)))</formula>
    </cfRule>
    <cfRule type="containsText" dxfId="2684" priority="2973" operator="containsText" text="Pendiente">
      <formula>NOT(ISERROR(SEARCH("Pendiente",V249)))</formula>
    </cfRule>
    <cfRule type="containsText" dxfId="2683" priority="2974" operator="containsText" text="No Aplica">
      <formula>NOT(ISERROR(SEARCH("No Aplica",V249)))</formula>
    </cfRule>
    <cfRule type="containsText" dxfId="2682" priority="2975" operator="containsText" text="Fallido">
      <formula>NOT(ISERROR(SEARCH("Fallido",V249)))</formula>
    </cfRule>
    <cfRule type="containsText" dxfId="2681" priority="2976" operator="containsText" text="Éxitoso">
      <formula>NOT(ISERROR(SEARCH("Éxitoso",V249)))</formula>
    </cfRule>
  </conditionalFormatting>
  <conditionalFormatting sqref="W249">
    <cfRule type="containsText" dxfId="2680" priority="2967" operator="containsText" text="No se pudo ejecutar">
      <formula>NOT(ISERROR(SEARCH("No se pudo ejecutar",W249)))</formula>
    </cfRule>
    <cfRule type="containsText" dxfId="2679" priority="2968" operator="containsText" text="Pendiente">
      <formula>NOT(ISERROR(SEARCH("Pendiente",W249)))</formula>
    </cfRule>
    <cfRule type="containsText" dxfId="2678" priority="2969" operator="containsText" text="No Aplica">
      <formula>NOT(ISERROR(SEARCH("No Aplica",W249)))</formula>
    </cfRule>
    <cfRule type="containsText" dxfId="2677" priority="2970" operator="containsText" text="Fallido">
      <formula>NOT(ISERROR(SEARCH("Fallido",W249)))</formula>
    </cfRule>
    <cfRule type="containsText" dxfId="2676" priority="2971" operator="containsText" text="Éxitoso">
      <formula>NOT(ISERROR(SEARCH("Éxitoso",W249)))</formula>
    </cfRule>
  </conditionalFormatting>
  <conditionalFormatting sqref="M249">
    <cfRule type="containsText" dxfId="2675" priority="2962" operator="containsText" text="No se pudo ejecutar">
      <formula>NOT(ISERROR(SEARCH("No se pudo ejecutar",M249)))</formula>
    </cfRule>
    <cfRule type="containsText" dxfId="2674" priority="2963" operator="containsText" text="Pendiente">
      <formula>NOT(ISERROR(SEARCH("Pendiente",M249)))</formula>
    </cfRule>
    <cfRule type="containsText" dxfId="2673" priority="2964" operator="containsText" text="No Aplica">
      <formula>NOT(ISERROR(SEARCH("No Aplica",M249)))</formula>
    </cfRule>
    <cfRule type="containsText" dxfId="2672" priority="2965" operator="containsText" text="Fallido">
      <formula>NOT(ISERROR(SEARCH("Fallido",M249)))</formula>
    </cfRule>
    <cfRule type="containsText" dxfId="2671" priority="2966" operator="containsText" text="Éxitoso">
      <formula>NOT(ISERROR(SEARCH("Éxitoso",M249)))</formula>
    </cfRule>
  </conditionalFormatting>
  <conditionalFormatting sqref="G249">
    <cfRule type="containsText" dxfId="2670" priority="2959" operator="containsText" text="Bajo">
      <formula>NOT(ISERROR(SEARCH("Bajo",G249)))</formula>
    </cfRule>
    <cfRule type="containsText" dxfId="2669" priority="2960" operator="containsText" text="Medio">
      <formula>NOT(ISERROR(SEARCH("Medio",G249)))</formula>
    </cfRule>
    <cfRule type="containsText" dxfId="2668" priority="2961" operator="containsText" text="Alto">
      <formula>NOT(ISERROR(SEARCH("Alto",G249)))</formula>
    </cfRule>
  </conditionalFormatting>
  <conditionalFormatting sqref="N250">
    <cfRule type="containsText" dxfId="2667" priority="2954" operator="containsText" text="No se pudo ejecutar">
      <formula>NOT(ISERROR(SEARCH("No se pudo ejecutar",N250)))</formula>
    </cfRule>
    <cfRule type="containsText" dxfId="2666" priority="2955" operator="containsText" text="Pendiente">
      <formula>NOT(ISERROR(SEARCH("Pendiente",N250)))</formula>
    </cfRule>
    <cfRule type="containsText" dxfId="2665" priority="2956" operator="containsText" text="No Aplica">
      <formula>NOT(ISERROR(SEARCH("No Aplica",N250)))</formula>
    </cfRule>
    <cfRule type="containsText" dxfId="2664" priority="2957" operator="containsText" text="Fallido">
      <formula>NOT(ISERROR(SEARCH("Fallido",N250)))</formula>
    </cfRule>
    <cfRule type="containsText" dxfId="2663" priority="2958" operator="containsText" text="Éxitoso">
      <formula>NOT(ISERROR(SEARCH("Éxitoso",N250)))</formula>
    </cfRule>
  </conditionalFormatting>
  <conditionalFormatting sqref="O250">
    <cfRule type="containsText" dxfId="2662" priority="2949" operator="containsText" text="No se pudo ejecutar">
      <formula>NOT(ISERROR(SEARCH("No se pudo ejecutar",O250)))</formula>
    </cfRule>
    <cfRule type="containsText" dxfId="2661" priority="2950" operator="containsText" text="Pendiente">
      <formula>NOT(ISERROR(SEARCH("Pendiente",O250)))</formula>
    </cfRule>
    <cfRule type="containsText" dxfId="2660" priority="2951" operator="containsText" text="No Aplica">
      <formula>NOT(ISERROR(SEARCH("No Aplica",O250)))</formula>
    </cfRule>
    <cfRule type="containsText" dxfId="2659" priority="2952" operator="containsText" text="Fallido">
      <formula>NOT(ISERROR(SEARCH("Fallido",O250)))</formula>
    </cfRule>
    <cfRule type="containsText" dxfId="2658" priority="2953" operator="containsText" text="Éxitoso">
      <formula>NOT(ISERROR(SEARCH("Éxitoso",O250)))</formula>
    </cfRule>
  </conditionalFormatting>
  <conditionalFormatting sqref="P250">
    <cfRule type="containsText" dxfId="2657" priority="2944" operator="containsText" text="No se pudo ejecutar">
      <formula>NOT(ISERROR(SEARCH("No se pudo ejecutar",P250)))</formula>
    </cfRule>
    <cfRule type="containsText" dxfId="2656" priority="2945" operator="containsText" text="Pendiente">
      <formula>NOT(ISERROR(SEARCH("Pendiente",P250)))</formula>
    </cfRule>
    <cfRule type="containsText" dxfId="2655" priority="2946" operator="containsText" text="No Aplica">
      <formula>NOT(ISERROR(SEARCH("No Aplica",P250)))</formula>
    </cfRule>
    <cfRule type="containsText" dxfId="2654" priority="2947" operator="containsText" text="Fallido">
      <formula>NOT(ISERROR(SEARCH("Fallido",P250)))</formula>
    </cfRule>
    <cfRule type="containsText" dxfId="2653" priority="2948" operator="containsText" text="Éxitoso">
      <formula>NOT(ISERROR(SEARCH("Éxitoso",P250)))</formula>
    </cfRule>
  </conditionalFormatting>
  <conditionalFormatting sqref="Q250">
    <cfRule type="containsText" dxfId="2652" priority="2939" operator="containsText" text="No se pudo ejecutar">
      <formula>NOT(ISERROR(SEARCH("No se pudo ejecutar",Q250)))</formula>
    </cfRule>
    <cfRule type="containsText" dxfId="2651" priority="2940" operator="containsText" text="Pendiente">
      <formula>NOT(ISERROR(SEARCH("Pendiente",Q250)))</formula>
    </cfRule>
    <cfRule type="containsText" dxfId="2650" priority="2941" operator="containsText" text="No Aplica">
      <formula>NOT(ISERROR(SEARCH("No Aplica",Q250)))</formula>
    </cfRule>
    <cfRule type="containsText" dxfId="2649" priority="2942" operator="containsText" text="Fallido">
      <formula>NOT(ISERROR(SEARCH("Fallido",Q250)))</formula>
    </cfRule>
    <cfRule type="containsText" dxfId="2648" priority="2943" operator="containsText" text="Éxitoso">
      <formula>NOT(ISERROR(SEARCH("Éxitoso",Q250)))</formula>
    </cfRule>
  </conditionalFormatting>
  <conditionalFormatting sqref="R250">
    <cfRule type="containsText" dxfId="2647" priority="2934" operator="containsText" text="No se pudo ejecutar">
      <formula>NOT(ISERROR(SEARCH("No se pudo ejecutar",R250)))</formula>
    </cfRule>
    <cfRule type="containsText" dxfId="2646" priority="2935" operator="containsText" text="Pendiente">
      <formula>NOT(ISERROR(SEARCH("Pendiente",R250)))</formula>
    </cfRule>
    <cfRule type="containsText" dxfId="2645" priority="2936" operator="containsText" text="No Aplica">
      <formula>NOT(ISERROR(SEARCH("No Aplica",R250)))</formula>
    </cfRule>
    <cfRule type="containsText" dxfId="2644" priority="2937" operator="containsText" text="Fallido">
      <formula>NOT(ISERROR(SEARCH("Fallido",R250)))</formula>
    </cfRule>
    <cfRule type="containsText" dxfId="2643" priority="2938" operator="containsText" text="Éxitoso">
      <formula>NOT(ISERROR(SEARCH("Éxitoso",R250)))</formula>
    </cfRule>
  </conditionalFormatting>
  <conditionalFormatting sqref="S250">
    <cfRule type="containsText" dxfId="2642" priority="2929" operator="containsText" text="No se pudo ejecutar">
      <formula>NOT(ISERROR(SEARCH("No se pudo ejecutar",S250)))</formula>
    </cfRule>
    <cfRule type="containsText" dxfId="2641" priority="2930" operator="containsText" text="Pendiente">
      <formula>NOT(ISERROR(SEARCH("Pendiente",S250)))</formula>
    </cfRule>
    <cfRule type="containsText" dxfId="2640" priority="2931" operator="containsText" text="No Aplica">
      <formula>NOT(ISERROR(SEARCH("No Aplica",S250)))</formula>
    </cfRule>
    <cfRule type="containsText" dxfId="2639" priority="2932" operator="containsText" text="Fallido">
      <formula>NOT(ISERROR(SEARCH("Fallido",S250)))</formula>
    </cfRule>
    <cfRule type="containsText" dxfId="2638" priority="2933" operator="containsText" text="Éxitoso">
      <formula>NOT(ISERROR(SEARCH("Éxitoso",S250)))</formula>
    </cfRule>
  </conditionalFormatting>
  <conditionalFormatting sqref="T250">
    <cfRule type="containsText" dxfId="2637" priority="2924" operator="containsText" text="No se pudo ejecutar">
      <formula>NOT(ISERROR(SEARCH("No se pudo ejecutar",T250)))</formula>
    </cfRule>
    <cfRule type="containsText" dxfId="2636" priority="2925" operator="containsText" text="Pendiente">
      <formula>NOT(ISERROR(SEARCH("Pendiente",T250)))</formula>
    </cfRule>
    <cfRule type="containsText" dxfId="2635" priority="2926" operator="containsText" text="No Aplica">
      <formula>NOT(ISERROR(SEARCH("No Aplica",T250)))</formula>
    </cfRule>
    <cfRule type="containsText" dxfId="2634" priority="2927" operator="containsText" text="Fallido">
      <formula>NOT(ISERROR(SEARCH("Fallido",T250)))</formula>
    </cfRule>
    <cfRule type="containsText" dxfId="2633" priority="2928" operator="containsText" text="Éxitoso">
      <formula>NOT(ISERROR(SEARCH("Éxitoso",T250)))</formula>
    </cfRule>
  </conditionalFormatting>
  <conditionalFormatting sqref="U250">
    <cfRule type="containsText" dxfId="2632" priority="2919" operator="containsText" text="No se pudo ejecutar">
      <formula>NOT(ISERROR(SEARCH("No se pudo ejecutar",U250)))</formula>
    </cfRule>
    <cfRule type="containsText" dxfId="2631" priority="2920" operator="containsText" text="Pendiente">
      <formula>NOT(ISERROR(SEARCH("Pendiente",U250)))</formula>
    </cfRule>
    <cfRule type="containsText" dxfId="2630" priority="2921" operator="containsText" text="No Aplica">
      <formula>NOT(ISERROR(SEARCH("No Aplica",U250)))</formula>
    </cfRule>
    <cfRule type="containsText" dxfId="2629" priority="2922" operator="containsText" text="Fallido">
      <formula>NOT(ISERROR(SEARCH("Fallido",U250)))</formula>
    </cfRule>
    <cfRule type="containsText" dxfId="2628" priority="2923" operator="containsText" text="Éxitoso">
      <formula>NOT(ISERROR(SEARCH("Éxitoso",U250)))</formula>
    </cfRule>
  </conditionalFormatting>
  <conditionalFormatting sqref="V250">
    <cfRule type="containsText" dxfId="2627" priority="2914" operator="containsText" text="No se pudo ejecutar">
      <formula>NOT(ISERROR(SEARCH("No se pudo ejecutar",V250)))</formula>
    </cfRule>
    <cfRule type="containsText" dxfId="2626" priority="2915" operator="containsText" text="Pendiente">
      <formula>NOT(ISERROR(SEARCH("Pendiente",V250)))</formula>
    </cfRule>
    <cfRule type="containsText" dxfId="2625" priority="2916" operator="containsText" text="No Aplica">
      <formula>NOT(ISERROR(SEARCH("No Aplica",V250)))</formula>
    </cfRule>
    <cfRule type="containsText" dxfId="2624" priority="2917" operator="containsText" text="Fallido">
      <formula>NOT(ISERROR(SEARCH("Fallido",V250)))</formula>
    </cfRule>
    <cfRule type="containsText" dxfId="2623" priority="2918" operator="containsText" text="Éxitoso">
      <formula>NOT(ISERROR(SEARCH("Éxitoso",V250)))</formula>
    </cfRule>
  </conditionalFormatting>
  <conditionalFormatting sqref="W250">
    <cfRule type="containsText" dxfId="2622" priority="2909" operator="containsText" text="No se pudo ejecutar">
      <formula>NOT(ISERROR(SEARCH("No se pudo ejecutar",W250)))</formula>
    </cfRule>
    <cfRule type="containsText" dxfId="2621" priority="2910" operator="containsText" text="Pendiente">
      <formula>NOT(ISERROR(SEARCH("Pendiente",W250)))</formula>
    </cfRule>
    <cfRule type="containsText" dxfId="2620" priority="2911" operator="containsText" text="No Aplica">
      <formula>NOT(ISERROR(SEARCH("No Aplica",W250)))</formula>
    </cfRule>
    <cfRule type="containsText" dxfId="2619" priority="2912" operator="containsText" text="Fallido">
      <formula>NOT(ISERROR(SEARCH("Fallido",W250)))</formula>
    </cfRule>
    <cfRule type="containsText" dxfId="2618" priority="2913" operator="containsText" text="Éxitoso">
      <formula>NOT(ISERROR(SEARCH("Éxitoso",W250)))</formula>
    </cfRule>
  </conditionalFormatting>
  <conditionalFormatting sqref="M250">
    <cfRule type="containsText" dxfId="2617" priority="2904" operator="containsText" text="No se pudo ejecutar">
      <formula>NOT(ISERROR(SEARCH("No se pudo ejecutar",M250)))</formula>
    </cfRule>
    <cfRule type="containsText" dxfId="2616" priority="2905" operator="containsText" text="Pendiente">
      <formula>NOT(ISERROR(SEARCH("Pendiente",M250)))</formula>
    </cfRule>
    <cfRule type="containsText" dxfId="2615" priority="2906" operator="containsText" text="No Aplica">
      <formula>NOT(ISERROR(SEARCH("No Aplica",M250)))</formula>
    </cfRule>
    <cfRule type="containsText" dxfId="2614" priority="2907" operator="containsText" text="Fallido">
      <formula>NOT(ISERROR(SEARCH("Fallido",M250)))</formula>
    </cfRule>
    <cfRule type="containsText" dxfId="2613" priority="2908" operator="containsText" text="Éxitoso">
      <formula>NOT(ISERROR(SEARCH("Éxitoso",M250)))</formula>
    </cfRule>
  </conditionalFormatting>
  <conditionalFormatting sqref="G250">
    <cfRule type="containsText" dxfId="2612" priority="2901" operator="containsText" text="Bajo">
      <formula>NOT(ISERROR(SEARCH("Bajo",G250)))</formula>
    </cfRule>
    <cfRule type="containsText" dxfId="2611" priority="2902" operator="containsText" text="Medio">
      <formula>NOT(ISERROR(SEARCH("Medio",G250)))</formula>
    </cfRule>
    <cfRule type="containsText" dxfId="2610" priority="2903" operator="containsText" text="Alto">
      <formula>NOT(ISERROR(SEARCH("Alto",G250)))</formula>
    </cfRule>
  </conditionalFormatting>
  <conditionalFormatting sqref="N251">
    <cfRule type="containsText" dxfId="2609" priority="2896" operator="containsText" text="No se pudo ejecutar">
      <formula>NOT(ISERROR(SEARCH("No se pudo ejecutar",N251)))</formula>
    </cfRule>
    <cfRule type="containsText" dxfId="2608" priority="2897" operator="containsText" text="Pendiente">
      <formula>NOT(ISERROR(SEARCH("Pendiente",N251)))</formula>
    </cfRule>
    <cfRule type="containsText" dxfId="2607" priority="2898" operator="containsText" text="No Aplica">
      <formula>NOT(ISERROR(SEARCH("No Aplica",N251)))</formula>
    </cfRule>
    <cfRule type="containsText" dxfId="2606" priority="2899" operator="containsText" text="Fallido">
      <formula>NOT(ISERROR(SEARCH("Fallido",N251)))</formula>
    </cfRule>
    <cfRule type="containsText" dxfId="2605" priority="2900" operator="containsText" text="Éxitoso">
      <formula>NOT(ISERROR(SEARCH("Éxitoso",N251)))</formula>
    </cfRule>
  </conditionalFormatting>
  <conditionalFormatting sqref="O251">
    <cfRule type="containsText" dxfId="2604" priority="2891" operator="containsText" text="No se pudo ejecutar">
      <formula>NOT(ISERROR(SEARCH("No se pudo ejecutar",O251)))</formula>
    </cfRule>
    <cfRule type="containsText" dxfId="2603" priority="2892" operator="containsText" text="Pendiente">
      <formula>NOT(ISERROR(SEARCH("Pendiente",O251)))</formula>
    </cfRule>
    <cfRule type="containsText" dxfId="2602" priority="2893" operator="containsText" text="No Aplica">
      <formula>NOT(ISERROR(SEARCH("No Aplica",O251)))</formula>
    </cfRule>
    <cfRule type="containsText" dxfId="2601" priority="2894" operator="containsText" text="Fallido">
      <formula>NOT(ISERROR(SEARCH("Fallido",O251)))</formula>
    </cfRule>
    <cfRule type="containsText" dxfId="2600" priority="2895" operator="containsText" text="Éxitoso">
      <formula>NOT(ISERROR(SEARCH("Éxitoso",O251)))</formula>
    </cfRule>
  </conditionalFormatting>
  <conditionalFormatting sqref="P251">
    <cfRule type="containsText" dxfId="2599" priority="2886" operator="containsText" text="No se pudo ejecutar">
      <formula>NOT(ISERROR(SEARCH("No se pudo ejecutar",P251)))</formula>
    </cfRule>
    <cfRule type="containsText" dxfId="2598" priority="2887" operator="containsText" text="Pendiente">
      <formula>NOT(ISERROR(SEARCH("Pendiente",P251)))</formula>
    </cfRule>
    <cfRule type="containsText" dxfId="2597" priority="2888" operator="containsText" text="No Aplica">
      <formula>NOT(ISERROR(SEARCH("No Aplica",P251)))</formula>
    </cfRule>
    <cfRule type="containsText" dxfId="2596" priority="2889" operator="containsText" text="Fallido">
      <formula>NOT(ISERROR(SEARCH("Fallido",P251)))</formula>
    </cfRule>
    <cfRule type="containsText" dxfId="2595" priority="2890" operator="containsText" text="Éxitoso">
      <formula>NOT(ISERROR(SEARCH("Éxitoso",P251)))</formula>
    </cfRule>
  </conditionalFormatting>
  <conditionalFormatting sqref="Q251">
    <cfRule type="containsText" dxfId="2594" priority="2881" operator="containsText" text="No se pudo ejecutar">
      <formula>NOT(ISERROR(SEARCH("No se pudo ejecutar",Q251)))</formula>
    </cfRule>
    <cfRule type="containsText" dxfId="2593" priority="2882" operator="containsText" text="Pendiente">
      <formula>NOT(ISERROR(SEARCH("Pendiente",Q251)))</formula>
    </cfRule>
    <cfRule type="containsText" dxfId="2592" priority="2883" operator="containsText" text="No Aplica">
      <formula>NOT(ISERROR(SEARCH("No Aplica",Q251)))</formula>
    </cfRule>
    <cfRule type="containsText" dxfId="2591" priority="2884" operator="containsText" text="Fallido">
      <formula>NOT(ISERROR(SEARCH("Fallido",Q251)))</formula>
    </cfRule>
    <cfRule type="containsText" dxfId="2590" priority="2885" operator="containsText" text="Éxitoso">
      <formula>NOT(ISERROR(SEARCH("Éxitoso",Q251)))</formula>
    </cfRule>
  </conditionalFormatting>
  <conditionalFormatting sqref="R251">
    <cfRule type="containsText" dxfId="2589" priority="2876" operator="containsText" text="No se pudo ejecutar">
      <formula>NOT(ISERROR(SEARCH("No se pudo ejecutar",R251)))</formula>
    </cfRule>
    <cfRule type="containsText" dxfId="2588" priority="2877" operator="containsText" text="Pendiente">
      <formula>NOT(ISERROR(SEARCH("Pendiente",R251)))</formula>
    </cfRule>
    <cfRule type="containsText" dxfId="2587" priority="2878" operator="containsText" text="No Aplica">
      <formula>NOT(ISERROR(SEARCH("No Aplica",R251)))</formula>
    </cfRule>
    <cfRule type="containsText" dxfId="2586" priority="2879" operator="containsText" text="Fallido">
      <formula>NOT(ISERROR(SEARCH("Fallido",R251)))</formula>
    </cfRule>
    <cfRule type="containsText" dxfId="2585" priority="2880" operator="containsText" text="Éxitoso">
      <formula>NOT(ISERROR(SEARCH("Éxitoso",R251)))</formula>
    </cfRule>
  </conditionalFormatting>
  <conditionalFormatting sqref="S251">
    <cfRule type="containsText" dxfId="2584" priority="2871" operator="containsText" text="No se pudo ejecutar">
      <formula>NOT(ISERROR(SEARCH("No se pudo ejecutar",S251)))</formula>
    </cfRule>
    <cfRule type="containsText" dxfId="2583" priority="2872" operator="containsText" text="Pendiente">
      <formula>NOT(ISERROR(SEARCH("Pendiente",S251)))</formula>
    </cfRule>
    <cfRule type="containsText" dxfId="2582" priority="2873" operator="containsText" text="No Aplica">
      <formula>NOT(ISERROR(SEARCH("No Aplica",S251)))</formula>
    </cfRule>
    <cfRule type="containsText" dxfId="2581" priority="2874" operator="containsText" text="Fallido">
      <formula>NOT(ISERROR(SEARCH("Fallido",S251)))</formula>
    </cfRule>
    <cfRule type="containsText" dxfId="2580" priority="2875" operator="containsText" text="Éxitoso">
      <formula>NOT(ISERROR(SEARCH("Éxitoso",S251)))</formula>
    </cfRule>
  </conditionalFormatting>
  <conditionalFormatting sqref="T251">
    <cfRule type="containsText" dxfId="2579" priority="2866" operator="containsText" text="No se pudo ejecutar">
      <formula>NOT(ISERROR(SEARCH("No se pudo ejecutar",T251)))</formula>
    </cfRule>
    <cfRule type="containsText" dxfId="2578" priority="2867" operator="containsText" text="Pendiente">
      <formula>NOT(ISERROR(SEARCH("Pendiente",T251)))</formula>
    </cfRule>
    <cfRule type="containsText" dxfId="2577" priority="2868" operator="containsText" text="No Aplica">
      <formula>NOT(ISERROR(SEARCH("No Aplica",T251)))</formula>
    </cfRule>
    <cfRule type="containsText" dxfId="2576" priority="2869" operator="containsText" text="Fallido">
      <formula>NOT(ISERROR(SEARCH("Fallido",T251)))</formula>
    </cfRule>
    <cfRule type="containsText" dxfId="2575" priority="2870" operator="containsText" text="Éxitoso">
      <formula>NOT(ISERROR(SEARCH("Éxitoso",T251)))</formula>
    </cfRule>
  </conditionalFormatting>
  <conditionalFormatting sqref="U251">
    <cfRule type="containsText" dxfId="2574" priority="2861" operator="containsText" text="No se pudo ejecutar">
      <formula>NOT(ISERROR(SEARCH("No se pudo ejecutar",U251)))</formula>
    </cfRule>
    <cfRule type="containsText" dxfId="2573" priority="2862" operator="containsText" text="Pendiente">
      <formula>NOT(ISERROR(SEARCH("Pendiente",U251)))</formula>
    </cfRule>
    <cfRule type="containsText" dxfId="2572" priority="2863" operator="containsText" text="No Aplica">
      <formula>NOT(ISERROR(SEARCH("No Aplica",U251)))</formula>
    </cfRule>
    <cfRule type="containsText" dxfId="2571" priority="2864" operator="containsText" text="Fallido">
      <formula>NOT(ISERROR(SEARCH("Fallido",U251)))</formula>
    </cfRule>
    <cfRule type="containsText" dxfId="2570" priority="2865" operator="containsText" text="Éxitoso">
      <formula>NOT(ISERROR(SEARCH("Éxitoso",U251)))</formula>
    </cfRule>
  </conditionalFormatting>
  <conditionalFormatting sqref="V251">
    <cfRule type="containsText" dxfId="2569" priority="2856" operator="containsText" text="No se pudo ejecutar">
      <formula>NOT(ISERROR(SEARCH("No se pudo ejecutar",V251)))</formula>
    </cfRule>
    <cfRule type="containsText" dxfId="2568" priority="2857" operator="containsText" text="Pendiente">
      <formula>NOT(ISERROR(SEARCH("Pendiente",V251)))</formula>
    </cfRule>
    <cfRule type="containsText" dxfId="2567" priority="2858" operator="containsText" text="No Aplica">
      <formula>NOT(ISERROR(SEARCH("No Aplica",V251)))</formula>
    </cfRule>
    <cfRule type="containsText" dxfId="2566" priority="2859" operator="containsText" text="Fallido">
      <formula>NOT(ISERROR(SEARCH("Fallido",V251)))</formula>
    </cfRule>
    <cfRule type="containsText" dxfId="2565" priority="2860" operator="containsText" text="Éxitoso">
      <formula>NOT(ISERROR(SEARCH("Éxitoso",V251)))</formula>
    </cfRule>
  </conditionalFormatting>
  <conditionalFormatting sqref="W251">
    <cfRule type="containsText" dxfId="2564" priority="2851" operator="containsText" text="No se pudo ejecutar">
      <formula>NOT(ISERROR(SEARCH("No se pudo ejecutar",W251)))</formula>
    </cfRule>
    <cfRule type="containsText" dxfId="2563" priority="2852" operator="containsText" text="Pendiente">
      <formula>NOT(ISERROR(SEARCH("Pendiente",W251)))</formula>
    </cfRule>
    <cfRule type="containsText" dxfId="2562" priority="2853" operator="containsText" text="No Aplica">
      <formula>NOT(ISERROR(SEARCH("No Aplica",W251)))</formula>
    </cfRule>
    <cfRule type="containsText" dxfId="2561" priority="2854" operator="containsText" text="Fallido">
      <formula>NOT(ISERROR(SEARCH("Fallido",W251)))</formula>
    </cfRule>
    <cfRule type="containsText" dxfId="2560" priority="2855" operator="containsText" text="Éxitoso">
      <formula>NOT(ISERROR(SEARCH("Éxitoso",W251)))</formula>
    </cfRule>
  </conditionalFormatting>
  <conditionalFormatting sqref="M251">
    <cfRule type="containsText" dxfId="2559" priority="2846" operator="containsText" text="No se pudo ejecutar">
      <formula>NOT(ISERROR(SEARCH("No se pudo ejecutar",M251)))</formula>
    </cfRule>
    <cfRule type="containsText" dxfId="2558" priority="2847" operator="containsText" text="Pendiente">
      <formula>NOT(ISERROR(SEARCH("Pendiente",M251)))</formula>
    </cfRule>
    <cfRule type="containsText" dxfId="2557" priority="2848" operator="containsText" text="No Aplica">
      <formula>NOT(ISERROR(SEARCH("No Aplica",M251)))</formula>
    </cfRule>
    <cfRule type="containsText" dxfId="2556" priority="2849" operator="containsText" text="Fallido">
      <formula>NOT(ISERROR(SEARCH("Fallido",M251)))</formula>
    </cfRule>
    <cfRule type="containsText" dxfId="2555" priority="2850" operator="containsText" text="Éxitoso">
      <formula>NOT(ISERROR(SEARCH("Éxitoso",M251)))</formula>
    </cfRule>
  </conditionalFormatting>
  <conditionalFormatting sqref="G251">
    <cfRule type="containsText" dxfId="2554" priority="2843" operator="containsText" text="Bajo">
      <formula>NOT(ISERROR(SEARCH("Bajo",G251)))</formula>
    </cfRule>
    <cfRule type="containsText" dxfId="2553" priority="2844" operator="containsText" text="Medio">
      <formula>NOT(ISERROR(SEARCH("Medio",G251)))</formula>
    </cfRule>
    <cfRule type="containsText" dxfId="2552" priority="2845" operator="containsText" text="Alto">
      <formula>NOT(ISERROR(SEARCH("Alto",G251)))</formula>
    </cfRule>
  </conditionalFormatting>
  <conditionalFormatting sqref="N252">
    <cfRule type="containsText" dxfId="2551" priority="2838" operator="containsText" text="No se pudo ejecutar">
      <formula>NOT(ISERROR(SEARCH("No se pudo ejecutar",N252)))</formula>
    </cfRule>
    <cfRule type="containsText" dxfId="2550" priority="2839" operator="containsText" text="Pendiente">
      <formula>NOT(ISERROR(SEARCH("Pendiente",N252)))</formula>
    </cfRule>
    <cfRule type="containsText" dxfId="2549" priority="2840" operator="containsText" text="No Aplica">
      <formula>NOT(ISERROR(SEARCH("No Aplica",N252)))</formula>
    </cfRule>
    <cfRule type="containsText" dxfId="2548" priority="2841" operator="containsText" text="Fallido">
      <formula>NOT(ISERROR(SEARCH("Fallido",N252)))</formula>
    </cfRule>
    <cfRule type="containsText" dxfId="2547" priority="2842" operator="containsText" text="Éxitoso">
      <formula>NOT(ISERROR(SEARCH("Éxitoso",N252)))</formula>
    </cfRule>
  </conditionalFormatting>
  <conditionalFormatting sqref="O252">
    <cfRule type="containsText" dxfId="2546" priority="2833" operator="containsText" text="No se pudo ejecutar">
      <formula>NOT(ISERROR(SEARCH("No se pudo ejecutar",O252)))</formula>
    </cfRule>
    <cfRule type="containsText" dxfId="2545" priority="2834" operator="containsText" text="Pendiente">
      <formula>NOT(ISERROR(SEARCH("Pendiente",O252)))</formula>
    </cfRule>
    <cfRule type="containsText" dxfId="2544" priority="2835" operator="containsText" text="No Aplica">
      <formula>NOT(ISERROR(SEARCH("No Aplica",O252)))</formula>
    </cfRule>
    <cfRule type="containsText" dxfId="2543" priority="2836" operator="containsText" text="Fallido">
      <formula>NOT(ISERROR(SEARCH("Fallido",O252)))</formula>
    </cfRule>
    <cfRule type="containsText" dxfId="2542" priority="2837" operator="containsText" text="Éxitoso">
      <formula>NOT(ISERROR(SEARCH("Éxitoso",O252)))</formula>
    </cfRule>
  </conditionalFormatting>
  <conditionalFormatting sqref="P252">
    <cfRule type="containsText" dxfId="2541" priority="2828" operator="containsText" text="No se pudo ejecutar">
      <formula>NOT(ISERROR(SEARCH("No se pudo ejecutar",P252)))</formula>
    </cfRule>
    <cfRule type="containsText" dxfId="2540" priority="2829" operator="containsText" text="Pendiente">
      <formula>NOT(ISERROR(SEARCH("Pendiente",P252)))</formula>
    </cfRule>
    <cfRule type="containsText" dxfId="2539" priority="2830" operator="containsText" text="No Aplica">
      <formula>NOT(ISERROR(SEARCH("No Aplica",P252)))</formula>
    </cfRule>
    <cfRule type="containsText" dxfId="2538" priority="2831" operator="containsText" text="Fallido">
      <formula>NOT(ISERROR(SEARCH("Fallido",P252)))</formula>
    </cfRule>
    <cfRule type="containsText" dxfId="2537" priority="2832" operator="containsText" text="Éxitoso">
      <formula>NOT(ISERROR(SEARCH("Éxitoso",P252)))</formula>
    </cfRule>
  </conditionalFormatting>
  <conditionalFormatting sqref="Q252">
    <cfRule type="containsText" dxfId="2536" priority="2823" operator="containsText" text="No se pudo ejecutar">
      <formula>NOT(ISERROR(SEARCH("No se pudo ejecutar",Q252)))</formula>
    </cfRule>
    <cfRule type="containsText" dxfId="2535" priority="2824" operator="containsText" text="Pendiente">
      <formula>NOT(ISERROR(SEARCH("Pendiente",Q252)))</formula>
    </cfRule>
    <cfRule type="containsText" dxfId="2534" priority="2825" operator="containsText" text="No Aplica">
      <formula>NOT(ISERROR(SEARCH("No Aplica",Q252)))</formula>
    </cfRule>
    <cfRule type="containsText" dxfId="2533" priority="2826" operator="containsText" text="Fallido">
      <formula>NOT(ISERROR(SEARCH("Fallido",Q252)))</formula>
    </cfRule>
    <cfRule type="containsText" dxfId="2532" priority="2827" operator="containsText" text="Éxitoso">
      <formula>NOT(ISERROR(SEARCH("Éxitoso",Q252)))</formula>
    </cfRule>
  </conditionalFormatting>
  <conditionalFormatting sqref="R252">
    <cfRule type="containsText" dxfId="2531" priority="2818" operator="containsText" text="No se pudo ejecutar">
      <formula>NOT(ISERROR(SEARCH("No se pudo ejecutar",R252)))</formula>
    </cfRule>
    <cfRule type="containsText" dxfId="2530" priority="2819" operator="containsText" text="Pendiente">
      <formula>NOT(ISERROR(SEARCH("Pendiente",R252)))</formula>
    </cfRule>
    <cfRule type="containsText" dxfId="2529" priority="2820" operator="containsText" text="No Aplica">
      <formula>NOT(ISERROR(SEARCH("No Aplica",R252)))</formula>
    </cfRule>
    <cfRule type="containsText" dxfId="2528" priority="2821" operator="containsText" text="Fallido">
      <formula>NOT(ISERROR(SEARCH("Fallido",R252)))</formula>
    </cfRule>
    <cfRule type="containsText" dxfId="2527" priority="2822" operator="containsText" text="Éxitoso">
      <formula>NOT(ISERROR(SEARCH("Éxitoso",R252)))</formula>
    </cfRule>
  </conditionalFormatting>
  <conditionalFormatting sqref="S252">
    <cfRule type="containsText" dxfId="2526" priority="2813" operator="containsText" text="No se pudo ejecutar">
      <formula>NOT(ISERROR(SEARCH("No se pudo ejecutar",S252)))</formula>
    </cfRule>
    <cfRule type="containsText" dxfId="2525" priority="2814" operator="containsText" text="Pendiente">
      <formula>NOT(ISERROR(SEARCH("Pendiente",S252)))</formula>
    </cfRule>
    <cfRule type="containsText" dxfId="2524" priority="2815" operator="containsText" text="No Aplica">
      <formula>NOT(ISERROR(SEARCH("No Aplica",S252)))</formula>
    </cfRule>
    <cfRule type="containsText" dxfId="2523" priority="2816" operator="containsText" text="Fallido">
      <formula>NOT(ISERROR(SEARCH("Fallido",S252)))</formula>
    </cfRule>
    <cfRule type="containsText" dxfId="2522" priority="2817" operator="containsText" text="Éxitoso">
      <formula>NOT(ISERROR(SEARCH("Éxitoso",S252)))</formula>
    </cfRule>
  </conditionalFormatting>
  <conditionalFormatting sqref="T252">
    <cfRule type="containsText" dxfId="2521" priority="2808" operator="containsText" text="No se pudo ejecutar">
      <formula>NOT(ISERROR(SEARCH("No se pudo ejecutar",T252)))</formula>
    </cfRule>
    <cfRule type="containsText" dxfId="2520" priority="2809" operator="containsText" text="Pendiente">
      <formula>NOT(ISERROR(SEARCH("Pendiente",T252)))</formula>
    </cfRule>
    <cfRule type="containsText" dxfId="2519" priority="2810" operator="containsText" text="No Aplica">
      <formula>NOT(ISERROR(SEARCH("No Aplica",T252)))</formula>
    </cfRule>
    <cfRule type="containsText" dxfId="2518" priority="2811" operator="containsText" text="Fallido">
      <formula>NOT(ISERROR(SEARCH("Fallido",T252)))</formula>
    </cfRule>
    <cfRule type="containsText" dxfId="2517" priority="2812" operator="containsText" text="Éxitoso">
      <formula>NOT(ISERROR(SEARCH("Éxitoso",T252)))</formula>
    </cfRule>
  </conditionalFormatting>
  <conditionalFormatting sqref="U252">
    <cfRule type="containsText" dxfId="2516" priority="2803" operator="containsText" text="No se pudo ejecutar">
      <formula>NOT(ISERROR(SEARCH("No se pudo ejecutar",U252)))</formula>
    </cfRule>
    <cfRule type="containsText" dxfId="2515" priority="2804" operator="containsText" text="Pendiente">
      <formula>NOT(ISERROR(SEARCH("Pendiente",U252)))</formula>
    </cfRule>
    <cfRule type="containsText" dxfId="2514" priority="2805" operator="containsText" text="No Aplica">
      <formula>NOT(ISERROR(SEARCH("No Aplica",U252)))</formula>
    </cfRule>
    <cfRule type="containsText" dxfId="2513" priority="2806" operator="containsText" text="Fallido">
      <formula>NOT(ISERROR(SEARCH("Fallido",U252)))</formula>
    </cfRule>
    <cfRule type="containsText" dxfId="2512" priority="2807" operator="containsText" text="Éxitoso">
      <formula>NOT(ISERROR(SEARCH("Éxitoso",U252)))</formula>
    </cfRule>
  </conditionalFormatting>
  <conditionalFormatting sqref="V252">
    <cfRule type="containsText" dxfId="2511" priority="2798" operator="containsText" text="No se pudo ejecutar">
      <formula>NOT(ISERROR(SEARCH("No se pudo ejecutar",V252)))</formula>
    </cfRule>
    <cfRule type="containsText" dxfId="2510" priority="2799" operator="containsText" text="Pendiente">
      <formula>NOT(ISERROR(SEARCH("Pendiente",V252)))</formula>
    </cfRule>
    <cfRule type="containsText" dxfId="2509" priority="2800" operator="containsText" text="No Aplica">
      <formula>NOT(ISERROR(SEARCH("No Aplica",V252)))</formula>
    </cfRule>
    <cfRule type="containsText" dxfId="2508" priority="2801" operator="containsText" text="Fallido">
      <formula>NOT(ISERROR(SEARCH("Fallido",V252)))</formula>
    </cfRule>
    <cfRule type="containsText" dxfId="2507" priority="2802" operator="containsText" text="Éxitoso">
      <formula>NOT(ISERROR(SEARCH("Éxitoso",V252)))</formula>
    </cfRule>
  </conditionalFormatting>
  <conditionalFormatting sqref="W252">
    <cfRule type="containsText" dxfId="2506" priority="2793" operator="containsText" text="No se pudo ejecutar">
      <formula>NOT(ISERROR(SEARCH("No se pudo ejecutar",W252)))</formula>
    </cfRule>
    <cfRule type="containsText" dxfId="2505" priority="2794" operator="containsText" text="Pendiente">
      <formula>NOT(ISERROR(SEARCH("Pendiente",W252)))</formula>
    </cfRule>
    <cfRule type="containsText" dxfId="2504" priority="2795" operator="containsText" text="No Aplica">
      <formula>NOT(ISERROR(SEARCH("No Aplica",W252)))</formula>
    </cfRule>
    <cfRule type="containsText" dxfId="2503" priority="2796" operator="containsText" text="Fallido">
      <formula>NOT(ISERROR(SEARCH("Fallido",W252)))</formula>
    </cfRule>
    <cfRule type="containsText" dxfId="2502" priority="2797" operator="containsText" text="Éxitoso">
      <formula>NOT(ISERROR(SEARCH("Éxitoso",W252)))</formula>
    </cfRule>
  </conditionalFormatting>
  <conditionalFormatting sqref="M252">
    <cfRule type="containsText" dxfId="2501" priority="2788" operator="containsText" text="No se pudo ejecutar">
      <formula>NOT(ISERROR(SEARCH("No se pudo ejecutar",M252)))</formula>
    </cfRule>
    <cfRule type="containsText" dxfId="2500" priority="2789" operator="containsText" text="Pendiente">
      <formula>NOT(ISERROR(SEARCH("Pendiente",M252)))</formula>
    </cfRule>
    <cfRule type="containsText" dxfId="2499" priority="2790" operator="containsText" text="No Aplica">
      <formula>NOT(ISERROR(SEARCH("No Aplica",M252)))</formula>
    </cfRule>
    <cfRule type="containsText" dxfId="2498" priority="2791" operator="containsText" text="Fallido">
      <formula>NOT(ISERROR(SEARCH("Fallido",M252)))</formula>
    </cfRule>
    <cfRule type="containsText" dxfId="2497" priority="2792" operator="containsText" text="Éxitoso">
      <formula>NOT(ISERROR(SEARCH("Éxitoso",M252)))</formula>
    </cfRule>
  </conditionalFormatting>
  <conditionalFormatting sqref="G252">
    <cfRule type="containsText" dxfId="2496" priority="2785" operator="containsText" text="Bajo">
      <formula>NOT(ISERROR(SEARCH("Bajo",G252)))</formula>
    </cfRule>
    <cfRule type="containsText" dxfId="2495" priority="2786" operator="containsText" text="Medio">
      <formula>NOT(ISERROR(SEARCH("Medio",G252)))</formula>
    </cfRule>
    <cfRule type="containsText" dxfId="2494" priority="2787" operator="containsText" text="Alto">
      <formula>NOT(ISERROR(SEARCH("Alto",G252)))</formula>
    </cfRule>
  </conditionalFormatting>
  <conditionalFormatting sqref="N253">
    <cfRule type="containsText" dxfId="2493" priority="2780" operator="containsText" text="No se pudo ejecutar">
      <formula>NOT(ISERROR(SEARCH("No se pudo ejecutar",N253)))</formula>
    </cfRule>
    <cfRule type="containsText" dxfId="2492" priority="2781" operator="containsText" text="Pendiente">
      <formula>NOT(ISERROR(SEARCH("Pendiente",N253)))</formula>
    </cfRule>
    <cfRule type="containsText" dxfId="2491" priority="2782" operator="containsText" text="No Aplica">
      <formula>NOT(ISERROR(SEARCH("No Aplica",N253)))</formula>
    </cfRule>
    <cfRule type="containsText" dxfId="2490" priority="2783" operator="containsText" text="Fallido">
      <formula>NOT(ISERROR(SEARCH("Fallido",N253)))</formula>
    </cfRule>
    <cfRule type="containsText" dxfId="2489" priority="2784" operator="containsText" text="Éxitoso">
      <formula>NOT(ISERROR(SEARCH("Éxitoso",N253)))</formula>
    </cfRule>
  </conditionalFormatting>
  <conditionalFormatting sqref="O253">
    <cfRule type="containsText" dxfId="2488" priority="2775" operator="containsText" text="No se pudo ejecutar">
      <formula>NOT(ISERROR(SEARCH("No se pudo ejecutar",O253)))</formula>
    </cfRule>
    <cfRule type="containsText" dxfId="2487" priority="2776" operator="containsText" text="Pendiente">
      <formula>NOT(ISERROR(SEARCH("Pendiente",O253)))</formula>
    </cfRule>
    <cfRule type="containsText" dxfId="2486" priority="2777" operator="containsText" text="No Aplica">
      <formula>NOT(ISERROR(SEARCH("No Aplica",O253)))</formula>
    </cfRule>
    <cfRule type="containsText" dxfId="2485" priority="2778" operator="containsText" text="Fallido">
      <formula>NOT(ISERROR(SEARCH("Fallido",O253)))</formula>
    </cfRule>
    <cfRule type="containsText" dxfId="2484" priority="2779" operator="containsText" text="Éxitoso">
      <formula>NOT(ISERROR(SEARCH("Éxitoso",O253)))</formula>
    </cfRule>
  </conditionalFormatting>
  <conditionalFormatting sqref="P253">
    <cfRule type="containsText" dxfId="2483" priority="2770" operator="containsText" text="No se pudo ejecutar">
      <formula>NOT(ISERROR(SEARCH("No se pudo ejecutar",P253)))</formula>
    </cfRule>
    <cfRule type="containsText" dxfId="2482" priority="2771" operator="containsText" text="Pendiente">
      <formula>NOT(ISERROR(SEARCH("Pendiente",P253)))</formula>
    </cfRule>
    <cfRule type="containsText" dxfId="2481" priority="2772" operator="containsText" text="No Aplica">
      <formula>NOT(ISERROR(SEARCH("No Aplica",P253)))</formula>
    </cfRule>
    <cfRule type="containsText" dxfId="2480" priority="2773" operator="containsText" text="Fallido">
      <formula>NOT(ISERROR(SEARCH("Fallido",P253)))</formula>
    </cfRule>
    <cfRule type="containsText" dxfId="2479" priority="2774" operator="containsText" text="Éxitoso">
      <formula>NOT(ISERROR(SEARCH("Éxitoso",P253)))</formula>
    </cfRule>
  </conditionalFormatting>
  <conditionalFormatting sqref="Q253">
    <cfRule type="containsText" dxfId="2478" priority="2765" operator="containsText" text="No se pudo ejecutar">
      <formula>NOT(ISERROR(SEARCH("No se pudo ejecutar",Q253)))</formula>
    </cfRule>
    <cfRule type="containsText" dxfId="2477" priority="2766" operator="containsText" text="Pendiente">
      <formula>NOT(ISERROR(SEARCH("Pendiente",Q253)))</formula>
    </cfRule>
    <cfRule type="containsText" dxfId="2476" priority="2767" operator="containsText" text="No Aplica">
      <formula>NOT(ISERROR(SEARCH("No Aplica",Q253)))</formula>
    </cfRule>
    <cfRule type="containsText" dxfId="2475" priority="2768" operator="containsText" text="Fallido">
      <formula>NOT(ISERROR(SEARCH("Fallido",Q253)))</formula>
    </cfRule>
    <cfRule type="containsText" dxfId="2474" priority="2769" operator="containsText" text="Éxitoso">
      <formula>NOT(ISERROR(SEARCH("Éxitoso",Q253)))</formula>
    </cfRule>
  </conditionalFormatting>
  <conditionalFormatting sqref="R253">
    <cfRule type="containsText" dxfId="2473" priority="2760" operator="containsText" text="No se pudo ejecutar">
      <formula>NOT(ISERROR(SEARCH("No se pudo ejecutar",R253)))</formula>
    </cfRule>
    <cfRule type="containsText" dxfId="2472" priority="2761" operator="containsText" text="Pendiente">
      <formula>NOT(ISERROR(SEARCH("Pendiente",R253)))</formula>
    </cfRule>
    <cfRule type="containsText" dxfId="2471" priority="2762" operator="containsText" text="No Aplica">
      <formula>NOT(ISERROR(SEARCH("No Aplica",R253)))</formula>
    </cfRule>
    <cfRule type="containsText" dxfId="2470" priority="2763" operator="containsText" text="Fallido">
      <formula>NOT(ISERROR(SEARCH("Fallido",R253)))</formula>
    </cfRule>
    <cfRule type="containsText" dxfId="2469" priority="2764" operator="containsText" text="Éxitoso">
      <formula>NOT(ISERROR(SEARCH("Éxitoso",R253)))</formula>
    </cfRule>
  </conditionalFormatting>
  <conditionalFormatting sqref="S253">
    <cfRule type="containsText" dxfId="2468" priority="2755" operator="containsText" text="No se pudo ejecutar">
      <formula>NOT(ISERROR(SEARCH("No se pudo ejecutar",S253)))</formula>
    </cfRule>
    <cfRule type="containsText" dxfId="2467" priority="2756" operator="containsText" text="Pendiente">
      <formula>NOT(ISERROR(SEARCH("Pendiente",S253)))</formula>
    </cfRule>
    <cfRule type="containsText" dxfId="2466" priority="2757" operator="containsText" text="No Aplica">
      <formula>NOT(ISERROR(SEARCH("No Aplica",S253)))</formula>
    </cfRule>
    <cfRule type="containsText" dxfId="2465" priority="2758" operator="containsText" text="Fallido">
      <formula>NOT(ISERROR(SEARCH("Fallido",S253)))</formula>
    </cfRule>
    <cfRule type="containsText" dxfId="2464" priority="2759" operator="containsText" text="Éxitoso">
      <formula>NOT(ISERROR(SEARCH("Éxitoso",S253)))</formula>
    </cfRule>
  </conditionalFormatting>
  <conditionalFormatting sqref="T253">
    <cfRule type="containsText" dxfId="2463" priority="2750" operator="containsText" text="No se pudo ejecutar">
      <formula>NOT(ISERROR(SEARCH("No se pudo ejecutar",T253)))</formula>
    </cfRule>
    <cfRule type="containsText" dxfId="2462" priority="2751" operator="containsText" text="Pendiente">
      <formula>NOT(ISERROR(SEARCH("Pendiente",T253)))</formula>
    </cfRule>
    <cfRule type="containsText" dxfId="2461" priority="2752" operator="containsText" text="No Aplica">
      <formula>NOT(ISERROR(SEARCH("No Aplica",T253)))</formula>
    </cfRule>
    <cfRule type="containsText" dxfId="2460" priority="2753" operator="containsText" text="Fallido">
      <formula>NOT(ISERROR(SEARCH("Fallido",T253)))</formula>
    </cfRule>
    <cfRule type="containsText" dxfId="2459" priority="2754" operator="containsText" text="Éxitoso">
      <formula>NOT(ISERROR(SEARCH("Éxitoso",T253)))</formula>
    </cfRule>
  </conditionalFormatting>
  <conditionalFormatting sqref="U253">
    <cfRule type="containsText" dxfId="2458" priority="2745" operator="containsText" text="No se pudo ejecutar">
      <formula>NOT(ISERROR(SEARCH("No se pudo ejecutar",U253)))</formula>
    </cfRule>
    <cfRule type="containsText" dxfId="2457" priority="2746" operator="containsText" text="Pendiente">
      <formula>NOT(ISERROR(SEARCH("Pendiente",U253)))</formula>
    </cfRule>
    <cfRule type="containsText" dxfId="2456" priority="2747" operator="containsText" text="No Aplica">
      <formula>NOT(ISERROR(SEARCH("No Aplica",U253)))</formula>
    </cfRule>
    <cfRule type="containsText" dxfId="2455" priority="2748" operator="containsText" text="Fallido">
      <formula>NOT(ISERROR(SEARCH("Fallido",U253)))</formula>
    </cfRule>
    <cfRule type="containsText" dxfId="2454" priority="2749" operator="containsText" text="Éxitoso">
      <formula>NOT(ISERROR(SEARCH("Éxitoso",U253)))</formula>
    </cfRule>
  </conditionalFormatting>
  <conditionalFormatting sqref="V253">
    <cfRule type="containsText" dxfId="2453" priority="2740" operator="containsText" text="No se pudo ejecutar">
      <formula>NOT(ISERROR(SEARCH("No se pudo ejecutar",V253)))</formula>
    </cfRule>
    <cfRule type="containsText" dxfId="2452" priority="2741" operator="containsText" text="Pendiente">
      <formula>NOT(ISERROR(SEARCH("Pendiente",V253)))</formula>
    </cfRule>
    <cfRule type="containsText" dxfId="2451" priority="2742" operator="containsText" text="No Aplica">
      <formula>NOT(ISERROR(SEARCH("No Aplica",V253)))</formula>
    </cfRule>
    <cfRule type="containsText" dxfId="2450" priority="2743" operator="containsText" text="Fallido">
      <formula>NOT(ISERROR(SEARCH("Fallido",V253)))</formula>
    </cfRule>
    <cfRule type="containsText" dxfId="2449" priority="2744" operator="containsText" text="Éxitoso">
      <formula>NOT(ISERROR(SEARCH("Éxitoso",V253)))</formula>
    </cfRule>
  </conditionalFormatting>
  <conditionalFormatting sqref="W253">
    <cfRule type="containsText" dxfId="2448" priority="2735" operator="containsText" text="No se pudo ejecutar">
      <formula>NOT(ISERROR(SEARCH("No se pudo ejecutar",W253)))</formula>
    </cfRule>
    <cfRule type="containsText" dxfId="2447" priority="2736" operator="containsText" text="Pendiente">
      <formula>NOT(ISERROR(SEARCH("Pendiente",W253)))</formula>
    </cfRule>
    <cfRule type="containsText" dxfId="2446" priority="2737" operator="containsText" text="No Aplica">
      <formula>NOT(ISERROR(SEARCH("No Aplica",W253)))</formula>
    </cfRule>
    <cfRule type="containsText" dxfId="2445" priority="2738" operator="containsText" text="Fallido">
      <formula>NOT(ISERROR(SEARCH("Fallido",W253)))</formula>
    </cfRule>
    <cfRule type="containsText" dxfId="2444" priority="2739" operator="containsText" text="Éxitoso">
      <formula>NOT(ISERROR(SEARCH("Éxitoso",W253)))</formula>
    </cfRule>
  </conditionalFormatting>
  <conditionalFormatting sqref="M253">
    <cfRule type="containsText" dxfId="2443" priority="2730" operator="containsText" text="No se pudo ejecutar">
      <formula>NOT(ISERROR(SEARCH("No se pudo ejecutar",M253)))</formula>
    </cfRule>
    <cfRule type="containsText" dxfId="2442" priority="2731" operator="containsText" text="Pendiente">
      <formula>NOT(ISERROR(SEARCH("Pendiente",M253)))</formula>
    </cfRule>
    <cfRule type="containsText" dxfId="2441" priority="2732" operator="containsText" text="No Aplica">
      <formula>NOT(ISERROR(SEARCH("No Aplica",M253)))</formula>
    </cfRule>
    <cfRule type="containsText" dxfId="2440" priority="2733" operator="containsText" text="Fallido">
      <formula>NOT(ISERROR(SEARCH("Fallido",M253)))</formula>
    </cfRule>
    <cfRule type="containsText" dxfId="2439" priority="2734" operator="containsText" text="Éxitoso">
      <formula>NOT(ISERROR(SEARCH("Éxitoso",M253)))</formula>
    </cfRule>
  </conditionalFormatting>
  <conditionalFormatting sqref="G253">
    <cfRule type="containsText" dxfId="2438" priority="2727" operator="containsText" text="Bajo">
      <formula>NOT(ISERROR(SEARCH("Bajo",G253)))</formula>
    </cfRule>
    <cfRule type="containsText" dxfId="2437" priority="2728" operator="containsText" text="Medio">
      <formula>NOT(ISERROR(SEARCH("Medio",G253)))</formula>
    </cfRule>
    <cfRule type="containsText" dxfId="2436" priority="2729" operator="containsText" text="Alto">
      <formula>NOT(ISERROR(SEARCH("Alto",G253)))</formula>
    </cfRule>
  </conditionalFormatting>
  <conditionalFormatting sqref="N254">
    <cfRule type="containsText" dxfId="2435" priority="2722" operator="containsText" text="No se pudo ejecutar">
      <formula>NOT(ISERROR(SEARCH("No se pudo ejecutar",N254)))</formula>
    </cfRule>
    <cfRule type="containsText" dxfId="2434" priority="2723" operator="containsText" text="Pendiente">
      <formula>NOT(ISERROR(SEARCH("Pendiente",N254)))</formula>
    </cfRule>
    <cfRule type="containsText" dxfId="2433" priority="2724" operator="containsText" text="No Aplica">
      <formula>NOT(ISERROR(SEARCH("No Aplica",N254)))</formula>
    </cfRule>
    <cfRule type="containsText" dxfId="2432" priority="2725" operator="containsText" text="Fallido">
      <formula>NOT(ISERROR(SEARCH("Fallido",N254)))</formula>
    </cfRule>
    <cfRule type="containsText" dxfId="2431" priority="2726" operator="containsText" text="Éxitoso">
      <formula>NOT(ISERROR(SEARCH("Éxitoso",N254)))</formula>
    </cfRule>
  </conditionalFormatting>
  <conditionalFormatting sqref="O254">
    <cfRule type="containsText" dxfId="2430" priority="2717" operator="containsText" text="No se pudo ejecutar">
      <formula>NOT(ISERROR(SEARCH("No se pudo ejecutar",O254)))</formula>
    </cfRule>
    <cfRule type="containsText" dxfId="2429" priority="2718" operator="containsText" text="Pendiente">
      <formula>NOT(ISERROR(SEARCH("Pendiente",O254)))</formula>
    </cfRule>
    <cfRule type="containsText" dxfId="2428" priority="2719" operator="containsText" text="No Aplica">
      <formula>NOT(ISERROR(SEARCH("No Aplica",O254)))</formula>
    </cfRule>
    <cfRule type="containsText" dxfId="2427" priority="2720" operator="containsText" text="Fallido">
      <formula>NOT(ISERROR(SEARCH("Fallido",O254)))</formula>
    </cfRule>
    <cfRule type="containsText" dxfId="2426" priority="2721" operator="containsText" text="Éxitoso">
      <formula>NOT(ISERROR(SEARCH("Éxitoso",O254)))</formula>
    </cfRule>
  </conditionalFormatting>
  <conditionalFormatting sqref="P254">
    <cfRule type="containsText" dxfId="2425" priority="2712" operator="containsText" text="No se pudo ejecutar">
      <formula>NOT(ISERROR(SEARCH("No se pudo ejecutar",P254)))</formula>
    </cfRule>
    <cfRule type="containsText" dxfId="2424" priority="2713" operator="containsText" text="Pendiente">
      <formula>NOT(ISERROR(SEARCH("Pendiente",P254)))</formula>
    </cfRule>
    <cfRule type="containsText" dxfId="2423" priority="2714" operator="containsText" text="No Aplica">
      <formula>NOT(ISERROR(SEARCH("No Aplica",P254)))</formula>
    </cfRule>
    <cfRule type="containsText" dxfId="2422" priority="2715" operator="containsText" text="Fallido">
      <formula>NOT(ISERROR(SEARCH("Fallido",P254)))</formula>
    </cfRule>
    <cfRule type="containsText" dxfId="2421" priority="2716" operator="containsText" text="Éxitoso">
      <formula>NOT(ISERROR(SEARCH("Éxitoso",P254)))</formula>
    </cfRule>
  </conditionalFormatting>
  <conditionalFormatting sqref="Q254">
    <cfRule type="containsText" dxfId="2420" priority="2707" operator="containsText" text="No se pudo ejecutar">
      <formula>NOT(ISERROR(SEARCH("No se pudo ejecutar",Q254)))</formula>
    </cfRule>
    <cfRule type="containsText" dxfId="2419" priority="2708" operator="containsText" text="Pendiente">
      <formula>NOT(ISERROR(SEARCH("Pendiente",Q254)))</formula>
    </cfRule>
    <cfRule type="containsText" dxfId="2418" priority="2709" operator="containsText" text="No Aplica">
      <formula>NOT(ISERROR(SEARCH("No Aplica",Q254)))</formula>
    </cfRule>
    <cfRule type="containsText" dxfId="2417" priority="2710" operator="containsText" text="Fallido">
      <formula>NOT(ISERROR(SEARCH("Fallido",Q254)))</formula>
    </cfRule>
    <cfRule type="containsText" dxfId="2416" priority="2711" operator="containsText" text="Éxitoso">
      <formula>NOT(ISERROR(SEARCH("Éxitoso",Q254)))</formula>
    </cfRule>
  </conditionalFormatting>
  <conditionalFormatting sqref="R254">
    <cfRule type="containsText" dxfId="2415" priority="2702" operator="containsText" text="No se pudo ejecutar">
      <formula>NOT(ISERROR(SEARCH("No se pudo ejecutar",R254)))</formula>
    </cfRule>
    <cfRule type="containsText" dxfId="2414" priority="2703" operator="containsText" text="Pendiente">
      <formula>NOT(ISERROR(SEARCH("Pendiente",R254)))</formula>
    </cfRule>
    <cfRule type="containsText" dxfId="2413" priority="2704" operator="containsText" text="No Aplica">
      <formula>NOT(ISERROR(SEARCH("No Aplica",R254)))</formula>
    </cfRule>
    <cfRule type="containsText" dxfId="2412" priority="2705" operator="containsText" text="Fallido">
      <formula>NOT(ISERROR(SEARCH("Fallido",R254)))</formula>
    </cfRule>
    <cfRule type="containsText" dxfId="2411" priority="2706" operator="containsText" text="Éxitoso">
      <formula>NOT(ISERROR(SEARCH("Éxitoso",R254)))</formula>
    </cfRule>
  </conditionalFormatting>
  <conditionalFormatting sqref="S254">
    <cfRule type="containsText" dxfId="2410" priority="2697" operator="containsText" text="No se pudo ejecutar">
      <formula>NOT(ISERROR(SEARCH("No se pudo ejecutar",S254)))</formula>
    </cfRule>
    <cfRule type="containsText" dxfId="2409" priority="2698" operator="containsText" text="Pendiente">
      <formula>NOT(ISERROR(SEARCH("Pendiente",S254)))</formula>
    </cfRule>
    <cfRule type="containsText" dxfId="2408" priority="2699" operator="containsText" text="No Aplica">
      <formula>NOT(ISERROR(SEARCH("No Aplica",S254)))</formula>
    </cfRule>
    <cfRule type="containsText" dxfId="2407" priority="2700" operator="containsText" text="Fallido">
      <formula>NOT(ISERROR(SEARCH("Fallido",S254)))</formula>
    </cfRule>
    <cfRule type="containsText" dxfId="2406" priority="2701" operator="containsText" text="Éxitoso">
      <formula>NOT(ISERROR(SEARCH("Éxitoso",S254)))</formula>
    </cfRule>
  </conditionalFormatting>
  <conditionalFormatting sqref="T254">
    <cfRule type="containsText" dxfId="2405" priority="2692" operator="containsText" text="No se pudo ejecutar">
      <formula>NOT(ISERROR(SEARCH("No se pudo ejecutar",T254)))</formula>
    </cfRule>
    <cfRule type="containsText" dxfId="2404" priority="2693" operator="containsText" text="Pendiente">
      <formula>NOT(ISERROR(SEARCH("Pendiente",T254)))</formula>
    </cfRule>
    <cfRule type="containsText" dxfId="2403" priority="2694" operator="containsText" text="No Aplica">
      <formula>NOT(ISERROR(SEARCH("No Aplica",T254)))</formula>
    </cfRule>
    <cfRule type="containsText" dxfId="2402" priority="2695" operator="containsText" text="Fallido">
      <formula>NOT(ISERROR(SEARCH("Fallido",T254)))</formula>
    </cfRule>
    <cfRule type="containsText" dxfId="2401" priority="2696" operator="containsText" text="Éxitoso">
      <formula>NOT(ISERROR(SEARCH("Éxitoso",T254)))</formula>
    </cfRule>
  </conditionalFormatting>
  <conditionalFormatting sqref="U254">
    <cfRule type="containsText" dxfId="2400" priority="2687" operator="containsText" text="No se pudo ejecutar">
      <formula>NOT(ISERROR(SEARCH("No se pudo ejecutar",U254)))</formula>
    </cfRule>
    <cfRule type="containsText" dxfId="2399" priority="2688" operator="containsText" text="Pendiente">
      <formula>NOT(ISERROR(SEARCH("Pendiente",U254)))</formula>
    </cfRule>
    <cfRule type="containsText" dxfId="2398" priority="2689" operator="containsText" text="No Aplica">
      <formula>NOT(ISERROR(SEARCH("No Aplica",U254)))</formula>
    </cfRule>
    <cfRule type="containsText" dxfId="2397" priority="2690" operator="containsText" text="Fallido">
      <formula>NOT(ISERROR(SEARCH("Fallido",U254)))</formula>
    </cfRule>
    <cfRule type="containsText" dxfId="2396" priority="2691" operator="containsText" text="Éxitoso">
      <formula>NOT(ISERROR(SEARCH("Éxitoso",U254)))</formula>
    </cfRule>
  </conditionalFormatting>
  <conditionalFormatting sqref="V254">
    <cfRule type="containsText" dxfId="2395" priority="2682" operator="containsText" text="No se pudo ejecutar">
      <formula>NOT(ISERROR(SEARCH("No se pudo ejecutar",V254)))</formula>
    </cfRule>
    <cfRule type="containsText" dxfId="2394" priority="2683" operator="containsText" text="Pendiente">
      <formula>NOT(ISERROR(SEARCH("Pendiente",V254)))</formula>
    </cfRule>
    <cfRule type="containsText" dxfId="2393" priority="2684" operator="containsText" text="No Aplica">
      <formula>NOT(ISERROR(SEARCH("No Aplica",V254)))</formula>
    </cfRule>
    <cfRule type="containsText" dxfId="2392" priority="2685" operator="containsText" text="Fallido">
      <formula>NOT(ISERROR(SEARCH("Fallido",V254)))</formula>
    </cfRule>
    <cfRule type="containsText" dxfId="2391" priority="2686" operator="containsText" text="Éxitoso">
      <formula>NOT(ISERROR(SEARCH("Éxitoso",V254)))</formula>
    </cfRule>
  </conditionalFormatting>
  <conditionalFormatting sqref="W254">
    <cfRule type="containsText" dxfId="2390" priority="2677" operator="containsText" text="No se pudo ejecutar">
      <formula>NOT(ISERROR(SEARCH("No se pudo ejecutar",W254)))</formula>
    </cfRule>
    <cfRule type="containsText" dxfId="2389" priority="2678" operator="containsText" text="Pendiente">
      <formula>NOT(ISERROR(SEARCH("Pendiente",W254)))</formula>
    </cfRule>
    <cfRule type="containsText" dxfId="2388" priority="2679" operator="containsText" text="No Aplica">
      <formula>NOT(ISERROR(SEARCH("No Aplica",W254)))</formula>
    </cfRule>
    <cfRule type="containsText" dxfId="2387" priority="2680" operator="containsText" text="Fallido">
      <formula>NOT(ISERROR(SEARCH("Fallido",W254)))</formula>
    </cfRule>
    <cfRule type="containsText" dxfId="2386" priority="2681" operator="containsText" text="Éxitoso">
      <formula>NOT(ISERROR(SEARCH("Éxitoso",W254)))</formula>
    </cfRule>
  </conditionalFormatting>
  <conditionalFormatting sqref="M254">
    <cfRule type="containsText" dxfId="2385" priority="2672" operator="containsText" text="No se pudo ejecutar">
      <formula>NOT(ISERROR(SEARCH("No se pudo ejecutar",M254)))</formula>
    </cfRule>
    <cfRule type="containsText" dxfId="2384" priority="2673" operator="containsText" text="Pendiente">
      <formula>NOT(ISERROR(SEARCH("Pendiente",M254)))</formula>
    </cfRule>
    <cfRule type="containsText" dxfId="2383" priority="2674" operator="containsText" text="No Aplica">
      <formula>NOT(ISERROR(SEARCH("No Aplica",M254)))</formula>
    </cfRule>
    <cfRule type="containsText" dxfId="2382" priority="2675" operator="containsText" text="Fallido">
      <formula>NOT(ISERROR(SEARCH("Fallido",M254)))</formula>
    </cfRule>
    <cfRule type="containsText" dxfId="2381" priority="2676" operator="containsText" text="Éxitoso">
      <formula>NOT(ISERROR(SEARCH("Éxitoso",M254)))</formula>
    </cfRule>
  </conditionalFormatting>
  <conditionalFormatting sqref="G254">
    <cfRule type="containsText" dxfId="2380" priority="2669" operator="containsText" text="Bajo">
      <formula>NOT(ISERROR(SEARCH("Bajo",G254)))</formula>
    </cfRule>
    <cfRule type="containsText" dxfId="2379" priority="2670" operator="containsText" text="Medio">
      <formula>NOT(ISERROR(SEARCH("Medio",G254)))</formula>
    </cfRule>
    <cfRule type="containsText" dxfId="2378" priority="2671" operator="containsText" text="Alto">
      <formula>NOT(ISERROR(SEARCH("Alto",G254)))</formula>
    </cfRule>
  </conditionalFormatting>
  <conditionalFormatting sqref="N255">
    <cfRule type="containsText" dxfId="2377" priority="2664" operator="containsText" text="No se pudo ejecutar">
      <formula>NOT(ISERROR(SEARCH("No se pudo ejecutar",N255)))</formula>
    </cfRule>
    <cfRule type="containsText" dxfId="2376" priority="2665" operator="containsText" text="Pendiente">
      <formula>NOT(ISERROR(SEARCH("Pendiente",N255)))</formula>
    </cfRule>
    <cfRule type="containsText" dxfId="2375" priority="2666" operator="containsText" text="No Aplica">
      <formula>NOT(ISERROR(SEARCH("No Aplica",N255)))</formula>
    </cfRule>
    <cfRule type="containsText" dxfId="2374" priority="2667" operator="containsText" text="Fallido">
      <formula>NOT(ISERROR(SEARCH("Fallido",N255)))</formula>
    </cfRule>
    <cfRule type="containsText" dxfId="2373" priority="2668" operator="containsText" text="Éxitoso">
      <formula>NOT(ISERROR(SEARCH("Éxitoso",N255)))</formula>
    </cfRule>
  </conditionalFormatting>
  <conditionalFormatting sqref="O255">
    <cfRule type="containsText" dxfId="2372" priority="2659" operator="containsText" text="No se pudo ejecutar">
      <formula>NOT(ISERROR(SEARCH("No se pudo ejecutar",O255)))</formula>
    </cfRule>
    <cfRule type="containsText" dxfId="2371" priority="2660" operator="containsText" text="Pendiente">
      <formula>NOT(ISERROR(SEARCH("Pendiente",O255)))</formula>
    </cfRule>
    <cfRule type="containsText" dxfId="2370" priority="2661" operator="containsText" text="No Aplica">
      <formula>NOT(ISERROR(SEARCH("No Aplica",O255)))</formula>
    </cfRule>
    <cfRule type="containsText" dxfId="2369" priority="2662" operator="containsText" text="Fallido">
      <formula>NOT(ISERROR(SEARCH("Fallido",O255)))</formula>
    </cfRule>
    <cfRule type="containsText" dxfId="2368" priority="2663" operator="containsText" text="Éxitoso">
      <formula>NOT(ISERROR(SEARCH("Éxitoso",O255)))</formula>
    </cfRule>
  </conditionalFormatting>
  <conditionalFormatting sqref="P255">
    <cfRule type="containsText" dxfId="2367" priority="2654" operator="containsText" text="No se pudo ejecutar">
      <formula>NOT(ISERROR(SEARCH("No se pudo ejecutar",P255)))</formula>
    </cfRule>
    <cfRule type="containsText" dxfId="2366" priority="2655" operator="containsText" text="Pendiente">
      <formula>NOT(ISERROR(SEARCH("Pendiente",P255)))</formula>
    </cfRule>
    <cfRule type="containsText" dxfId="2365" priority="2656" operator="containsText" text="No Aplica">
      <formula>NOT(ISERROR(SEARCH("No Aplica",P255)))</formula>
    </cfRule>
    <cfRule type="containsText" dxfId="2364" priority="2657" operator="containsText" text="Fallido">
      <formula>NOT(ISERROR(SEARCH("Fallido",P255)))</formula>
    </cfRule>
    <cfRule type="containsText" dxfId="2363" priority="2658" operator="containsText" text="Éxitoso">
      <formula>NOT(ISERROR(SEARCH("Éxitoso",P255)))</formula>
    </cfRule>
  </conditionalFormatting>
  <conditionalFormatting sqref="Q255">
    <cfRule type="containsText" dxfId="2362" priority="2649" operator="containsText" text="No se pudo ejecutar">
      <formula>NOT(ISERROR(SEARCH("No se pudo ejecutar",Q255)))</formula>
    </cfRule>
    <cfRule type="containsText" dxfId="2361" priority="2650" operator="containsText" text="Pendiente">
      <formula>NOT(ISERROR(SEARCH("Pendiente",Q255)))</formula>
    </cfRule>
    <cfRule type="containsText" dxfId="2360" priority="2651" operator="containsText" text="No Aplica">
      <formula>NOT(ISERROR(SEARCH("No Aplica",Q255)))</formula>
    </cfRule>
    <cfRule type="containsText" dxfId="2359" priority="2652" operator="containsText" text="Fallido">
      <formula>NOT(ISERROR(SEARCH("Fallido",Q255)))</formula>
    </cfRule>
    <cfRule type="containsText" dxfId="2358" priority="2653" operator="containsText" text="Éxitoso">
      <formula>NOT(ISERROR(SEARCH("Éxitoso",Q255)))</formula>
    </cfRule>
  </conditionalFormatting>
  <conditionalFormatting sqref="R255">
    <cfRule type="containsText" dxfId="2357" priority="2644" operator="containsText" text="No se pudo ejecutar">
      <formula>NOT(ISERROR(SEARCH("No se pudo ejecutar",R255)))</formula>
    </cfRule>
    <cfRule type="containsText" dxfId="2356" priority="2645" operator="containsText" text="Pendiente">
      <formula>NOT(ISERROR(SEARCH("Pendiente",R255)))</formula>
    </cfRule>
    <cfRule type="containsText" dxfId="2355" priority="2646" operator="containsText" text="No Aplica">
      <formula>NOT(ISERROR(SEARCH("No Aplica",R255)))</formula>
    </cfRule>
    <cfRule type="containsText" dxfId="2354" priority="2647" operator="containsText" text="Fallido">
      <formula>NOT(ISERROR(SEARCH("Fallido",R255)))</formula>
    </cfRule>
    <cfRule type="containsText" dxfId="2353" priority="2648" operator="containsText" text="Éxitoso">
      <formula>NOT(ISERROR(SEARCH("Éxitoso",R255)))</formula>
    </cfRule>
  </conditionalFormatting>
  <conditionalFormatting sqref="S255">
    <cfRule type="containsText" dxfId="2352" priority="2639" operator="containsText" text="No se pudo ejecutar">
      <formula>NOT(ISERROR(SEARCH("No se pudo ejecutar",S255)))</formula>
    </cfRule>
    <cfRule type="containsText" dxfId="2351" priority="2640" operator="containsText" text="Pendiente">
      <formula>NOT(ISERROR(SEARCH("Pendiente",S255)))</formula>
    </cfRule>
    <cfRule type="containsText" dxfId="2350" priority="2641" operator="containsText" text="No Aplica">
      <formula>NOT(ISERROR(SEARCH("No Aplica",S255)))</formula>
    </cfRule>
    <cfRule type="containsText" dxfId="2349" priority="2642" operator="containsText" text="Fallido">
      <formula>NOT(ISERROR(SEARCH("Fallido",S255)))</formula>
    </cfRule>
    <cfRule type="containsText" dxfId="2348" priority="2643" operator="containsText" text="Éxitoso">
      <formula>NOT(ISERROR(SEARCH("Éxitoso",S255)))</formula>
    </cfRule>
  </conditionalFormatting>
  <conditionalFormatting sqref="T255">
    <cfRule type="containsText" dxfId="2347" priority="2634" operator="containsText" text="No se pudo ejecutar">
      <formula>NOT(ISERROR(SEARCH("No se pudo ejecutar",T255)))</formula>
    </cfRule>
    <cfRule type="containsText" dxfId="2346" priority="2635" operator="containsText" text="Pendiente">
      <formula>NOT(ISERROR(SEARCH("Pendiente",T255)))</formula>
    </cfRule>
    <cfRule type="containsText" dxfId="2345" priority="2636" operator="containsText" text="No Aplica">
      <formula>NOT(ISERROR(SEARCH("No Aplica",T255)))</formula>
    </cfRule>
    <cfRule type="containsText" dxfId="2344" priority="2637" operator="containsText" text="Fallido">
      <formula>NOT(ISERROR(SEARCH("Fallido",T255)))</formula>
    </cfRule>
    <cfRule type="containsText" dxfId="2343" priority="2638" operator="containsText" text="Éxitoso">
      <formula>NOT(ISERROR(SEARCH("Éxitoso",T255)))</formula>
    </cfRule>
  </conditionalFormatting>
  <conditionalFormatting sqref="U255">
    <cfRule type="containsText" dxfId="2342" priority="2629" operator="containsText" text="No se pudo ejecutar">
      <formula>NOT(ISERROR(SEARCH("No se pudo ejecutar",U255)))</formula>
    </cfRule>
    <cfRule type="containsText" dxfId="2341" priority="2630" operator="containsText" text="Pendiente">
      <formula>NOT(ISERROR(SEARCH("Pendiente",U255)))</formula>
    </cfRule>
    <cfRule type="containsText" dxfId="2340" priority="2631" operator="containsText" text="No Aplica">
      <formula>NOT(ISERROR(SEARCH("No Aplica",U255)))</formula>
    </cfRule>
    <cfRule type="containsText" dxfId="2339" priority="2632" operator="containsText" text="Fallido">
      <formula>NOT(ISERROR(SEARCH("Fallido",U255)))</formula>
    </cfRule>
    <cfRule type="containsText" dxfId="2338" priority="2633" operator="containsText" text="Éxitoso">
      <formula>NOT(ISERROR(SEARCH("Éxitoso",U255)))</formula>
    </cfRule>
  </conditionalFormatting>
  <conditionalFormatting sqref="V255">
    <cfRule type="containsText" dxfId="2337" priority="2624" operator="containsText" text="No se pudo ejecutar">
      <formula>NOT(ISERROR(SEARCH("No se pudo ejecutar",V255)))</formula>
    </cfRule>
    <cfRule type="containsText" dxfId="2336" priority="2625" operator="containsText" text="Pendiente">
      <formula>NOT(ISERROR(SEARCH("Pendiente",V255)))</formula>
    </cfRule>
    <cfRule type="containsText" dxfId="2335" priority="2626" operator="containsText" text="No Aplica">
      <formula>NOT(ISERROR(SEARCH("No Aplica",V255)))</formula>
    </cfRule>
    <cfRule type="containsText" dxfId="2334" priority="2627" operator="containsText" text="Fallido">
      <formula>NOT(ISERROR(SEARCH("Fallido",V255)))</formula>
    </cfRule>
    <cfRule type="containsText" dxfId="2333" priority="2628" operator="containsText" text="Éxitoso">
      <formula>NOT(ISERROR(SEARCH("Éxitoso",V255)))</formula>
    </cfRule>
  </conditionalFormatting>
  <conditionalFormatting sqref="W255">
    <cfRule type="containsText" dxfId="2332" priority="2619" operator="containsText" text="No se pudo ejecutar">
      <formula>NOT(ISERROR(SEARCH("No se pudo ejecutar",W255)))</formula>
    </cfRule>
    <cfRule type="containsText" dxfId="2331" priority="2620" operator="containsText" text="Pendiente">
      <formula>NOT(ISERROR(SEARCH("Pendiente",W255)))</formula>
    </cfRule>
    <cfRule type="containsText" dxfId="2330" priority="2621" operator="containsText" text="No Aplica">
      <formula>NOT(ISERROR(SEARCH("No Aplica",W255)))</formula>
    </cfRule>
    <cfRule type="containsText" dxfId="2329" priority="2622" operator="containsText" text="Fallido">
      <formula>NOT(ISERROR(SEARCH("Fallido",W255)))</formula>
    </cfRule>
    <cfRule type="containsText" dxfId="2328" priority="2623" operator="containsText" text="Éxitoso">
      <formula>NOT(ISERROR(SEARCH("Éxitoso",W255)))</formula>
    </cfRule>
  </conditionalFormatting>
  <conditionalFormatting sqref="M255">
    <cfRule type="containsText" dxfId="2327" priority="2614" operator="containsText" text="No se pudo ejecutar">
      <formula>NOT(ISERROR(SEARCH("No se pudo ejecutar",M255)))</formula>
    </cfRule>
    <cfRule type="containsText" dxfId="2326" priority="2615" operator="containsText" text="Pendiente">
      <formula>NOT(ISERROR(SEARCH("Pendiente",M255)))</formula>
    </cfRule>
    <cfRule type="containsText" dxfId="2325" priority="2616" operator="containsText" text="No Aplica">
      <formula>NOT(ISERROR(SEARCH("No Aplica",M255)))</formula>
    </cfRule>
    <cfRule type="containsText" dxfId="2324" priority="2617" operator="containsText" text="Fallido">
      <formula>NOT(ISERROR(SEARCH("Fallido",M255)))</formula>
    </cfRule>
    <cfRule type="containsText" dxfId="2323" priority="2618" operator="containsText" text="Éxitoso">
      <formula>NOT(ISERROR(SEARCH("Éxitoso",M255)))</formula>
    </cfRule>
  </conditionalFormatting>
  <conditionalFormatting sqref="G255">
    <cfRule type="containsText" dxfId="2322" priority="2611" operator="containsText" text="Bajo">
      <formula>NOT(ISERROR(SEARCH("Bajo",G255)))</formula>
    </cfRule>
    <cfRule type="containsText" dxfId="2321" priority="2612" operator="containsText" text="Medio">
      <formula>NOT(ISERROR(SEARCH("Medio",G255)))</formula>
    </cfRule>
    <cfRule type="containsText" dxfId="2320" priority="2613" operator="containsText" text="Alto">
      <formula>NOT(ISERROR(SEARCH("Alto",G255)))</formula>
    </cfRule>
  </conditionalFormatting>
  <conditionalFormatting sqref="N256">
    <cfRule type="containsText" dxfId="2319" priority="2606" operator="containsText" text="No se pudo ejecutar">
      <formula>NOT(ISERROR(SEARCH("No se pudo ejecutar",N256)))</formula>
    </cfRule>
    <cfRule type="containsText" dxfId="2318" priority="2607" operator="containsText" text="Pendiente">
      <formula>NOT(ISERROR(SEARCH("Pendiente",N256)))</formula>
    </cfRule>
    <cfRule type="containsText" dxfId="2317" priority="2608" operator="containsText" text="No Aplica">
      <formula>NOT(ISERROR(SEARCH("No Aplica",N256)))</formula>
    </cfRule>
    <cfRule type="containsText" dxfId="2316" priority="2609" operator="containsText" text="Fallido">
      <formula>NOT(ISERROR(SEARCH("Fallido",N256)))</formula>
    </cfRule>
    <cfRule type="containsText" dxfId="2315" priority="2610" operator="containsText" text="Éxitoso">
      <formula>NOT(ISERROR(SEARCH("Éxitoso",N256)))</formula>
    </cfRule>
  </conditionalFormatting>
  <conditionalFormatting sqref="O256">
    <cfRule type="containsText" dxfId="2314" priority="2601" operator="containsText" text="No se pudo ejecutar">
      <formula>NOT(ISERROR(SEARCH("No se pudo ejecutar",O256)))</formula>
    </cfRule>
    <cfRule type="containsText" dxfId="2313" priority="2602" operator="containsText" text="Pendiente">
      <formula>NOT(ISERROR(SEARCH("Pendiente",O256)))</formula>
    </cfRule>
    <cfRule type="containsText" dxfId="2312" priority="2603" operator="containsText" text="No Aplica">
      <formula>NOT(ISERROR(SEARCH("No Aplica",O256)))</formula>
    </cfRule>
    <cfRule type="containsText" dxfId="2311" priority="2604" operator="containsText" text="Fallido">
      <formula>NOT(ISERROR(SEARCH("Fallido",O256)))</formula>
    </cfRule>
    <cfRule type="containsText" dxfId="2310" priority="2605" operator="containsText" text="Éxitoso">
      <formula>NOT(ISERROR(SEARCH("Éxitoso",O256)))</formula>
    </cfRule>
  </conditionalFormatting>
  <conditionalFormatting sqref="P256">
    <cfRule type="containsText" dxfId="2309" priority="2596" operator="containsText" text="No se pudo ejecutar">
      <formula>NOT(ISERROR(SEARCH("No se pudo ejecutar",P256)))</formula>
    </cfRule>
    <cfRule type="containsText" dxfId="2308" priority="2597" operator="containsText" text="Pendiente">
      <formula>NOT(ISERROR(SEARCH("Pendiente",P256)))</formula>
    </cfRule>
    <cfRule type="containsText" dxfId="2307" priority="2598" operator="containsText" text="No Aplica">
      <formula>NOT(ISERROR(SEARCH("No Aplica",P256)))</formula>
    </cfRule>
    <cfRule type="containsText" dxfId="2306" priority="2599" operator="containsText" text="Fallido">
      <formula>NOT(ISERROR(SEARCH("Fallido",P256)))</formula>
    </cfRule>
    <cfRule type="containsText" dxfId="2305" priority="2600" operator="containsText" text="Éxitoso">
      <formula>NOT(ISERROR(SEARCH("Éxitoso",P256)))</formula>
    </cfRule>
  </conditionalFormatting>
  <conditionalFormatting sqref="Q256">
    <cfRule type="containsText" dxfId="2304" priority="2591" operator="containsText" text="No se pudo ejecutar">
      <formula>NOT(ISERROR(SEARCH("No se pudo ejecutar",Q256)))</formula>
    </cfRule>
    <cfRule type="containsText" dxfId="2303" priority="2592" operator="containsText" text="Pendiente">
      <formula>NOT(ISERROR(SEARCH("Pendiente",Q256)))</formula>
    </cfRule>
    <cfRule type="containsText" dxfId="2302" priority="2593" operator="containsText" text="No Aplica">
      <formula>NOT(ISERROR(SEARCH("No Aplica",Q256)))</formula>
    </cfRule>
    <cfRule type="containsText" dxfId="2301" priority="2594" operator="containsText" text="Fallido">
      <formula>NOT(ISERROR(SEARCH("Fallido",Q256)))</formula>
    </cfRule>
    <cfRule type="containsText" dxfId="2300" priority="2595" operator="containsText" text="Éxitoso">
      <formula>NOT(ISERROR(SEARCH("Éxitoso",Q256)))</formula>
    </cfRule>
  </conditionalFormatting>
  <conditionalFormatting sqref="R256">
    <cfRule type="containsText" dxfId="2299" priority="2586" operator="containsText" text="No se pudo ejecutar">
      <formula>NOT(ISERROR(SEARCH("No se pudo ejecutar",R256)))</formula>
    </cfRule>
    <cfRule type="containsText" dxfId="2298" priority="2587" operator="containsText" text="Pendiente">
      <formula>NOT(ISERROR(SEARCH("Pendiente",R256)))</formula>
    </cfRule>
    <cfRule type="containsText" dxfId="2297" priority="2588" operator="containsText" text="No Aplica">
      <formula>NOT(ISERROR(SEARCH("No Aplica",R256)))</formula>
    </cfRule>
    <cfRule type="containsText" dxfId="2296" priority="2589" operator="containsText" text="Fallido">
      <formula>NOT(ISERROR(SEARCH("Fallido",R256)))</formula>
    </cfRule>
    <cfRule type="containsText" dxfId="2295" priority="2590" operator="containsText" text="Éxitoso">
      <formula>NOT(ISERROR(SEARCH("Éxitoso",R256)))</formula>
    </cfRule>
  </conditionalFormatting>
  <conditionalFormatting sqref="S256">
    <cfRule type="containsText" dxfId="2294" priority="2581" operator="containsText" text="No se pudo ejecutar">
      <formula>NOT(ISERROR(SEARCH("No se pudo ejecutar",S256)))</formula>
    </cfRule>
    <cfRule type="containsText" dxfId="2293" priority="2582" operator="containsText" text="Pendiente">
      <formula>NOT(ISERROR(SEARCH("Pendiente",S256)))</formula>
    </cfRule>
    <cfRule type="containsText" dxfId="2292" priority="2583" operator="containsText" text="No Aplica">
      <formula>NOT(ISERROR(SEARCH("No Aplica",S256)))</formula>
    </cfRule>
    <cfRule type="containsText" dxfId="2291" priority="2584" operator="containsText" text="Fallido">
      <formula>NOT(ISERROR(SEARCH("Fallido",S256)))</formula>
    </cfRule>
    <cfRule type="containsText" dxfId="2290" priority="2585" operator="containsText" text="Éxitoso">
      <formula>NOT(ISERROR(SEARCH("Éxitoso",S256)))</formula>
    </cfRule>
  </conditionalFormatting>
  <conditionalFormatting sqref="T256">
    <cfRule type="containsText" dxfId="2289" priority="2576" operator="containsText" text="No se pudo ejecutar">
      <formula>NOT(ISERROR(SEARCH("No se pudo ejecutar",T256)))</formula>
    </cfRule>
    <cfRule type="containsText" dxfId="2288" priority="2577" operator="containsText" text="Pendiente">
      <formula>NOT(ISERROR(SEARCH("Pendiente",T256)))</formula>
    </cfRule>
    <cfRule type="containsText" dxfId="2287" priority="2578" operator="containsText" text="No Aplica">
      <formula>NOT(ISERROR(SEARCH("No Aplica",T256)))</formula>
    </cfRule>
    <cfRule type="containsText" dxfId="2286" priority="2579" operator="containsText" text="Fallido">
      <formula>NOT(ISERROR(SEARCH("Fallido",T256)))</formula>
    </cfRule>
    <cfRule type="containsText" dxfId="2285" priority="2580" operator="containsText" text="Éxitoso">
      <formula>NOT(ISERROR(SEARCH("Éxitoso",T256)))</formula>
    </cfRule>
  </conditionalFormatting>
  <conditionalFormatting sqref="U256">
    <cfRule type="containsText" dxfId="2284" priority="2571" operator="containsText" text="No se pudo ejecutar">
      <formula>NOT(ISERROR(SEARCH("No se pudo ejecutar",U256)))</formula>
    </cfRule>
    <cfRule type="containsText" dxfId="2283" priority="2572" operator="containsText" text="Pendiente">
      <formula>NOT(ISERROR(SEARCH("Pendiente",U256)))</formula>
    </cfRule>
    <cfRule type="containsText" dxfId="2282" priority="2573" operator="containsText" text="No Aplica">
      <formula>NOT(ISERROR(SEARCH("No Aplica",U256)))</formula>
    </cfRule>
    <cfRule type="containsText" dxfId="2281" priority="2574" operator="containsText" text="Fallido">
      <formula>NOT(ISERROR(SEARCH("Fallido",U256)))</formula>
    </cfRule>
    <cfRule type="containsText" dxfId="2280" priority="2575" operator="containsText" text="Éxitoso">
      <formula>NOT(ISERROR(SEARCH("Éxitoso",U256)))</formula>
    </cfRule>
  </conditionalFormatting>
  <conditionalFormatting sqref="V256">
    <cfRule type="containsText" dxfId="2279" priority="2566" operator="containsText" text="No se pudo ejecutar">
      <formula>NOT(ISERROR(SEARCH("No se pudo ejecutar",V256)))</formula>
    </cfRule>
    <cfRule type="containsText" dxfId="2278" priority="2567" operator="containsText" text="Pendiente">
      <formula>NOT(ISERROR(SEARCH("Pendiente",V256)))</formula>
    </cfRule>
    <cfRule type="containsText" dxfId="2277" priority="2568" operator="containsText" text="No Aplica">
      <formula>NOT(ISERROR(SEARCH("No Aplica",V256)))</formula>
    </cfRule>
    <cfRule type="containsText" dxfId="2276" priority="2569" operator="containsText" text="Fallido">
      <formula>NOT(ISERROR(SEARCH("Fallido",V256)))</formula>
    </cfRule>
    <cfRule type="containsText" dxfId="2275" priority="2570" operator="containsText" text="Éxitoso">
      <formula>NOT(ISERROR(SEARCH("Éxitoso",V256)))</formula>
    </cfRule>
  </conditionalFormatting>
  <conditionalFormatting sqref="W256">
    <cfRule type="containsText" dxfId="2274" priority="2561" operator="containsText" text="No se pudo ejecutar">
      <formula>NOT(ISERROR(SEARCH("No se pudo ejecutar",W256)))</formula>
    </cfRule>
    <cfRule type="containsText" dxfId="2273" priority="2562" operator="containsText" text="Pendiente">
      <formula>NOT(ISERROR(SEARCH("Pendiente",W256)))</formula>
    </cfRule>
    <cfRule type="containsText" dxfId="2272" priority="2563" operator="containsText" text="No Aplica">
      <formula>NOT(ISERROR(SEARCH("No Aplica",W256)))</formula>
    </cfRule>
    <cfRule type="containsText" dxfId="2271" priority="2564" operator="containsText" text="Fallido">
      <formula>NOT(ISERROR(SEARCH("Fallido",W256)))</formula>
    </cfRule>
    <cfRule type="containsText" dxfId="2270" priority="2565" operator="containsText" text="Éxitoso">
      <formula>NOT(ISERROR(SEARCH("Éxitoso",W256)))</formula>
    </cfRule>
  </conditionalFormatting>
  <conditionalFormatting sqref="M256">
    <cfRule type="containsText" dxfId="2269" priority="2556" operator="containsText" text="No se pudo ejecutar">
      <formula>NOT(ISERROR(SEARCH("No se pudo ejecutar",M256)))</formula>
    </cfRule>
    <cfRule type="containsText" dxfId="2268" priority="2557" operator="containsText" text="Pendiente">
      <formula>NOT(ISERROR(SEARCH("Pendiente",M256)))</formula>
    </cfRule>
    <cfRule type="containsText" dxfId="2267" priority="2558" operator="containsText" text="No Aplica">
      <formula>NOT(ISERROR(SEARCH("No Aplica",M256)))</formula>
    </cfRule>
    <cfRule type="containsText" dxfId="2266" priority="2559" operator="containsText" text="Fallido">
      <formula>NOT(ISERROR(SEARCH("Fallido",M256)))</formula>
    </cfRule>
    <cfRule type="containsText" dxfId="2265" priority="2560" operator="containsText" text="Éxitoso">
      <formula>NOT(ISERROR(SEARCH("Éxitoso",M256)))</formula>
    </cfRule>
  </conditionalFormatting>
  <conditionalFormatting sqref="G256">
    <cfRule type="containsText" dxfId="2264" priority="2553" operator="containsText" text="Bajo">
      <formula>NOT(ISERROR(SEARCH("Bajo",G256)))</formula>
    </cfRule>
    <cfRule type="containsText" dxfId="2263" priority="2554" operator="containsText" text="Medio">
      <formula>NOT(ISERROR(SEARCH("Medio",G256)))</formula>
    </cfRule>
    <cfRule type="containsText" dxfId="2262" priority="2555" operator="containsText" text="Alto">
      <formula>NOT(ISERROR(SEARCH("Alto",G256)))</formula>
    </cfRule>
  </conditionalFormatting>
  <conditionalFormatting sqref="N257">
    <cfRule type="containsText" dxfId="2261" priority="2548" operator="containsText" text="No se pudo ejecutar">
      <formula>NOT(ISERROR(SEARCH("No se pudo ejecutar",N257)))</formula>
    </cfRule>
    <cfRule type="containsText" dxfId="2260" priority="2549" operator="containsText" text="Pendiente">
      <formula>NOT(ISERROR(SEARCH("Pendiente",N257)))</formula>
    </cfRule>
    <cfRule type="containsText" dxfId="2259" priority="2550" operator="containsText" text="No Aplica">
      <formula>NOT(ISERROR(SEARCH("No Aplica",N257)))</formula>
    </cfRule>
    <cfRule type="containsText" dxfId="2258" priority="2551" operator="containsText" text="Fallido">
      <formula>NOT(ISERROR(SEARCH("Fallido",N257)))</formula>
    </cfRule>
    <cfRule type="containsText" dxfId="2257" priority="2552" operator="containsText" text="Éxitoso">
      <formula>NOT(ISERROR(SEARCH("Éxitoso",N257)))</formula>
    </cfRule>
  </conditionalFormatting>
  <conditionalFormatting sqref="O257">
    <cfRule type="containsText" dxfId="2256" priority="2543" operator="containsText" text="No se pudo ejecutar">
      <formula>NOT(ISERROR(SEARCH("No se pudo ejecutar",O257)))</formula>
    </cfRule>
    <cfRule type="containsText" dxfId="2255" priority="2544" operator="containsText" text="Pendiente">
      <formula>NOT(ISERROR(SEARCH("Pendiente",O257)))</formula>
    </cfRule>
    <cfRule type="containsText" dxfId="2254" priority="2545" operator="containsText" text="No Aplica">
      <formula>NOT(ISERROR(SEARCH("No Aplica",O257)))</formula>
    </cfRule>
    <cfRule type="containsText" dxfId="2253" priority="2546" operator="containsText" text="Fallido">
      <formula>NOT(ISERROR(SEARCH("Fallido",O257)))</formula>
    </cfRule>
    <cfRule type="containsText" dxfId="2252" priority="2547" operator="containsText" text="Éxitoso">
      <formula>NOT(ISERROR(SEARCH("Éxitoso",O257)))</formula>
    </cfRule>
  </conditionalFormatting>
  <conditionalFormatting sqref="P257">
    <cfRule type="containsText" dxfId="2251" priority="2538" operator="containsText" text="No se pudo ejecutar">
      <formula>NOT(ISERROR(SEARCH("No se pudo ejecutar",P257)))</formula>
    </cfRule>
    <cfRule type="containsText" dxfId="2250" priority="2539" operator="containsText" text="Pendiente">
      <formula>NOT(ISERROR(SEARCH("Pendiente",P257)))</formula>
    </cfRule>
    <cfRule type="containsText" dxfId="2249" priority="2540" operator="containsText" text="No Aplica">
      <formula>NOT(ISERROR(SEARCH("No Aplica",P257)))</formula>
    </cfRule>
    <cfRule type="containsText" dxfId="2248" priority="2541" operator="containsText" text="Fallido">
      <formula>NOT(ISERROR(SEARCH("Fallido",P257)))</formula>
    </cfRule>
    <cfRule type="containsText" dxfId="2247" priority="2542" operator="containsText" text="Éxitoso">
      <formula>NOT(ISERROR(SEARCH("Éxitoso",P257)))</formula>
    </cfRule>
  </conditionalFormatting>
  <conditionalFormatting sqref="Q257">
    <cfRule type="containsText" dxfId="2246" priority="2533" operator="containsText" text="No se pudo ejecutar">
      <formula>NOT(ISERROR(SEARCH("No se pudo ejecutar",Q257)))</formula>
    </cfRule>
    <cfRule type="containsText" dxfId="2245" priority="2534" operator="containsText" text="Pendiente">
      <formula>NOT(ISERROR(SEARCH("Pendiente",Q257)))</formula>
    </cfRule>
    <cfRule type="containsText" dxfId="2244" priority="2535" operator="containsText" text="No Aplica">
      <formula>NOT(ISERROR(SEARCH("No Aplica",Q257)))</formula>
    </cfRule>
    <cfRule type="containsText" dxfId="2243" priority="2536" operator="containsText" text="Fallido">
      <formula>NOT(ISERROR(SEARCH("Fallido",Q257)))</formula>
    </cfRule>
    <cfRule type="containsText" dxfId="2242" priority="2537" operator="containsText" text="Éxitoso">
      <formula>NOT(ISERROR(SEARCH("Éxitoso",Q257)))</formula>
    </cfRule>
  </conditionalFormatting>
  <conditionalFormatting sqref="R257">
    <cfRule type="containsText" dxfId="2241" priority="2528" operator="containsText" text="No se pudo ejecutar">
      <formula>NOT(ISERROR(SEARCH("No se pudo ejecutar",R257)))</formula>
    </cfRule>
    <cfRule type="containsText" dxfId="2240" priority="2529" operator="containsText" text="Pendiente">
      <formula>NOT(ISERROR(SEARCH("Pendiente",R257)))</formula>
    </cfRule>
    <cfRule type="containsText" dxfId="2239" priority="2530" operator="containsText" text="No Aplica">
      <formula>NOT(ISERROR(SEARCH("No Aplica",R257)))</formula>
    </cfRule>
    <cfRule type="containsText" dxfId="2238" priority="2531" operator="containsText" text="Fallido">
      <formula>NOT(ISERROR(SEARCH("Fallido",R257)))</formula>
    </cfRule>
    <cfRule type="containsText" dxfId="2237" priority="2532" operator="containsText" text="Éxitoso">
      <formula>NOT(ISERROR(SEARCH("Éxitoso",R257)))</formula>
    </cfRule>
  </conditionalFormatting>
  <conditionalFormatting sqref="S257">
    <cfRule type="containsText" dxfId="2236" priority="2523" operator="containsText" text="No se pudo ejecutar">
      <formula>NOT(ISERROR(SEARCH("No se pudo ejecutar",S257)))</formula>
    </cfRule>
    <cfRule type="containsText" dxfId="2235" priority="2524" operator="containsText" text="Pendiente">
      <formula>NOT(ISERROR(SEARCH("Pendiente",S257)))</formula>
    </cfRule>
    <cfRule type="containsText" dxfId="2234" priority="2525" operator="containsText" text="No Aplica">
      <formula>NOT(ISERROR(SEARCH("No Aplica",S257)))</formula>
    </cfRule>
    <cfRule type="containsText" dxfId="2233" priority="2526" operator="containsText" text="Fallido">
      <formula>NOT(ISERROR(SEARCH("Fallido",S257)))</formula>
    </cfRule>
    <cfRule type="containsText" dxfId="2232" priority="2527" operator="containsText" text="Éxitoso">
      <formula>NOT(ISERROR(SEARCH("Éxitoso",S257)))</formula>
    </cfRule>
  </conditionalFormatting>
  <conditionalFormatting sqref="T257">
    <cfRule type="containsText" dxfId="2231" priority="2518" operator="containsText" text="No se pudo ejecutar">
      <formula>NOT(ISERROR(SEARCH("No se pudo ejecutar",T257)))</formula>
    </cfRule>
    <cfRule type="containsText" dxfId="2230" priority="2519" operator="containsText" text="Pendiente">
      <formula>NOT(ISERROR(SEARCH("Pendiente",T257)))</formula>
    </cfRule>
    <cfRule type="containsText" dxfId="2229" priority="2520" operator="containsText" text="No Aplica">
      <formula>NOT(ISERROR(SEARCH("No Aplica",T257)))</formula>
    </cfRule>
    <cfRule type="containsText" dxfId="2228" priority="2521" operator="containsText" text="Fallido">
      <formula>NOT(ISERROR(SEARCH("Fallido",T257)))</formula>
    </cfRule>
    <cfRule type="containsText" dxfId="2227" priority="2522" operator="containsText" text="Éxitoso">
      <formula>NOT(ISERROR(SEARCH("Éxitoso",T257)))</formula>
    </cfRule>
  </conditionalFormatting>
  <conditionalFormatting sqref="U257">
    <cfRule type="containsText" dxfId="2226" priority="2513" operator="containsText" text="No se pudo ejecutar">
      <formula>NOT(ISERROR(SEARCH("No se pudo ejecutar",U257)))</formula>
    </cfRule>
    <cfRule type="containsText" dxfId="2225" priority="2514" operator="containsText" text="Pendiente">
      <formula>NOT(ISERROR(SEARCH("Pendiente",U257)))</formula>
    </cfRule>
    <cfRule type="containsText" dxfId="2224" priority="2515" operator="containsText" text="No Aplica">
      <formula>NOT(ISERROR(SEARCH("No Aplica",U257)))</formula>
    </cfRule>
    <cfRule type="containsText" dxfId="2223" priority="2516" operator="containsText" text="Fallido">
      <formula>NOT(ISERROR(SEARCH("Fallido",U257)))</formula>
    </cfRule>
    <cfRule type="containsText" dxfId="2222" priority="2517" operator="containsText" text="Éxitoso">
      <formula>NOT(ISERROR(SEARCH("Éxitoso",U257)))</formula>
    </cfRule>
  </conditionalFormatting>
  <conditionalFormatting sqref="V257">
    <cfRule type="containsText" dxfId="2221" priority="2508" operator="containsText" text="No se pudo ejecutar">
      <formula>NOT(ISERROR(SEARCH("No se pudo ejecutar",V257)))</formula>
    </cfRule>
    <cfRule type="containsText" dxfId="2220" priority="2509" operator="containsText" text="Pendiente">
      <formula>NOT(ISERROR(SEARCH("Pendiente",V257)))</formula>
    </cfRule>
    <cfRule type="containsText" dxfId="2219" priority="2510" operator="containsText" text="No Aplica">
      <formula>NOT(ISERROR(SEARCH("No Aplica",V257)))</formula>
    </cfRule>
    <cfRule type="containsText" dxfId="2218" priority="2511" operator="containsText" text="Fallido">
      <formula>NOT(ISERROR(SEARCH("Fallido",V257)))</formula>
    </cfRule>
    <cfRule type="containsText" dxfId="2217" priority="2512" operator="containsText" text="Éxitoso">
      <formula>NOT(ISERROR(SEARCH("Éxitoso",V257)))</formula>
    </cfRule>
  </conditionalFormatting>
  <conditionalFormatting sqref="W257">
    <cfRule type="containsText" dxfId="2216" priority="2503" operator="containsText" text="No se pudo ejecutar">
      <formula>NOT(ISERROR(SEARCH("No se pudo ejecutar",W257)))</formula>
    </cfRule>
    <cfRule type="containsText" dxfId="2215" priority="2504" operator="containsText" text="Pendiente">
      <formula>NOT(ISERROR(SEARCH("Pendiente",W257)))</formula>
    </cfRule>
    <cfRule type="containsText" dxfId="2214" priority="2505" operator="containsText" text="No Aplica">
      <formula>NOT(ISERROR(SEARCH("No Aplica",W257)))</formula>
    </cfRule>
    <cfRule type="containsText" dxfId="2213" priority="2506" operator="containsText" text="Fallido">
      <formula>NOT(ISERROR(SEARCH("Fallido",W257)))</formula>
    </cfRule>
    <cfRule type="containsText" dxfId="2212" priority="2507" operator="containsText" text="Éxitoso">
      <formula>NOT(ISERROR(SEARCH("Éxitoso",W257)))</formula>
    </cfRule>
  </conditionalFormatting>
  <conditionalFormatting sqref="M257">
    <cfRule type="containsText" dxfId="2211" priority="2498" operator="containsText" text="No se pudo ejecutar">
      <formula>NOT(ISERROR(SEARCH("No se pudo ejecutar",M257)))</formula>
    </cfRule>
    <cfRule type="containsText" dxfId="2210" priority="2499" operator="containsText" text="Pendiente">
      <formula>NOT(ISERROR(SEARCH("Pendiente",M257)))</formula>
    </cfRule>
    <cfRule type="containsText" dxfId="2209" priority="2500" operator="containsText" text="No Aplica">
      <formula>NOT(ISERROR(SEARCH("No Aplica",M257)))</formula>
    </cfRule>
    <cfRule type="containsText" dxfId="2208" priority="2501" operator="containsText" text="Fallido">
      <formula>NOT(ISERROR(SEARCH("Fallido",M257)))</formula>
    </cfRule>
    <cfRule type="containsText" dxfId="2207" priority="2502" operator="containsText" text="Éxitoso">
      <formula>NOT(ISERROR(SEARCH("Éxitoso",M257)))</formula>
    </cfRule>
  </conditionalFormatting>
  <conditionalFormatting sqref="G257">
    <cfRule type="containsText" dxfId="2206" priority="2495" operator="containsText" text="Bajo">
      <formula>NOT(ISERROR(SEARCH("Bajo",G257)))</formula>
    </cfRule>
    <cfRule type="containsText" dxfId="2205" priority="2496" operator="containsText" text="Medio">
      <formula>NOT(ISERROR(SEARCH("Medio",G257)))</formula>
    </cfRule>
    <cfRule type="containsText" dxfId="2204" priority="2497" operator="containsText" text="Alto">
      <formula>NOT(ISERROR(SEARCH("Alto",G257)))</formula>
    </cfRule>
  </conditionalFormatting>
  <conditionalFormatting sqref="N258">
    <cfRule type="containsText" dxfId="2203" priority="2490" operator="containsText" text="No se pudo ejecutar">
      <formula>NOT(ISERROR(SEARCH("No se pudo ejecutar",N258)))</formula>
    </cfRule>
    <cfRule type="containsText" dxfId="2202" priority="2491" operator="containsText" text="Pendiente">
      <formula>NOT(ISERROR(SEARCH("Pendiente",N258)))</formula>
    </cfRule>
    <cfRule type="containsText" dxfId="2201" priority="2492" operator="containsText" text="No Aplica">
      <formula>NOT(ISERROR(SEARCH("No Aplica",N258)))</formula>
    </cfRule>
    <cfRule type="containsText" dxfId="2200" priority="2493" operator="containsText" text="Fallido">
      <formula>NOT(ISERROR(SEARCH("Fallido",N258)))</formula>
    </cfRule>
    <cfRule type="containsText" dxfId="2199" priority="2494" operator="containsText" text="Éxitoso">
      <formula>NOT(ISERROR(SEARCH("Éxitoso",N258)))</formula>
    </cfRule>
  </conditionalFormatting>
  <conditionalFormatting sqref="O258">
    <cfRule type="containsText" dxfId="2198" priority="2485" operator="containsText" text="No se pudo ejecutar">
      <formula>NOT(ISERROR(SEARCH("No se pudo ejecutar",O258)))</formula>
    </cfRule>
    <cfRule type="containsText" dxfId="2197" priority="2486" operator="containsText" text="Pendiente">
      <formula>NOT(ISERROR(SEARCH("Pendiente",O258)))</formula>
    </cfRule>
    <cfRule type="containsText" dxfId="2196" priority="2487" operator="containsText" text="No Aplica">
      <formula>NOT(ISERROR(SEARCH("No Aplica",O258)))</formula>
    </cfRule>
    <cfRule type="containsText" dxfId="2195" priority="2488" operator="containsText" text="Fallido">
      <formula>NOT(ISERROR(SEARCH("Fallido",O258)))</formula>
    </cfRule>
    <cfRule type="containsText" dxfId="2194" priority="2489" operator="containsText" text="Éxitoso">
      <formula>NOT(ISERROR(SEARCH("Éxitoso",O258)))</formula>
    </cfRule>
  </conditionalFormatting>
  <conditionalFormatting sqref="P258">
    <cfRule type="containsText" dxfId="2193" priority="2480" operator="containsText" text="No se pudo ejecutar">
      <formula>NOT(ISERROR(SEARCH("No se pudo ejecutar",P258)))</formula>
    </cfRule>
    <cfRule type="containsText" dxfId="2192" priority="2481" operator="containsText" text="Pendiente">
      <formula>NOT(ISERROR(SEARCH("Pendiente",P258)))</formula>
    </cfRule>
    <cfRule type="containsText" dxfId="2191" priority="2482" operator="containsText" text="No Aplica">
      <formula>NOT(ISERROR(SEARCH("No Aplica",P258)))</formula>
    </cfRule>
    <cfRule type="containsText" dxfId="2190" priority="2483" operator="containsText" text="Fallido">
      <formula>NOT(ISERROR(SEARCH("Fallido",P258)))</formula>
    </cfRule>
    <cfRule type="containsText" dxfId="2189" priority="2484" operator="containsText" text="Éxitoso">
      <formula>NOT(ISERROR(SEARCH("Éxitoso",P258)))</formula>
    </cfRule>
  </conditionalFormatting>
  <conditionalFormatting sqref="Q258">
    <cfRule type="containsText" dxfId="2188" priority="2475" operator="containsText" text="No se pudo ejecutar">
      <formula>NOT(ISERROR(SEARCH("No se pudo ejecutar",Q258)))</formula>
    </cfRule>
    <cfRule type="containsText" dxfId="2187" priority="2476" operator="containsText" text="Pendiente">
      <formula>NOT(ISERROR(SEARCH("Pendiente",Q258)))</formula>
    </cfRule>
    <cfRule type="containsText" dxfId="2186" priority="2477" operator="containsText" text="No Aplica">
      <formula>NOT(ISERROR(SEARCH("No Aplica",Q258)))</formula>
    </cfRule>
    <cfRule type="containsText" dxfId="2185" priority="2478" operator="containsText" text="Fallido">
      <formula>NOT(ISERROR(SEARCH("Fallido",Q258)))</formula>
    </cfRule>
    <cfRule type="containsText" dxfId="2184" priority="2479" operator="containsText" text="Éxitoso">
      <formula>NOT(ISERROR(SEARCH("Éxitoso",Q258)))</formula>
    </cfRule>
  </conditionalFormatting>
  <conditionalFormatting sqref="R258">
    <cfRule type="containsText" dxfId="2183" priority="2470" operator="containsText" text="No se pudo ejecutar">
      <formula>NOT(ISERROR(SEARCH("No se pudo ejecutar",R258)))</formula>
    </cfRule>
    <cfRule type="containsText" dxfId="2182" priority="2471" operator="containsText" text="Pendiente">
      <formula>NOT(ISERROR(SEARCH("Pendiente",R258)))</formula>
    </cfRule>
    <cfRule type="containsText" dxfId="2181" priority="2472" operator="containsText" text="No Aplica">
      <formula>NOT(ISERROR(SEARCH("No Aplica",R258)))</formula>
    </cfRule>
    <cfRule type="containsText" dxfId="2180" priority="2473" operator="containsText" text="Fallido">
      <formula>NOT(ISERROR(SEARCH("Fallido",R258)))</formula>
    </cfRule>
    <cfRule type="containsText" dxfId="2179" priority="2474" operator="containsText" text="Éxitoso">
      <formula>NOT(ISERROR(SEARCH("Éxitoso",R258)))</formula>
    </cfRule>
  </conditionalFormatting>
  <conditionalFormatting sqref="S258">
    <cfRule type="containsText" dxfId="2178" priority="2465" operator="containsText" text="No se pudo ejecutar">
      <formula>NOT(ISERROR(SEARCH("No se pudo ejecutar",S258)))</formula>
    </cfRule>
    <cfRule type="containsText" dxfId="2177" priority="2466" operator="containsText" text="Pendiente">
      <formula>NOT(ISERROR(SEARCH("Pendiente",S258)))</formula>
    </cfRule>
    <cfRule type="containsText" dxfId="2176" priority="2467" operator="containsText" text="No Aplica">
      <formula>NOT(ISERROR(SEARCH("No Aplica",S258)))</formula>
    </cfRule>
    <cfRule type="containsText" dxfId="2175" priority="2468" operator="containsText" text="Fallido">
      <formula>NOT(ISERROR(SEARCH("Fallido",S258)))</formula>
    </cfRule>
    <cfRule type="containsText" dxfId="2174" priority="2469" operator="containsText" text="Éxitoso">
      <formula>NOT(ISERROR(SEARCH("Éxitoso",S258)))</formula>
    </cfRule>
  </conditionalFormatting>
  <conditionalFormatting sqref="T258">
    <cfRule type="containsText" dxfId="2173" priority="2460" operator="containsText" text="No se pudo ejecutar">
      <formula>NOT(ISERROR(SEARCH("No se pudo ejecutar",T258)))</formula>
    </cfRule>
    <cfRule type="containsText" dxfId="2172" priority="2461" operator="containsText" text="Pendiente">
      <formula>NOT(ISERROR(SEARCH("Pendiente",T258)))</formula>
    </cfRule>
    <cfRule type="containsText" dxfId="2171" priority="2462" operator="containsText" text="No Aplica">
      <formula>NOT(ISERROR(SEARCH("No Aplica",T258)))</formula>
    </cfRule>
    <cfRule type="containsText" dxfId="2170" priority="2463" operator="containsText" text="Fallido">
      <formula>NOT(ISERROR(SEARCH("Fallido",T258)))</formula>
    </cfRule>
    <cfRule type="containsText" dxfId="2169" priority="2464" operator="containsText" text="Éxitoso">
      <formula>NOT(ISERROR(SEARCH("Éxitoso",T258)))</formula>
    </cfRule>
  </conditionalFormatting>
  <conditionalFormatting sqref="U258">
    <cfRule type="containsText" dxfId="2168" priority="2455" operator="containsText" text="No se pudo ejecutar">
      <formula>NOT(ISERROR(SEARCH("No se pudo ejecutar",U258)))</formula>
    </cfRule>
    <cfRule type="containsText" dxfId="2167" priority="2456" operator="containsText" text="Pendiente">
      <formula>NOT(ISERROR(SEARCH("Pendiente",U258)))</formula>
    </cfRule>
    <cfRule type="containsText" dxfId="2166" priority="2457" operator="containsText" text="No Aplica">
      <formula>NOT(ISERROR(SEARCH("No Aplica",U258)))</formula>
    </cfRule>
    <cfRule type="containsText" dxfId="2165" priority="2458" operator="containsText" text="Fallido">
      <formula>NOT(ISERROR(SEARCH("Fallido",U258)))</formula>
    </cfRule>
    <cfRule type="containsText" dxfId="2164" priority="2459" operator="containsText" text="Éxitoso">
      <formula>NOT(ISERROR(SEARCH("Éxitoso",U258)))</formula>
    </cfRule>
  </conditionalFormatting>
  <conditionalFormatting sqref="V258">
    <cfRule type="containsText" dxfId="2163" priority="2450" operator="containsText" text="No se pudo ejecutar">
      <formula>NOT(ISERROR(SEARCH("No se pudo ejecutar",V258)))</formula>
    </cfRule>
    <cfRule type="containsText" dxfId="2162" priority="2451" operator="containsText" text="Pendiente">
      <formula>NOT(ISERROR(SEARCH("Pendiente",V258)))</formula>
    </cfRule>
    <cfRule type="containsText" dxfId="2161" priority="2452" operator="containsText" text="No Aplica">
      <formula>NOT(ISERROR(SEARCH("No Aplica",V258)))</formula>
    </cfRule>
    <cfRule type="containsText" dxfId="2160" priority="2453" operator="containsText" text="Fallido">
      <formula>NOT(ISERROR(SEARCH("Fallido",V258)))</formula>
    </cfRule>
    <cfRule type="containsText" dxfId="2159" priority="2454" operator="containsText" text="Éxitoso">
      <formula>NOT(ISERROR(SEARCH("Éxitoso",V258)))</formula>
    </cfRule>
  </conditionalFormatting>
  <conditionalFormatting sqref="W258">
    <cfRule type="containsText" dxfId="2158" priority="2445" operator="containsText" text="No se pudo ejecutar">
      <formula>NOT(ISERROR(SEARCH("No se pudo ejecutar",W258)))</formula>
    </cfRule>
    <cfRule type="containsText" dxfId="2157" priority="2446" operator="containsText" text="Pendiente">
      <formula>NOT(ISERROR(SEARCH("Pendiente",W258)))</formula>
    </cfRule>
    <cfRule type="containsText" dxfId="2156" priority="2447" operator="containsText" text="No Aplica">
      <formula>NOT(ISERROR(SEARCH("No Aplica",W258)))</formula>
    </cfRule>
    <cfRule type="containsText" dxfId="2155" priority="2448" operator="containsText" text="Fallido">
      <formula>NOT(ISERROR(SEARCH("Fallido",W258)))</formula>
    </cfRule>
    <cfRule type="containsText" dxfId="2154" priority="2449" operator="containsText" text="Éxitoso">
      <formula>NOT(ISERROR(SEARCH("Éxitoso",W258)))</formula>
    </cfRule>
  </conditionalFormatting>
  <conditionalFormatting sqref="M258">
    <cfRule type="containsText" dxfId="2153" priority="2440" operator="containsText" text="No se pudo ejecutar">
      <formula>NOT(ISERROR(SEARCH("No se pudo ejecutar",M258)))</formula>
    </cfRule>
    <cfRule type="containsText" dxfId="2152" priority="2441" operator="containsText" text="Pendiente">
      <formula>NOT(ISERROR(SEARCH("Pendiente",M258)))</formula>
    </cfRule>
    <cfRule type="containsText" dxfId="2151" priority="2442" operator="containsText" text="No Aplica">
      <formula>NOT(ISERROR(SEARCH("No Aplica",M258)))</formula>
    </cfRule>
    <cfRule type="containsText" dxfId="2150" priority="2443" operator="containsText" text="Fallido">
      <formula>NOT(ISERROR(SEARCH("Fallido",M258)))</formula>
    </cfRule>
    <cfRule type="containsText" dxfId="2149" priority="2444" operator="containsText" text="Éxitoso">
      <formula>NOT(ISERROR(SEARCH("Éxitoso",M258)))</formula>
    </cfRule>
  </conditionalFormatting>
  <conditionalFormatting sqref="G258">
    <cfRule type="containsText" dxfId="2148" priority="2437" operator="containsText" text="Bajo">
      <formula>NOT(ISERROR(SEARCH("Bajo",G258)))</formula>
    </cfRule>
    <cfRule type="containsText" dxfId="2147" priority="2438" operator="containsText" text="Medio">
      <formula>NOT(ISERROR(SEARCH("Medio",G258)))</formula>
    </cfRule>
    <cfRule type="containsText" dxfId="2146" priority="2439" operator="containsText" text="Alto">
      <formula>NOT(ISERROR(SEARCH("Alto",G258)))</formula>
    </cfRule>
  </conditionalFormatting>
  <conditionalFormatting sqref="N259">
    <cfRule type="containsText" dxfId="2145" priority="2432" operator="containsText" text="No se pudo ejecutar">
      <formula>NOT(ISERROR(SEARCH("No se pudo ejecutar",N259)))</formula>
    </cfRule>
    <cfRule type="containsText" dxfId="2144" priority="2433" operator="containsText" text="Pendiente">
      <formula>NOT(ISERROR(SEARCH("Pendiente",N259)))</formula>
    </cfRule>
    <cfRule type="containsText" dxfId="2143" priority="2434" operator="containsText" text="No Aplica">
      <formula>NOT(ISERROR(SEARCH("No Aplica",N259)))</formula>
    </cfRule>
    <cfRule type="containsText" dxfId="2142" priority="2435" operator="containsText" text="Fallido">
      <formula>NOT(ISERROR(SEARCH("Fallido",N259)))</formula>
    </cfRule>
    <cfRule type="containsText" dxfId="2141" priority="2436" operator="containsText" text="Éxitoso">
      <formula>NOT(ISERROR(SEARCH("Éxitoso",N259)))</formula>
    </cfRule>
  </conditionalFormatting>
  <conditionalFormatting sqref="O259">
    <cfRule type="containsText" dxfId="2140" priority="2427" operator="containsText" text="No se pudo ejecutar">
      <formula>NOT(ISERROR(SEARCH("No se pudo ejecutar",O259)))</formula>
    </cfRule>
    <cfRule type="containsText" dxfId="2139" priority="2428" operator="containsText" text="Pendiente">
      <formula>NOT(ISERROR(SEARCH("Pendiente",O259)))</formula>
    </cfRule>
    <cfRule type="containsText" dxfId="2138" priority="2429" operator="containsText" text="No Aplica">
      <formula>NOT(ISERROR(SEARCH("No Aplica",O259)))</formula>
    </cfRule>
    <cfRule type="containsText" dxfId="2137" priority="2430" operator="containsText" text="Fallido">
      <formula>NOT(ISERROR(SEARCH("Fallido",O259)))</formula>
    </cfRule>
    <cfRule type="containsText" dxfId="2136" priority="2431" operator="containsText" text="Éxitoso">
      <formula>NOT(ISERROR(SEARCH("Éxitoso",O259)))</formula>
    </cfRule>
  </conditionalFormatting>
  <conditionalFormatting sqref="P259">
    <cfRule type="containsText" dxfId="2135" priority="2422" operator="containsText" text="No se pudo ejecutar">
      <formula>NOT(ISERROR(SEARCH("No se pudo ejecutar",P259)))</formula>
    </cfRule>
    <cfRule type="containsText" dxfId="2134" priority="2423" operator="containsText" text="Pendiente">
      <formula>NOT(ISERROR(SEARCH("Pendiente",P259)))</formula>
    </cfRule>
    <cfRule type="containsText" dxfId="2133" priority="2424" operator="containsText" text="No Aplica">
      <formula>NOT(ISERROR(SEARCH("No Aplica",P259)))</formula>
    </cfRule>
    <cfRule type="containsText" dxfId="2132" priority="2425" operator="containsText" text="Fallido">
      <formula>NOT(ISERROR(SEARCH("Fallido",P259)))</formula>
    </cfRule>
    <cfRule type="containsText" dxfId="2131" priority="2426" operator="containsText" text="Éxitoso">
      <formula>NOT(ISERROR(SEARCH("Éxitoso",P259)))</formula>
    </cfRule>
  </conditionalFormatting>
  <conditionalFormatting sqref="Q259">
    <cfRule type="containsText" dxfId="2130" priority="2417" operator="containsText" text="No se pudo ejecutar">
      <formula>NOT(ISERROR(SEARCH("No se pudo ejecutar",Q259)))</formula>
    </cfRule>
    <cfRule type="containsText" dxfId="2129" priority="2418" operator="containsText" text="Pendiente">
      <formula>NOT(ISERROR(SEARCH("Pendiente",Q259)))</formula>
    </cfRule>
    <cfRule type="containsText" dxfId="2128" priority="2419" operator="containsText" text="No Aplica">
      <formula>NOT(ISERROR(SEARCH("No Aplica",Q259)))</formula>
    </cfRule>
    <cfRule type="containsText" dxfId="2127" priority="2420" operator="containsText" text="Fallido">
      <formula>NOT(ISERROR(SEARCH("Fallido",Q259)))</formula>
    </cfRule>
    <cfRule type="containsText" dxfId="2126" priority="2421" operator="containsText" text="Éxitoso">
      <formula>NOT(ISERROR(SEARCH("Éxitoso",Q259)))</formula>
    </cfRule>
  </conditionalFormatting>
  <conditionalFormatting sqref="R259">
    <cfRule type="containsText" dxfId="2125" priority="2412" operator="containsText" text="No se pudo ejecutar">
      <formula>NOT(ISERROR(SEARCH("No se pudo ejecutar",R259)))</formula>
    </cfRule>
    <cfRule type="containsText" dxfId="2124" priority="2413" operator="containsText" text="Pendiente">
      <formula>NOT(ISERROR(SEARCH("Pendiente",R259)))</formula>
    </cfRule>
    <cfRule type="containsText" dxfId="2123" priority="2414" operator="containsText" text="No Aplica">
      <formula>NOT(ISERROR(SEARCH("No Aplica",R259)))</formula>
    </cfRule>
    <cfRule type="containsText" dxfId="2122" priority="2415" operator="containsText" text="Fallido">
      <formula>NOT(ISERROR(SEARCH("Fallido",R259)))</formula>
    </cfRule>
    <cfRule type="containsText" dxfId="2121" priority="2416" operator="containsText" text="Éxitoso">
      <formula>NOT(ISERROR(SEARCH("Éxitoso",R259)))</formula>
    </cfRule>
  </conditionalFormatting>
  <conditionalFormatting sqref="S259">
    <cfRule type="containsText" dxfId="2120" priority="2407" operator="containsText" text="No se pudo ejecutar">
      <formula>NOT(ISERROR(SEARCH("No se pudo ejecutar",S259)))</formula>
    </cfRule>
    <cfRule type="containsText" dxfId="2119" priority="2408" operator="containsText" text="Pendiente">
      <formula>NOT(ISERROR(SEARCH("Pendiente",S259)))</formula>
    </cfRule>
    <cfRule type="containsText" dxfId="2118" priority="2409" operator="containsText" text="No Aplica">
      <formula>NOT(ISERROR(SEARCH("No Aplica",S259)))</formula>
    </cfRule>
    <cfRule type="containsText" dxfId="2117" priority="2410" operator="containsText" text="Fallido">
      <formula>NOT(ISERROR(SEARCH("Fallido",S259)))</formula>
    </cfRule>
    <cfRule type="containsText" dxfId="2116" priority="2411" operator="containsText" text="Éxitoso">
      <formula>NOT(ISERROR(SEARCH("Éxitoso",S259)))</formula>
    </cfRule>
  </conditionalFormatting>
  <conditionalFormatting sqref="T259">
    <cfRule type="containsText" dxfId="2115" priority="2402" operator="containsText" text="No se pudo ejecutar">
      <formula>NOT(ISERROR(SEARCH("No se pudo ejecutar",T259)))</formula>
    </cfRule>
    <cfRule type="containsText" dxfId="2114" priority="2403" operator="containsText" text="Pendiente">
      <formula>NOT(ISERROR(SEARCH("Pendiente",T259)))</formula>
    </cfRule>
    <cfRule type="containsText" dxfId="2113" priority="2404" operator="containsText" text="No Aplica">
      <formula>NOT(ISERROR(SEARCH("No Aplica",T259)))</formula>
    </cfRule>
    <cfRule type="containsText" dxfId="2112" priority="2405" operator="containsText" text="Fallido">
      <formula>NOT(ISERROR(SEARCH("Fallido",T259)))</formula>
    </cfRule>
    <cfRule type="containsText" dxfId="2111" priority="2406" operator="containsText" text="Éxitoso">
      <formula>NOT(ISERROR(SEARCH("Éxitoso",T259)))</formula>
    </cfRule>
  </conditionalFormatting>
  <conditionalFormatting sqref="U259">
    <cfRule type="containsText" dxfId="2110" priority="2397" operator="containsText" text="No se pudo ejecutar">
      <formula>NOT(ISERROR(SEARCH("No se pudo ejecutar",U259)))</formula>
    </cfRule>
    <cfRule type="containsText" dxfId="2109" priority="2398" operator="containsText" text="Pendiente">
      <formula>NOT(ISERROR(SEARCH("Pendiente",U259)))</formula>
    </cfRule>
    <cfRule type="containsText" dxfId="2108" priority="2399" operator="containsText" text="No Aplica">
      <formula>NOT(ISERROR(SEARCH("No Aplica",U259)))</formula>
    </cfRule>
    <cfRule type="containsText" dxfId="2107" priority="2400" operator="containsText" text="Fallido">
      <formula>NOT(ISERROR(SEARCH("Fallido",U259)))</formula>
    </cfRule>
    <cfRule type="containsText" dxfId="2106" priority="2401" operator="containsText" text="Éxitoso">
      <formula>NOT(ISERROR(SEARCH("Éxitoso",U259)))</formula>
    </cfRule>
  </conditionalFormatting>
  <conditionalFormatting sqref="V259">
    <cfRule type="containsText" dxfId="2105" priority="2392" operator="containsText" text="No se pudo ejecutar">
      <formula>NOT(ISERROR(SEARCH("No se pudo ejecutar",V259)))</formula>
    </cfRule>
    <cfRule type="containsText" dxfId="2104" priority="2393" operator="containsText" text="Pendiente">
      <formula>NOT(ISERROR(SEARCH("Pendiente",V259)))</formula>
    </cfRule>
    <cfRule type="containsText" dxfId="2103" priority="2394" operator="containsText" text="No Aplica">
      <formula>NOT(ISERROR(SEARCH("No Aplica",V259)))</formula>
    </cfRule>
    <cfRule type="containsText" dxfId="2102" priority="2395" operator="containsText" text="Fallido">
      <formula>NOT(ISERROR(SEARCH("Fallido",V259)))</formula>
    </cfRule>
    <cfRule type="containsText" dxfId="2101" priority="2396" operator="containsText" text="Éxitoso">
      <formula>NOT(ISERROR(SEARCH("Éxitoso",V259)))</formula>
    </cfRule>
  </conditionalFormatting>
  <conditionalFormatting sqref="W259">
    <cfRule type="containsText" dxfId="2100" priority="2387" operator="containsText" text="No se pudo ejecutar">
      <formula>NOT(ISERROR(SEARCH("No se pudo ejecutar",W259)))</formula>
    </cfRule>
    <cfRule type="containsText" dxfId="2099" priority="2388" operator="containsText" text="Pendiente">
      <formula>NOT(ISERROR(SEARCH("Pendiente",W259)))</formula>
    </cfRule>
    <cfRule type="containsText" dxfId="2098" priority="2389" operator="containsText" text="No Aplica">
      <formula>NOT(ISERROR(SEARCH("No Aplica",W259)))</formula>
    </cfRule>
    <cfRule type="containsText" dxfId="2097" priority="2390" operator="containsText" text="Fallido">
      <formula>NOT(ISERROR(SEARCH("Fallido",W259)))</formula>
    </cfRule>
    <cfRule type="containsText" dxfId="2096" priority="2391" operator="containsText" text="Éxitoso">
      <formula>NOT(ISERROR(SEARCH("Éxitoso",W259)))</formula>
    </cfRule>
  </conditionalFormatting>
  <conditionalFormatting sqref="M259">
    <cfRule type="containsText" dxfId="2095" priority="2382" operator="containsText" text="No se pudo ejecutar">
      <formula>NOT(ISERROR(SEARCH("No se pudo ejecutar",M259)))</formula>
    </cfRule>
    <cfRule type="containsText" dxfId="2094" priority="2383" operator="containsText" text="Pendiente">
      <formula>NOT(ISERROR(SEARCH("Pendiente",M259)))</formula>
    </cfRule>
    <cfRule type="containsText" dxfId="2093" priority="2384" operator="containsText" text="No Aplica">
      <formula>NOT(ISERROR(SEARCH("No Aplica",M259)))</formula>
    </cfRule>
    <cfRule type="containsText" dxfId="2092" priority="2385" operator="containsText" text="Fallido">
      <formula>NOT(ISERROR(SEARCH("Fallido",M259)))</formula>
    </cfRule>
    <cfRule type="containsText" dxfId="2091" priority="2386" operator="containsText" text="Éxitoso">
      <formula>NOT(ISERROR(SEARCH("Éxitoso",M259)))</formula>
    </cfRule>
  </conditionalFormatting>
  <conditionalFormatting sqref="G259">
    <cfRule type="containsText" dxfId="2090" priority="2379" operator="containsText" text="Bajo">
      <formula>NOT(ISERROR(SEARCH("Bajo",G259)))</formula>
    </cfRule>
    <cfRule type="containsText" dxfId="2089" priority="2380" operator="containsText" text="Medio">
      <formula>NOT(ISERROR(SEARCH("Medio",G259)))</formula>
    </cfRule>
    <cfRule type="containsText" dxfId="2088" priority="2381" operator="containsText" text="Alto">
      <formula>NOT(ISERROR(SEARCH("Alto",G259)))</formula>
    </cfRule>
  </conditionalFormatting>
  <conditionalFormatting sqref="N260">
    <cfRule type="containsText" dxfId="2087" priority="2374" operator="containsText" text="No se pudo ejecutar">
      <formula>NOT(ISERROR(SEARCH("No se pudo ejecutar",N260)))</formula>
    </cfRule>
    <cfRule type="containsText" dxfId="2086" priority="2375" operator="containsText" text="Pendiente">
      <formula>NOT(ISERROR(SEARCH("Pendiente",N260)))</formula>
    </cfRule>
    <cfRule type="containsText" dxfId="2085" priority="2376" operator="containsText" text="No Aplica">
      <formula>NOT(ISERROR(SEARCH("No Aplica",N260)))</formula>
    </cfRule>
    <cfRule type="containsText" dxfId="2084" priority="2377" operator="containsText" text="Fallido">
      <formula>NOT(ISERROR(SEARCH("Fallido",N260)))</formula>
    </cfRule>
    <cfRule type="containsText" dxfId="2083" priority="2378" operator="containsText" text="Éxitoso">
      <formula>NOT(ISERROR(SEARCH("Éxitoso",N260)))</formula>
    </cfRule>
  </conditionalFormatting>
  <conditionalFormatting sqref="O260">
    <cfRule type="containsText" dxfId="2082" priority="2369" operator="containsText" text="No se pudo ejecutar">
      <formula>NOT(ISERROR(SEARCH("No se pudo ejecutar",O260)))</formula>
    </cfRule>
    <cfRule type="containsText" dxfId="2081" priority="2370" operator="containsText" text="Pendiente">
      <formula>NOT(ISERROR(SEARCH("Pendiente",O260)))</formula>
    </cfRule>
    <cfRule type="containsText" dxfId="2080" priority="2371" operator="containsText" text="No Aplica">
      <formula>NOT(ISERROR(SEARCH("No Aplica",O260)))</formula>
    </cfRule>
    <cfRule type="containsText" dxfId="2079" priority="2372" operator="containsText" text="Fallido">
      <formula>NOT(ISERROR(SEARCH("Fallido",O260)))</formula>
    </cfRule>
    <cfRule type="containsText" dxfId="2078" priority="2373" operator="containsText" text="Éxitoso">
      <formula>NOT(ISERROR(SEARCH("Éxitoso",O260)))</formula>
    </cfRule>
  </conditionalFormatting>
  <conditionalFormatting sqref="P260">
    <cfRule type="containsText" dxfId="2077" priority="2364" operator="containsText" text="No se pudo ejecutar">
      <formula>NOT(ISERROR(SEARCH("No se pudo ejecutar",P260)))</formula>
    </cfRule>
    <cfRule type="containsText" dxfId="2076" priority="2365" operator="containsText" text="Pendiente">
      <formula>NOT(ISERROR(SEARCH("Pendiente",P260)))</formula>
    </cfRule>
    <cfRule type="containsText" dxfId="2075" priority="2366" operator="containsText" text="No Aplica">
      <formula>NOT(ISERROR(SEARCH("No Aplica",P260)))</formula>
    </cfRule>
    <cfRule type="containsText" dxfId="2074" priority="2367" operator="containsText" text="Fallido">
      <formula>NOT(ISERROR(SEARCH("Fallido",P260)))</formula>
    </cfRule>
    <cfRule type="containsText" dxfId="2073" priority="2368" operator="containsText" text="Éxitoso">
      <formula>NOT(ISERROR(SEARCH("Éxitoso",P260)))</formula>
    </cfRule>
  </conditionalFormatting>
  <conditionalFormatting sqref="Q260">
    <cfRule type="containsText" dxfId="2072" priority="2359" operator="containsText" text="No se pudo ejecutar">
      <formula>NOT(ISERROR(SEARCH("No se pudo ejecutar",Q260)))</formula>
    </cfRule>
    <cfRule type="containsText" dxfId="2071" priority="2360" operator="containsText" text="Pendiente">
      <formula>NOT(ISERROR(SEARCH("Pendiente",Q260)))</formula>
    </cfRule>
    <cfRule type="containsText" dxfId="2070" priority="2361" operator="containsText" text="No Aplica">
      <formula>NOT(ISERROR(SEARCH("No Aplica",Q260)))</formula>
    </cfRule>
    <cfRule type="containsText" dxfId="2069" priority="2362" operator="containsText" text="Fallido">
      <formula>NOT(ISERROR(SEARCH("Fallido",Q260)))</formula>
    </cfRule>
    <cfRule type="containsText" dxfId="2068" priority="2363" operator="containsText" text="Éxitoso">
      <formula>NOT(ISERROR(SEARCH("Éxitoso",Q260)))</formula>
    </cfRule>
  </conditionalFormatting>
  <conditionalFormatting sqref="R260">
    <cfRule type="containsText" dxfId="2067" priority="2354" operator="containsText" text="No se pudo ejecutar">
      <formula>NOT(ISERROR(SEARCH("No se pudo ejecutar",R260)))</formula>
    </cfRule>
    <cfRule type="containsText" dxfId="2066" priority="2355" operator="containsText" text="Pendiente">
      <formula>NOT(ISERROR(SEARCH("Pendiente",R260)))</formula>
    </cfRule>
    <cfRule type="containsText" dxfId="2065" priority="2356" operator="containsText" text="No Aplica">
      <formula>NOT(ISERROR(SEARCH("No Aplica",R260)))</formula>
    </cfRule>
    <cfRule type="containsText" dxfId="2064" priority="2357" operator="containsText" text="Fallido">
      <formula>NOT(ISERROR(SEARCH("Fallido",R260)))</formula>
    </cfRule>
    <cfRule type="containsText" dxfId="2063" priority="2358" operator="containsText" text="Éxitoso">
      <formula>NOT(ISERROR(SEARCH("Éxitoso",R260)))</formula>
    </cfRule>
  </conditionalFormatting>
  <conditionalFormatting sqref="S260">
    <cfRule type="containsText" dxfId="2062" priority="2349" operator="containsText" text="No se pudo ejecutar">
      <formula>NOT(ISERROR(SEARCH("No se pudo ejecutar",S260)))</formula>
    </cfRule>
    <cfRule type="containsText" dxfId="2061" priority="2350" operator="containsText" text="Pendiente">
      <formula>NOT(ISERROR(SEARCH("Pendiente",S260)))</formula>
    </cfRule>
    <cfRule type="containsText" dxfId="2060" priority="2351" operator="containsText" text="No Aplica">
      <formula>NOT(ISERROR(SEARCH("No Aplica",S260)))</formula>
    </cfRule>
    <cfRule type="containsText" dxfId="2059" priority="2352" operator="containsText" text="Fallido">
      <formula>NOT(ISERROR(SEARCH("Fallido",S260)))</formula>
    </cfRule>
    <cfRule type="containsText" dxfId="2058" priority="2353" operator="containsText" text="Éxitoso">
      <formula>NOT(ISERROR(SEARCH("Éxitoso",S260)))</formula>
    </cfRule>
  </conditionalFormatting>
  <conditionalFormatting sqref="T260">
    <cfRule type="containsText" dxfId="2057" priority="2344" operator="containsText" text="No se pudo ejecutar">
      <formula>NOT(ISERROR(SEARCH("No se pudo ejecutar",T260)))</formula>
    </cfRule>
    <cfRule type="containsText" dxfId="2056" priority="2345" operator="containsText" text="Pendiente">
      <formula>NOT(ISERROR(SEARCH("Pendiente",T260)))</formula>
    </cfRule>
    <cfRule type="containsText" dxfId="2055" priority="2346" operator="containsText" text="No Aplica">
      <formula>NOT(ISERROR(SEARCH("No Aplica",T260)))</formula>
    </cfRule>
    <cfRule type="containsText" dxfId="2054" priority="2347" operator="containsText" text="Fallido">
      <formula>NOT(ISERROR(SEARCH("Fallido",T260)))</formula>
    </cfRule>
    <cfRule type="containsText" dxfId="2053" priority="2348" operator="containsText" text="Éxitoso">
      <formula>NOT(ISERROR(SEARCH("Éxitoso",T260)))</formula>
    </cfRule>
  </conditionalFormatting>
  <conditionalFormatting sqref="U260">
    <cfRule type="containsText" dxfId="2052" priority="2339" operator="containsText" text="No se pudo ejecutar">
      <formula>NOT(ISERROR(SEARCH("No se pudo ejecutar",U260)))</formula>
    </cfRule>
    <cfRule type="containsText" dxfId="2051" priority="2340" operator="containsText" text="Pendiente">
      <formula>NOT(ISERROR(SEARCH("Pendiente",U260)))</formula>
    </cfRule>
    <cfRule type="containsText" dxfId="2050" priority="2341" operator="containsText" text="No Aplica">
      <formula>NOT(ISERROR(SEARCH("No Aplica",U260)))</formula>
    </cfRule>
    <cfRule type="containsText" dxfId="2049" priority="2342" operator="containsText" text="Fallido">
      <formula>NOT(ISERROR(SEARCH("Fallido",U260)))</formula>
    </cfRule>
    <cfRule type="containsText" dxfId="2048" priority="2343" operator="containsText" text="Éxitoso">
      <formula>NOT(ISERROR(SEARCH("Éxitoso",U260)))</formula>
    </cfRule>
  </conditionalFormatting>
  <conditionalFormatting sqref="V260">
    <cfRule type="containsText" dxfId="2047" priority="2334" operator="containsText" text="No se pudo ejecutar">
      <formula>NOT(ISERROR(SEARCH("No se pudo ejecutar",V260)))</formula>
    </cfRule>
    <cfRule type="containsText" dxfId="2046" priority="2335" operator="containsText" text="Pendiente">
      <formula>NOT(ISERROR(SEARCH("Pendiente",V260)))</formula>
    </cfRule>
    <cfRule type="containsText" dxfId="2045" priority="2336" operator="containsText" text="No Aplica">
      <formula>NOT(ISERROR(SEARCH("No Aplica",V260)))</formula>
    </cfRule>
    <cfRule type="containsText" dxfId="2044" priority="2337" operator="containsText" text="Fallido">
      <formula>NOT(ISERROR(SEARCH("Fallido",V260)))</formula>
    </cfRule>
    <cfRule type="containsText" dxfId="2043" priority="2338" operator="containsText" text="Éxitoso">
      <formula>NOT(ISERROR(SEARCH("Éxitoso",V260)))</formula>
    </cfRule>
  </conditionalFormatting>
  <conditionalFormatting sqref="W260">
    <cfRule type="containsText" dxfId="2042" priority="2329" operator="containsText" text="No se pudo ejecutar">
      <formula>NOT(ISERROR(SEARCH("No se pudo ejecutar",W260)))</formula>
    </cfRule>
    <cfRule type="containsText" dxfId="2041" priority="2330" operator="containsText" text="Pendiente">
      <formula>NOT(ISERROR(SEARCH("Pendiente",W260)))</formula>
    </cfRule>
    <cfRule type="containsText" dxfId="2040" priority="2331" operator="containsText" text="No Aplica">
      <formula>NOT(ISERROR(SEARCH("No Aplica",W260)))</formula>
    </cfRule>
    <cfRule type="containsText" dxfId="2039" priority="2332" operator="containsText" text="Fallido">
      <formula>NOT(ISERROR(SEARCH("Fallido",W260)))</formula>
    </cfRule>
    <cfRule type="containsText" dxfId="2038" priority="2333" operator="containsText" text="Éxitoso">
      <formula>NOT(ISERROR(SEARCH("Éxitoso",W260)))</formula>
    </cfRule>
  </conditionalFormatting>
  <conditionalFormatting sqref="M260">
    <cfRule type="containsText" dxfId="2037" priority="2324" operator="containsText" text="No se pudo ejecutar">
      <formula>NOT(ISERROR(SEARCH("No se pudo ejecutar",M260)))</formula>
    </cfRule>
    <cfRule type="containsText" dxfId="2036" priority="2325" operator="containsText" text="Pendiente">
      <formula>NOT(ISERROR(SEARCH("Pendiente",M260)))</formula>
    </cfRule>
    <cfRule type="containsText" dxfId="2035" priority="2326" operator="containsText" text="No Aplica">
      <formula>NOT(ISERROR(SEARCH("No Aplica",M260)))</formula>
    </cfRule>
    <cfRule type="containsText" dxfId="2034" priority="2327" operator="containsText" text="Fallido">
      <formula>NOT(ISERROR(SEARCH("Fallido",M260)))</formula>
    </cfRule>
    <cfRule type="containsText" dxfId="2033" priority="2328" operator="containsText" text="Éxitoso">
      <formula>NOT(ISERROR(SEARCH("Éxitoso",M260)))</formula>
    </cfRule>
  </conditionalFormatting>
  <conditionalFormatting sqref="G260">
    <cfRule type="containsText" dxfId="2032" priority="2321" operator="containsText" text="Bajo">
      <formula>NOT(ISERROR(SEARCH("Bajo",G260)))</formula>
    </cfRule>
    <cfRule type="containsText" dxfId="2031" priority="2322" operator="containsText" text="Medio">
      <formula>NOT(ISERROR(SEARCH("Medio",G260)))</formula>
    </cfRule>
    <cfRule type="containsText" dxfId="2030" priority="2323" operator="containsText" text="Alto">
      <formula>NOT(ISERROR(SEARCH("Alto",G260)))</formula>
    </cfRule>
  </conditionalFormatting>
  <conditionalFormatting sqref="N261">
    <cfRule type="containsText" dxfId="2029" priority="2316" operator="containsText" text="No se pudo ejecutar">
      <formula>NOT(ISERROR(SEARCH("No se pudo ejecutar",N261)))</formula>
    </cfRule>
    <cfRule type="containsText" dxfId="2028" priority="2317" operator="containsText" text="Pendiente">
      <formula>NOT(ISERROR(SEARCH("Pendiente",N261)))</formula>
    </cfRule>
    <cfRule type="containsText" dxfId="2027" priority="2318" operator="containsText" text="No Aplica">
      <formula>NOT(ISERROR(SEARCH("No Aplica",N261)))</formula>
    </cfRule>
    <cfRule type="containsText" dxfId="2026" priority="2319" operator="containsText" text="Fallido">
      <formula>NOT(ISERROR(SEARCH("Fallido",N261)))</formula>
    </cfRule>
    <cfRule type="containsText" dxfId="2025" priority="2320" operator="containsText" text="Éxitoso">
      <formula>NOT(ISERROR(SEARCH("Éxitoso",N261)))</formula>
    </cfRule>
  </conditionalFormatting>
  <conditionalFormatting sqref="O261">
    <cfRule type="containsText" dxfId="2024" priority="2311" operator="containsText" text="No se pudo ejecutar">
      <formula>NOT(ISERROR(SEARCH("No se pudo ejecutar",O261)))</formula>
    </cfRule>
    <cfRule type="containsText" dxfId="2023" priority="2312" operator="containsText" text="Pendiente">
      <formula>NOT(ISERROR(SEARCH("Pendiente",O261)))</formula>
    </cfRule>
    <cfRule type="containsText" dxfId="2022" priority="2313" operator="containsText" text="No Aplica">
      <formula>NOT(ISERROR(SEARCH("No Aplica",O261)))</formula>
    </cfRule>
    <cfRule type="containsText" dxfId="2021" priority="2314" operator="containsText" text="Fallido">
      <formula>NOT(ISERROR(SEARCH("Fallido",O261)))</formula>
    </cfRule>
    <cfRule type="containsText" dxfId="2020" priority="2315" operator="containsText" text="Éxitoso">
      <formula>NOT(ISERROR(SEARCH("Éxitoso",O261)))</formula>
    </cfRule>
  </conditionalFormatting>
  <conditionalFormatting sqref="P261">
    <cfRule type="containsText" dxfId="2019" priority="2306" operator="containsText" text="No se pudo ejecutar">
      <formula>NOT(ISERROR(SEARCH("No se pudo ejecutar",P261)))</formula>
    </cfRule>
    <cfRule type="containsText" dxfId="2018" priority="2307" operator="containsText" text="Pendiente">
      <formula>NOT(ISERROR(SEARCH("Pendiente",P261)))</formula>
    </cfRule>
    <cfRule type="containsText" dxfId="2017" priority="2308" operator="containsText" text="No Aplica">
      <formula>NOT(ISERROR(SEARCH("No Aplica",P261)))</formula>
    </cfRule>
    <cfRule type="containsText" dxfId="2016" priority="2309" operator="containsText" text="Fallido">
      <formula>NOT(ISERROR(SEARCH("Fallido",P261)))</formula>
    </cfRule>
    <cfRule type="containsText" dxfId="2015" priority="2310" operator="containsText" text="Éxitoso">
      <formula>NOT(ISERROR(SEARCH("Éxitoso",P261)))</formula>
    </cfRule>
  </conditionalFormatting>
  <conditionalFormatting sqref="Q261">
    <cfRule type="containsText" dxfId="2014" priority="2301" operator="containsText" text="No se pudo ejecutar">
      <formula>NOT(ISERROR(SEARCH("No se pudo ejecutar",Q261)))</formula>
    </cfRule>
    <cfRule type="containsText" dxfId="2013" priority="2302" operator="containsText" text="Pendiente">
      <formula>NOT(ISERROR(SEARCH("Pendiente",Q261)))</formula>
    </cfRule>
    <cfRule type="containsText" dxfId="2012" priority="2303" operator="containsText" text="No Aplica">
      <formula>NOT(ISERROR(SEARCH("No Aplica",Q261)))</formula>
    </cfRule>
    <cfRule type="containsText" dxfId="2011" priority="2304" operator="containsText" text="Fallido">
      <formula>NOT(ISERROR(SEARCH("Fallido",Q261)))</formula>
    </cfRule>
    <cfRule type="containsText" dxfId="2010" priority="2305" operator="containsText" text="Éxitoso">
      <formula>NOT(ISERROR(SEARCH("Éxitoso",Q261)))</formula>
    </cfRule>
  </conditionalFormatting>
  <conditionalFormatting sqref="R261">
    <cfRule type="containsText" dxfId="2009" priority="2296" operator="containsText" text="No se pudo ejecutar">
      <formula>NOT(ISERROR(SEARCH("No se pudo ejecutar",R261)))</formula>
    </cfRule>
    <cfRule type="containsText" dxfId="2008" priority="2297" operator="containsText" text="Pendiente">
      <formula>NOT(ISERROR(SEARCH("Pendiente",R261)))</formula>
    </cfRule>
    <cfRule type="containsText" dxfId="2007" priority="2298" operator="containsText" text="No Aplica">
      <formula>NOT(ISERROR(SEARCH("No Aplica",R261)))</formula>
    </cfRule>
    <cfRule type="containsText" dxfId="2006" priority="2299" operator="containsText" text="Fallido">
      <formula>NOT(ISERROR(SEARCH("Fallido",R261)))</formula>
    </cfRule>
    <cfRule type="containsText" dxfId="2005" priority="2300" operator="containsText" text="Éxitoso">
      <formula>NOT(ISERROR(SEARCH("Éxitoso",R261)))</formula>
    </cfRule>
  </conditionalFormatting>
  <conditionalFormatting sqref="S261">
    <cfRule type="containsText" dxfId="2004" priority="2291" operator="containsText" text="No se pudo ejecutar">
      <formula>NOT(ISERROR(SEARCH("No se pudo ejecutar",S261)))</formula>
    </cfRule>
    <cfRule type="containsText" dxfId="2003" priority="2292" operator="containsText" text="Pendiente">
      <formula>NOT(ISERROR(SEARCH("Pendiente",S261)))</formula>
    </cfRule>
    <cfRule type="containsText" dxfId="2002" priority="2293" operator="containsText" text="No Aplica">
      <formula>NOT(ISERROR(SEARCH("No Aplica",S261)))</formula>
    </cfRule>
    <cfRule type="containsText" dxfId="2001" priority="2294" operator="containsText" text="Fallido">
      <formula>NOT(ISERROR(SEARCH("Fallido",S261)))</formula>
    </cfRule>
    <cfRule type="containsText" dxfId="2000" priority="2295" operator="containsText" text="Éxitoso">
      <formula>NOT(ISERROR(SEARCH("Éxitoso",S261)))</formula>
    </cfRule>
  </conditionalFormatting>
  <conditionalFormatting sqref="T261">
    <cfRule type="containsText" dxfId="1999" priority="2286" operator="containsText" text="No se pudo ejecutar">
      <formula>NOT(ISERROR(SEARCH("No se pudo ejecutar",T261)))</formula>
    </cfRule>
    <cfRule type="containsText" dxfId="1998" priority="2287" operator="containsText" text="Pendiente">
      <formula>NOT(ISERROR(SEARCH("Pendiente",T261)))</formula>
    </cfRule>
    <cfRule type="containsText" dxfId="1997" priority="2288" operator="containsText" text="No Aplica">
      <formula>NOT(ISERROR(SEARCH("No Aplica",T261)))</formula>
    </cfRule>
    <cfRule type="containsText" dxfId="1996" priority="2289" operator="containsText" text="Fallido">
      <formula>NOT(ISERROR(SEARCH("Fallido",T261)))</formula>
    </cfRule>
    <cfRule type="containsText" dxfId="1995" priority="2290" operator="containsText" text="Éxitoso">
      <formula>NOT(ISERROR(SEARCH("Éxitoso",T261)))</formula>
    </cfRule>
  </conditionalFormatting>
  <conditionalFormatting sqref="U261">
    <cfRule type="containsText" dxfId="1994" priority="2281" operator="containsText" text="No se pudo ejecutar">
      <formula>NOT(ISERROR(SEARCH("No se pudo ejecutar",U261)))</formula>
    </cfRule>
    <cfRule type="containsText" dxfId="1993" priority="2282" operator="containsText" text="Pendiente">
      <formula>NOT(ISERROR(SEARCH("Pendiente",U261)))</formula>
    </cfRule>
    <cfRule type="containsText" dxfId="1992" priority="2283" operator="containsText" text="No Aplica">
      <formula>NOT(ISERROR(SEARCH("No Aplica",U261)))</formula>
    </cfRule>
    <cfRule type="containsText" dxfId="1991" priority="2284" operator="containsText" text="Fallido">
      <formula>NOT(ISERROR(SEARCH("Fallido",U261)))</formula>
    </cfRule>
    <cfRule type="containsText" dxfId="1990" priority="2285" operator="containsText" text="Éxitoso">
      <formula>NOT(ISERROR(SEARCH("Éxitoso",U261)))</formula>
    </cfRule>
  </conditionalFormatting>
  <conditionalFormatting sqref="V261">
    <cfRule type="containsText" dxfId="1989" priority="2276" operator="containsText" text="No se pudo ejecutar">
      <formula>NOT(ISERROR(SEARCH("No se pudo ejecutar",V261)))</formula>
    </cfRule>
    <cfRule type="containsText" dxfId="1988" priority="2277" operator="containsText" text="Pendiente">
      <formula>NOT(ISERROR(SEARCH("Pendiente",V261)))</formula>
    </cfRule>
    <cfRule type="containsText" dxfId="1987" priority="2278" operator="containsText" text="No Aplica">
      <formula>NOT(ISERROR(SEARCH("No Aplica",V261)))</formula>
    </cfRule>
    <cfRule type="containsText" dxfId="1986" priority="2279" operator="containsText" text="Fallido">
      <formula>NOT(ISERROR(SEARCH("Fallido",V261)))</formula>
    </cfRule>
    <cfRule type="containsText" dxfId="1985" priority="2280" operator="containsText" text="Éxitoso">
      <formula>NOT(ISERROR(SEARCH("Éxitoso",V261)))</formula>
    </cfRule>
  </conditionalFormatting>
  <conditionalFormatting sqref="W261">
    <cfRule type="containsText" dxfId="1984" priority="2271" operator="containsText" text="No se pudo ejecutar">
      <formula>NOT(ISERROR(SEARCH("No se pudo ejecutar",W261)))</formula>
    </cfRule>
    <cfRule type="containsText" dxfId="1983" priority="2272" operator="containsText" text="Pendiente">
      <formula>NOT(ISERROR(SEARCH("Pendiente",W261)))</formula>
    </cfRule>
    <cfRule type="containsText" dxfId="1982" priority="2273" operator="containsText" text="No Aplica">
      <formula>NOT(ISERROR(SEARCH("No Aplica",W261)))</formula>
    </cfRule>
    <cfRule type="containsText" dxfId="1981" priority="2274" operator="containsText" text="Fallido">
      <formula>NOT(ISERROR(SEARCH("Fallido",W261)))</formula>
    </cfRule>
    <cfRule type="containsText" dxfId="1980" priority="2275" operator="containsText" text="Éxitoso">
      <formula>NOT(ISERROR(SEARCH("Éxitoso",W261)))</formula>
    </cfRule>
  </conditionalFormatting>
  <conditionalFormatting sqref="M261">
    <cfRule type="containsText" dxfId="1979" priority="2266" operator="containsText" text="No se pudo ejecutar">
      <formula>NOT(ISERROR(SEARCH("No se pudo ejecutar",M261)))</formula>
    </cfRule>
    <cfRule type="containsText" dxfId="1978" priority="2267" operator="containsText" text="Pendiente">
      <formula>NOT(ISERROR(SEARCH("Pendiente",M261)))</formula>
    </cfRule>
    <cfRule type="containsText" dxfId="1977" priority="2268" operator="containsText" text="No Aplica">
      <formula>NOT(ISERROR(SEARCH("No Aplica",M261)))</formula>
    </cfRule>
    <cfRule type="containsText" dxfId="1976" priority="2269" operator="containsText" text="Fallido">
      <formula>NOT(ISERROR(SEARCH("Fallido",M261)))</formula>
    </cfRule>
    <cfRule type="containsText" dxfId="1975" priority="2270" operator="containsText" text="Éxitoso">
      <formula>NOT(ISERROR(SEARCH("Éxitoso",M261)))</formula>
    </cfRule>
  </conditionalFormatting>
  <conditionalFormatting sqref="G261">
    <cfRule type="containsText" dxfId="1974" priority="2263" operator="containsText" text="Bajo">
      <formula>NOT(ISERROR(SEARCH("Bajo",G261)))</formula>
    </cfRule>
    <cfRule type="containsText" dxfId="1973" priority="2264" operator="containsText" text="Medio">
      <formula>NOT(ISERROR(SEARCH("Medio",G261)))</formula>
    </cfRule>
    <cfRule type="containsText" dxfId="1972" priority="2265" operator="containsText" text="Alto">
      <formula>NOT(ISERROR(SEARCH("Alto",G261)))</formula>
    </cfRule>
  </conditionalFormatting>
  <conditionalFormatting sqref="N262">
    <cfRule type="containsText" dxfId="1971" priority="2258" operator="containsText" text="No se pudo ejecutar">
      <formula>NOT(ISERROR(SEARCH("No se pudo ejecutar",N262)))</formula>
    </cfRule>
    <cfRule type="containsText" dxfId="1970" priority="2259" operator="containsText" text="Pendiente">
      <formula>NOT(ISERROR(SEARCH("Pendiente",N262)))</formula>
    </cfRule>
    <cfRule type="containsText" dxfId="1969" priority="2260" operator="containsText" text="No Aplica">
      <formula>NOT(ISERROR(SEARCH("No Aplica",N262)))</formula>
    </cfRule>
    <cfRule type="containsText" dxfId="1968" priority="2261" operator="containsText" text="Fallido">
      <formula>NOT(ISERROR(SEARCH("Fallido",N262)))</formula>
    </cfRule>
    <cfRule type="containsText" dxfId="1967" priority="2262" operator="containsText" text="Éxitoso">
      <formula>NOT(ISERROR(SEARCH("Éxitoso",N262)))</formula>
    </cfRule>
  </conditionalFormatting>
  <conditionalFormatting sqref="O262">
    <cfRule type="containsText" dxfId="1966" priority="2253" operator="containsText" text="No se pudo ejecutar">
      <formula>NOT(ISERROR(SEARCH("No se pudo ejecutar",O262)))</formula>
    </cfRule>
    <cfRule type="containsText" dxfId="1965" priority="2254" operator="containsText" text="Pendiente">
      <formula>NOT(ISERROR(SEARCH("Pendiente",O262)))</formula>
    </cfRule>
    <cfRule type="containsText" dxfId="1964" priority="2255" operator="containsText" text="No Aplica">
      <formula>NOT(ISERROR(SEARCH("No Aplica",O262)))</formula>
    </cfRule>
    <cfRule type="containsText" dxfId="1963" priority="2256" operator="containsText" text="Fallido">
      <formula>NOT(ISERROR(SEARCH("Fallido",O262)))</formula>
    </cfRule>
    <cfRule type="containsText" dxfId="1962" priority="2257" operator="containsText" text="Éxitoso">
      <formula>NOT(ISERROR(SEARCH("Éxitoso",O262)))</formula>
    </cfRule>
  </conditionalFormatting>
  <conditionalFormatting sqref="P262">
    <cfRule type="containsText" dxfId="1961" priority="2248" operator="containsText" text="No se pudo ejecutar">
      <formula>NOT(ISERROR(SEARCH("No se pudo ejecutar",P262)))</formula>
    </cfRule>
    <cfRule type="containsText" dxfId="1960" priority="2249" operator="containsText" text="Pendiente">
      <formula>NOT(ISERROR(SEARCH("Pendiente",P262)))</formula>
    </cfRule>
    <cfRule type="containsText" dxfId="1959" priority="2250" operator="containsText" text="No Aplica">
      <formula>NOT(ISERROR(SEARCH("No Aplica",P262)))</formula>
    </cfRule>
    <cfRule type="containsText" dxfId="1958" priority="2251" operator="containsText" text="Fallido">
      <formula>NOT(ISERROR(SEARCH("Fallido",P262)))</formula>
    </cfRule>
    <cfRule type="containsText" dxfId="1957" priority="2252" operator="containsText" text="Éxitoso">
      <formula>NOT(ISERROR(SEARCH("Éxitoso",P262)))</formula>
    </cfRule>
  </conditionalFormatting>
  <conditionalFormatting sqref="Q262">
    <cfRule type="containsText" dxfId="1956" priority="2243" operator="containsText" text="No se pudo ejecutar">
      <formula>NOT(ISERROR(SEARCH("No se pudo ejecutar",Q262)))</formula>
    </cfRule>
    <cfRule type="containsText" dxfId="1955" priority="2244" operator="containsText" text="Pendiente">
      <formula>NOT(ISERROR(SEARCH("Pendiente",Q262)))</formula>
    </cfRule>
    <cfRule type="containsText" dxfId="1954" priority="2245" operator="containsText" text="No Aplica">
      <formula>NOT(ISERROR(SEARCH("No Aplica",Q262)))</formula>
    </cfRule>
    <cfRule type="containsText" dxfId="1953" priority="2246" operator="containsText" text="Fallido">
      <formula>NOT(ISERROR(SEARCH("Fallido",Q262)))</formula>
    </cfRule>
    <cfRule type="containsText" dxfId="1952" priority="2247" operator="containsText" text="Éxitoso">
      <formula>NOT(ISERROR(SEARCH("Éxitoso",Q262)))</formula>
    </cfRule>
  </conditionalFormatting>
  <conditionalFormatting sqref="R262">
    <cfRule type="containsText" dxfId="1951" priority="2238" operator="containsText" text="No se pudo ejecutar">
      <formula>NOT(ISERROR(SEARCH("No se pudo ejecutar",R262)))</formula>
    </cfRule>
    <cfRule type="containsText" dxfId="1950" priority="2239" operator="containsText" text="Pendiente">
      <formula>NOT(ISERROR(SEARCH("Pendiente",R262)))</formula>
    </cfRule>
    <cfRule type="containsText" dxfId="1949" priority="2240" operator="containsText" text="No Aplica">
      <formula>NOT(ISERROR(SEARCH("No Aplica",R262)))</formula>
    </cfRule>
    <cfRule type="containsText" dxfId="1948" priority="2241" operator="containsText" text="Fallido">
      <formula>NOT(ISERROR(SEARCH("Fallido",R262)))</formula>
    </cfRule>
    <cfRule type="containsText" dxfId="1947" priority="2242" operator="containsText" text="Éxitoso">
      <formula>NOT(ISERROR(SEARCH("Éxitoso",R262)))</formula>
    </cfRule>
  </conditionalFormatting>
  <conditionalFormatting sqref="S262">
    <cfRule type="containsText" dxfId="1946" priority="2233" operator="containsText" text="No se pudo ejecutar">
      <formula>NOT(ISERROR(SEARCH("No se pudo ejecutar",S262)))</formula>
    </cfRule>
    <cfRule type="containsText" dxfId="1945" priority="2234" operator="containsText" text="Pendiente">
      <formula>NOT(ISERROR(SEARCH("Pendiente",S262)))</formula>
    </cfRule>
    <cfRule type="containsText" dxfId="1944" priority="2235" operator="containsText" text="No Aplica">
      <formula>NOT(ISERROR(SEARCH("No Aplica",S262)))</formula>
    </cfRule>
    <cfRule type="containsText" dxfId="1943" priority="2236" operator="containsText" text="Fallido">
      <formula>NOT(ISERROR(SEARCH("Fallido",S262)))</formula>
    </cfRule>
    <cfRule type="containsText" dxfId="1942" priority="2237" operator="containsText" text="Éxitoso">
      <formula>NOT(ISERROR(SEARCH("Éxitoso",S262)))</formula>
    </cfRule>
  </conditionalFormatting>
  <conditionalFormatting sqref="T262">
    <cfRule type="containsText" dxfId="1941" priority="2228" operator="containsText" text="No se pudo ejecutar">
      <formula>NOT(ISERROR(SEARCH("No se pudo ejecutar",T262)))</formula>
    </cfRule>
    <cfRule type="containsText" dxfId="1940" priority="2229" operator="containsText" text="Pendiente">
      <formula>NOT(ISERROR(SEARCH("Pendiente",T262)))</formula>
    </cfRule>
    <cfRule type="containsText" dxfId="1939" priority="2230" operator="containsText" text="No Aplica">
      <formula>NOT(ISERROR(SEARCH("No Aplica",T262)))</formula>
    </cfRule>
    <cfRule type="containsText" dxfId="1938" priority="2231" operator="containsText" text="Fallido">
      <formula>NOT(ISERROR(SEARCH("Fallido",T262)))</formula>
    </cfRule>
    <cfRule type="containsText" dxfId="1937" priority="2232" operator="containsText" text="Éxitoso">
      <formula>NOT(ISERROR(SEARCH("Éxitoso",T262)))</formula>
    </cfRule>
  </conditionalFormatting>
  <conditionalFormatting sqref="U262">
    <cfRule type="containsText" dxfId="1936" priority="2223" operator="containsText" text="No se pudo ejecutar">
      <formula>NOT(ISERROR(SEARCH("No se pudo ejecutar",U262)))</formula>
    </cfRule>
    <cfRule type="containsText" dxfId="1935" priority="2224" operator="containsText" text="Pendiente">
      <formula>NOT(ISERROR(SEARCH("Pendiente",U262)))</formula>
    </cfRule>
    <cfRule type="containsText" dxfId="1934" priority="2225" operator="containsText" text="No Aplica">
      <formula>NOT(ISERROR(SEARCH("No Aplica",U262)))</formula>
    </cfRule>
    <cfRule type="containsText" dxfId="1933" priority="2226" operator="containsText" text="Fallido">
      <formula>NOT(ISERROR(SEARCH("Fallido",U262)))</formula>
    </cfRule>
    <cfRule type="containsText" dxfId="1932" priority="2227" operator="containsText" text="Éxitoso">
      <formula>NOT(ISERROR(SEARCH("Éxitoso",U262)))</formula>
    </cfRule>
  </conditionalFormatting>
  <conditionalFormatting sqref="V262">
    <cfRule type="containsText" dxfId="1931" priority="2218" operator="containsText" text="No se pudo ejecutar">
      <formula>NOT(ISERROR(SEARCH("No se pudo ejecutar",V262)))</formula>
    </cfRule>
    <cfRule type="containsText" dxfId="1930" priority="2219" operator="containsText" text="Pendiente">
      <formula>NOT(ISERROR(SEARCH("Pendiente",V262)))</formula>
    </cfRule>
    <cfRule type="containsText" dxfId="1929" priority="2220" operator="containsText" text="No Aplica">
      <formula>NOT(ISERROR(SEARCH("No Aplica",V262)))</formula>
    </cfRule>
    <cfRule type="containsText" dxfId="1928" priority="2221" operator="containsText" text="Fallido">
      <formula>NOT(ISERROR(SEARCH("Fallido",V262)))</formula>
    </cfRule>
    <cfRule type="containsText" dxfId="1927" priority="2222" operator="containsText" text="Éxitoso">
      <formula>NOT(ISERROR(SEARCH("Éxitoso",V262)))</formula>
    </cfRule>
  </conditionalFormatting>
  <conditionalFormatting sqref="W262">
    <cfRule type="containsText" dxfId="1926" priority="2213" operator="containsText" text="No se pudo ejecutar">
      <formula>NOT(ISERROR(SEARCH("No se pudo ejecutar",W262)))</formula>
    </cfRule>
    <cfRule type="containsText" dxfId="1925" priority="2214" operator="containsText" text="Pendiente">
      <formula>NOT(ISERROR(SEARCH("Pendiente",W262)))</formula>
    </cfRule>
    <cfRule type="containsText" dxfId="1924" priority="2215" operator="containsText" text="No Aplica">
      <formula>NOT(ISERROR(SEARCH("No Aplica",W262)))</formula>
    </cfRule>
    <cfRule type="containsText" dxfId="1923" priority="2216" operator="containsText" text="Fallido">
      <formula>NOT(ISERROR(SEARCH("Fallido",W262)))</formula>
    </cfRule>
    <cfRule type="containsText" dxfId="1922" priority="2217" operator="containsText" text="Éxitoso">
      <formula>NOT(ISERROR(SEARCH("Éxitoso",W262)))</formula>
    </cfRule>
  </conditionalFormatting>
  <conditionalFormatting sqref="M262">
    <cfRule type="containsText" dxfId="1921" priority="2208" operator="containsText" text="No se pudo ejecutar">
      <formula>NOT(ISERROR(SEARCH("No se pudo ejecutar",M262)))</formula>
    </cfRule>
    <cfRule type="containsText" dxfId="1920" priority="2209" operator="containsText" text="Pendiente">
      <formula>NOT(ISERROR(SEARCH("Pendiente",M262)))</formula>
    </cfRule>
    <cfRule type="containsText" dxfId="1919" priority="2210" operator="containsText" text="No Aplica">
      <formula>NOT(ISERROR(SEARCH("No Aplica",M262)))</formula>
    </cfRule>
    <cfRule type="containsText" dxfId="1918" priority="2211" operator="containsText" text="Fallido">
      <formula>NOT(ISERROR(SEARCH("Fallido",M262)))</formula>
    </cfRule>
    <cfRule type="containsText" dxfId="1917" priority="2212" operator="containsText" text="Éxitoso">
      <formula>NOT(ISERROR(SEARCH("Éxitoso",M262)))</formula>
    </cfRule>
  </conditionalFormatting>
  <conditionalFormatting sqref="G262">
    <cfRule type="containsText" dxfId="1916" priority="2205" operator="containsText" text="Bajo">
      <formula>NOT(ISERROR(SEARCH("Bajo",G262)))</formula>
    </cfRule>
    <cfRule type="containsText" dxfId="1915" priority="2206" operator="containsText" text="Medio">
      <formula>NOT(ISERROR(SEARCH("Medio",G262)))</formula>
    </cfRule>
    <cfRule type="containsText" dxfId="1914" priority="2207" operator="containsText" text="Alto">
      <formula>NOT(ISERROR(SEARCH("Alto",G262)))</formula>
    </cfRule>
  </conditionalFormatting>
  <conditionalFormatting sqref="N263">
    <cfRule type="containsText" dxfId="1913" priority="2200" operator="containsText" text="No se pudo ejecutar">
      <formula>NOT(ISERROR(SEARCH("No se pudo ejecutar",N263)))</formula>
    </cfRule>
    <cfRule type="containsText" dxfId="1912" priority="2201" operator="containsText" text="Pendiente">
      <formula>NOT(ISERROR(SEARCH("Pendiente",N263)))</formula>
    </cfRule>
    <cfRule type="containsText" dxfId="1911" priority="2202" operator="containsText" text="No Aplica">
      <formula>NOT(ISERROR(SEARCH("No Aplica",N263)))</formula>
    </cfRule>
    <cfRule type="containsText" dxfId="1910" priority="2203" operator="containsText" text="Fallido">
      <formula>NOT(ISERROR(SEARCH("Fallido",N263)))</formula>
    </cfRule>
    <cfRule type="containsText" dxfId="1909" priority="2204" operator="containsText" text="Éxitoso">
      <formula>NOT(ISERROR(SEARCH("Éxitoso",N263)))</formula>
    </cfRule>
  </conditionalFormatting>
  <conditionalFormatting sqref="O263">
    <cfRule type="containsText" dxfId="1908" priority="2195" operator="containsText" text="No se pudo ejecutar">
      <formula>NOT(ISERROR(SEARCH("No se pudo ejecutar",O263)))</formula>
    </cfRule>
    <cfRule type="containsText" dxfId="1907" priority="2196" operator="containsText" text="Pendiente">
      <formula>NOT(ISERROR(SEARCH("Pendiente",O263)))</formula>
    </cfRule>
    <cfRule type="containsText" dxfId="1906" priority="2197" operator="containsText" text="No Aplica">
      <formula>NOT(ISERROR(SEARCH("No Aplica",O263)))</formula>
    </cfRule>
    <cfRule type="containsText" dxfId="1905" priority="2198" operator="containsText" text="Fallido">
      <formula>NOT(ISERROR(SEARCH("Fallido",O263)))</formula>
    </cfRule>
    <cfRule type="containsText" dxfId="1904" priority="2199" operator="containsText" text="Éxitoso">
      <formula>NOT(ISERROR(SEARCH("Éxitoso",O263)))</formula>
    </cfRule>
  </conditionalFormatting>
  <conditionalFormatting sqref="P263">
    <cfRule type="containsText" dxfId="1903" priority="2190" operator="containsText" text="No se pudo ejecutar">
      <formula>NOT(ISERROR(SEARCH("No se pudo ejecutar",P263)))</formula>
    </cfRule>
    <cfRule type="containsText" dxfId="1902" priority="2191" operator="containsText" text="Pendiente">
      <formula>NOT(ISERROR(SEARCH("Pendiente",P263)))</formula>
    </cfRule>
    <cfRule type="containsText" dxfId="1901" priority="2192" operator="containsText" text="No Aplica">
      <formula>NOT(ISERROR(SEARCH("No Aplica",P263)))</formula>
    </cfRule>
    <cfRule type="containsText" dxfId="1900" priority="2193" operator="containsText" text="Fallido">
      <formula>NOT(ISERROR(SEARCH("Fallido",P263)))</formula>
    </cfRule>
    <cfRule type="containsText" dxfId="1899" priority="2194" operator="containsText" text="Éxitoso">
      <formula>NOT(ISERROR(SEARCH("Éxitoso",P263)))</formula>
    </cfRule>
  </conditionalFormatting>
  <conditionalFormatting sqref="Q263">
    <cfRule type="containsText" dxfId="1898" priority="2185" operator="containsText" text="No se pudo ejecutar">
      <formula>NOT(ISERROR(SEARCH("No se pudo ejecutar",Q263)))</formula>
    </cfRule>
    <cfRule type="containsText" dxfId="1897" priority="2186" operator="containsText" text="Pendiente">
      <formula>NOT(ISERROR(SEARCH("Pendiente",Q263)))</formula>
    </cfRule>
    <cfRule type="containsText" dxfId="1896" priority="2187" operator="containsText" text="No Aplica">
      <formula>NOT(ISERROR(SEARCH("No Aplica",Q263)))</formula>
    </cfRule>
    <cfRule type="containsText" dxfId="1895" priority="2188" operator="containsText" text="Fallido">
      <formula>NOT(ISERROR(SEARCH("Fallido",Q263)))</formula>
    </cfRule>
    <cfRule type="containsText" dxfId="1894" priority="2189" operator="containsText" text="Éxitoso">
      <formula>NOT(ISERROR(SEARCH("Éxitoso",Q263)))</formula>
    </cfRule>
  </conditionalFormatting>
  <conditionalFormatting sqref="R263">
    <cfRule type="containsText" dxfId="1893" priority="2180" operator="containsText" text="No se pudo ejecutar">
      <formula>NOT(ISERROR(SEARCH("No se pudo ejecutar",R263)))</formula>
    </cfRule>
    <cfRule type="containsText" dxfId="1892" priority="2181" operator="containsText" text="Pendiente">
      <formula>NOT(ISERROR(SEARCH("Pendiente",R263)))</formula>
    </cfRule>
    <cfRule type="containsText" dxfId="1891" priority="2182" operator="containsText" text="No Aplica">
      <formula>NOT(ISERROR(SEARCH("No Aplica",R263)))</formula>
    </cfRule>
    <cfRule type="containsText" dxfId="1890" priority="2183" operator="containsText" text="Fallido">
      <formula>NOT(ISERROR(SEARCH("Fallido",R263)))</formula>
    </cfRule>
    <cfRule type="containsText" dxfId="1889" priority="2184" operator="containsText" text="Éxitoso">
      <formula>NOT(ISERROR(SEARCH("Éxitoso",R263)))</formula>
    </cfRule>
  </conditionalFormatting>
  <conditionalFormatting sqref="S263">
    <cfRule type="containsText" dxfId="1888" priority="2175" operator="containsText" text="No se pudo ejecutar">
      <formula>NOT(ISERROR(SEARCH("No se pudo ejecutar",S263)))</formula>
    </cfRule>
    <cfRule type="containsText" dxfId="1887" priority="2176" operator="containsText" text="Pendiente">
      <formula>NOT(ISERROR(SEARCH("Pendiente",S263)))</formula>
    </cfRule>
    <cfRule type="containsText" dxfId="1886" priority="2177" operator="containsText" text="No Aplica">
      <formula>NOT(ISERROR(SEARCH("No Aplica",S263)))</formula>
    </cfRule>
    <cfRule type="containsText" dxfId="1885" priority="2178" operator="containsText" text="Fallido">
      <formula>NOT(ISERROR(SEARCH("Fallido",S263)))</formula>
    </cfRule>
    <cfRule type="containsText" dxfId="1884" priority="2179" operator="containsText" text="Éxitoso">
      <formula>NOT(ISERROR(SEARCH("Éxitoso",S263)))</formula>
    </cfRule>
  </conditionalFormatting>
  <conditionalFormatting sqref="T263">
    <cfRule type="containsText" dxfId="1883" priority="2170" operator="containsText" text="No se pudo ejecutar">
      <formula>NOT(ISERROR(SEARCH("No se pudo ejecutar",T263)))</formula>
    </cfRule>
    <cfRule type="containsText" dxfId="1882" priority="2171" operator="containsText" text="Pendiente">
      <formula>NOT(ISERROR(SEARCH("Pendiente",T263)))</formula>
    </cfRule>
    <cfRule type="containsText" dxfId="1881" priority="2172" operator="containsText" text="No Aplica">
      <formula>NOT(ISERROR(SEARCH("No Aplica",T263)))</formula>
    </cfRule>
    <cfRule type="containsText" dxfId="1880" priority="2173" operator="containsText" text="Fallido">
      <formula>NOT(ISERROR(SEARCH("Fallido",T263)))</formula>
    </cfRule>
    <cfRule type="containsText" dxfId="1879" priority="2174" operator="containsText" text="Éxitoso">
      <formula>NOT(ISERROR(SEARCH("Éxitoso",T263)))</formula>
    </cfRule>
  </conditionalFormatting>
  <conditionalFormatting sqref="U263">
    <cfRule type="containsText" dxfId="1878" priority="2165" operator="containsText" text="No se pudo ejecutar">
      <formula>NOT(ISERROR(SEARCH("No se pudo ejecutar",U263)))</formula>
    </cfRule>
    <cfRule type="containsText" dxfId="1877" priority="2166" operator="containsText" text="Pendiente">
      <formula>NOT(ISERROR(SEARCH("Pendiente",U263)))</formula>
    </cfRule>
    <cfRule type="containsText" dxfId="1876" priority="2167" operator="containsText" text="No Aplica">
      <formula>NOT(ISERROR(SEARCH("No Aplica",U263)))</formula>
    </cfRule>
    <cfRule type="containsText" dxfId="1875" priority="2168" operator="containsText" text="Fallido">
      <formula>NOT(ISERROR(SEARCH("Fallido",U263)))</formula>
    </cfRule>
    <cfRule type="containsText" dxfId="1874" priority="2169" operator="containsText" text="Éxitoso">
      <formula>NOT(ISERROR(SEARCH("Éxitoso",U263)))</formula>
    </cfRule>
  </conditionalFormatting>
  <conditionalFormatting sqref="V263">
    <cfRule type="containsText" dxfId="1873" priority="2160" operator="containsText" text="No se pudo ejecutar">
      <formula>NOT(ISERROR(SEARCH("No se pudo ejecutar",V263)))</formula>
    </cfRule>
    <cfRule type="containsText" dxfId="1872" priority="2161" operator="containsText" text="Pendiente">
      <formula>NOT(ISERROR(SEARCH("Pendiente",V263)))</formula>
    </cfRule>
    <cfRule type="containsText" dxfId="1871" priority="2162" operator="containsText" text="No Aplica">
      <formula>NOT(ISERROR(SEARCH("No Aplica",V263)))</formula>
    </cfRule>
    <cfRule type="containsText" dxfId="1870" priority="2163" operator="containsText" text="Fallido">
      <formula>NOT(ISERROR(SEARCH("Fallido",V263)))</formula>
    </cfRule>
    <cfRule type="containsText" dxfId="1869" priority="2164" operator="containsText" text="Éxitoso">
      <formula>NOT(ISERROR(SEARCH("Éxitoso",V263)))</formula>
    </cfRule>
  </conditionalFormatting>
  <conditionalFormatting sqref="W263">
    <cfRule type="containsText" dxfId="1868" priority="2155" operator="containsText" text="No se pudo ejecutar">
      <formula>NOT(ISERROR(SEARCH("No se pudo ejecutar",W263)))</formula>
    </cfRule>
    <cfRule type="containsText" dxfId="1867" priority="2156" operator="containsText" text="Pendiente">
      <formula>NOT(ISERROR(SEARCH("Pendiente",W263)))</formula>
    </cfRule>
    <cfRule type="containsText" dxfId="1866" priority="2157" operator="containsText" text="No Aplica">
      <formula>NOT(ISERROR(SEARCH("No Aplica",W263)))</formula>
    </cfRule>
    <cfRule type="containsText" dxfId="1865" priority="2158" operator="containsText" text="Fallido">
      <formula>NOT(ISERROR(SEARCH("Fallido",W263)))</formula>
    </cfRule>
    <cfRule type="containsText" dxfId="1864" priority="2159" operator="containsText" text="Éxitoso">
      <formula>NOT(ISERROR(SEARCH("Éxitoso",W263)))</formula>
    </cfRule>
  </conditionalFormatting>
  <conditionalFormatting sqref="M263">
    <cfRule type="containsText" dxfId="1863" priority="2150" operator="containsText" text="No se pudo ejecutar">
      <formula>NOT(ISERROR(SEARCH("No se pudo ejecutar",M263)))</formula>
    </cfRule>
    <cfRule type="containsText" dxfId="1862" priority="2151" operator="containsText" text="Pendiente">
      <formula>NOT(ISERROR(SEARCH("Pendiente",M263)))</formula>
    </cfRule>
    <cfRule type="containsText" dxfId="1861" priority="2152" operator="containsText" text="No Aplica">
      <formula>NOT(ISERROR(SEARCH("No Aplica",M263)))</formula>
    </cfRule>
    <cfRule type="containsText" dxfId="1860" priority="2153" operator="containsText" text="Fallido">
      <formula>NOT(ISERROR(SEARCH("Fallido",M263)))</formula>
    </cfRule>
    <cfRule type="containsText" dxfId="1859" priority="2154" operator="containsText" text="Éxitoso">
      <formula>NOT(ISERROR(SEARCH("Éxitoso",M263)))</formula>
    </cfRule>
  </conditionalFormatting>
  <conditionalFormatting sqref="G263">
    <cfRule type="containsText" dxfId="1858" priority="2147" operator="containsText" text="Bajo">
      <formula>NOT(ISERROR(SEARCH("Bajo",G263)))</formula>
    </cfRule>
    <cfRule type="containsText" dxfId="1857" priority="2148" operator="containsText" text="Medio">
      <formula>NOT(ISERROR(SEARCH("Medio",G263)))</formula>
    </cfRule>
    <cfRule type="containsText" dxfId="1856" priority="2149" operator="containsText" text="Alto">
      <formula>NOT(ISERROR(SEARCH("Alto",G263)))</formula>
    </cfRule>
  </conditionalFormatting>
  <conditionalFormatting sqref="N264">
    <cfRule type="containsText" dxfId="1855" priority="2142" operator="containsText" text="No se pudo ejecutar">
      <formula>NOT(ISERROR(SEARCH("No se pudo ejecutar",N264)))</formula>
    </cfRule>
    <cfRule type="containsText" dxfId="1854" priority="2143" operator="containsText" text="Pendiente">
      <formula>NOT(ISERROR(SEARCH("Pendiente",N264)))</formula>
    </cfRule>
    <cfRule type="containsText" dxfId="1853" priority="2144" operator="containsText" text="No Aplica">
      <formula>NOT(ISERROR(SEARCH("No Aplica",N264)))</formula>
    </cfRule>
    <cfRule type="containsText" dxfId="1852" priority="2145" operator="containsText" text="Fallido">
      <formula>NOT(ISERROR(SEARCH("Fallido",N264)))</formula>
    </cfRule>
    <cfRule type="containsText" dxfId="1851" priority="2146" operator="containsText" text="Éxitoso">
      <formula>NOT(ISERROR(SEARCH("Éxitoso",N264)))</formula>
    </cfRule>
  </conditionalFormatting>
  <conditionalFormatting sqref="O264">
    <cfRule type="containsText" dxfId="1850" priority="2137" operator="containsText" text="No se pudo ejecutar">
      <formula>NOT(ISERROR(SEARCH("No se pudo ejecutar",O264)))</formula>
    </cfRule>
    <cfRule type="containsText" dxfId="1849" priority="2138" operator="containsText" text="Pendiente">
      <formula>NOT(ISERROR(SEARCH("Pendiente",O264)))</formula>
    </cfRule>
    <cfRule type="containsText" dxfId="1848" priority="2139" operator="containsText" text="No Aplica">
      <formula>NOT(ISERROR(SEARCH("No Aplica",O264)))</formula>
    </cfRule>
    <cfRule type="containsText" dxfId="1847" priority="2140" operator="containsText" text="Fallido">
      <formula>NOT(ISERROR(SEARCH("Fallido",O264)))</formula>
    </cfRule>
    <cfRule type="containsText" dxfId="1846" priority="2141" operator="containsText" text="Éxitoso">
      <formula>NOT(ISERROR(SEARCH("Éxitoso",O264)))</formula>
    </cfRule>
  </conditionalFormatting>
  <conditionalFormatting sqref="P264">
    <cfRule type="containsText" dxfId="1845" priority="2132" operator="containsText" text="No se pudo ejecutar">
      <formula>NOT(ISERROR(SEARCH("No se pudo ejecutar",P264)))</formula>
    </cfRule>
    <cfRule type="containsText" dxfId="1844" priority="2133" operator="containsText" text="Pendiente">
      <formula>NOT(ISERROR(SEARCH("Pendiente",P264)))</formula>
    </cfRule>
    <cfRule type="containsText" dxfId="1843" priority="2134" operator="containsText" text="No Aplica">
      <formula>NOT(ISERROR(SEARCH("No Aplica",P264)))</formula>
    </cfRule>
    <cfRule type="containsText" dxfId="1842" priority="2135" operator="containsText" text="Fallido">
      <formula>NOT(ISERROR(SEARCH("Fallido",P264)))</formula>
    </cfRule>
    <cfRule type="containsText" dxfId="1841" priority="2136" operator="containsText" text="Éxitoso">
      <formula>NOT(ISERROR(SEARCH("Éxitoso",P264)))</formula>
    </cfRule>
  </conditionalFormatting>
  <conditionalFormatting sqref="Q264">
    <cfRule type="containsText" dxfId="1840" priority="2127" operator="containsText" text="No se pudo ejecutar">
      <formula>NOT(ISERROR(SEARCH("No se pudo ejecutar",Q264)))</formula>
    </cfRule>
    <cfRule type="containsText" dxfId="1839" priority="2128" operator="containsText" text="Pendiente">
      <formula>NOT(ISERROR(SEARCH("Pendiente",Q264)))</formula>
    </cfRule>
    <cfRule type="containsText" dxfId="1838" priority="2129" operator="containsText" text="No Aplica">
      <formula>NOT(ISERROR(SEARCH("No Aplica",Q264)))</formula>
    </cfRule>
    <cfRule type="containsText" dxfId="1837" priority="2130" operator="containsText" text="Fallido">
      <formula>NOT(ISERROR(SEARCH("Fallido",Q264)))</formula>
    </cfRule>
    <cfRule type="containsText" dxfId="1836" priority="2131" operator="containsText" text="Éxitoso">
      <formula>NOT(ISERROR(SEARCH("Éxitoso",Q264)))</formula>
    </cfRule>
  </conditionalFormatting>
  <conditionalFormatting sqref="R264">
    <cfRule type="containsText" dxfId="1835" priority="2122" operator="containsText" text="No se pudo ejecutar">
      <formula>NOT(ISERROR(SEARCH("No se pudo ejecutar",R264)))</formula>
    </cfRule>
    <cfRule type="containsText" dxfId="1834" priority="2123" operator="containsText" text="Pendiente">
      <formula>NOT(ISERROR(SEARCH("Pendiente",R264)))</formula>
    </cfRule>
    <cfRule type="containsText" dxfId="1833" priority="2124" operator="containsText" text="No Aplica">
      <formula>NOT(ISERROR(SEARCH("No Aplica",R264)))</formula>
    </cfRule>
    <cfRule type="containsText" dxfId="1832" priority="2125" operator="containsText" text="Fallido">
      <formula>NOT(ISERROR(SEARCH("Fallido",R264)))</formula>
    </cfRule>
    <cfRule type="containsText" dxfId="1831" priority="2126" operator="containsText" text="Éxitoso">
      <formula>NOT(ISERROR(SEARCH("Éxitoso",R264)))</formula>
    </cfRule>
  </conditionalFormatting>
  <conditionalFormatting sqref="S264">
    <cfRule type="containsText" dxfId="1830" priority="2117" operator="containsText" text="No se pudo ejecutar">
      <formula>NOT(ISERROR(SEARCH("No se pudo ejecutar",S264)))</formula>
    </cfRule>
    <cfRule type="containsText" dxfId="1829" priority="2118" operator="containsText" text="Pendiente">
      <formula>NOT(ISERROR(SEARCH("Pendiente",S264)))</formula>
    </cfRule>
    <cfRule type="containsText" dxfId="1828" priority="2119" operator="containsText" text="No Aplica">
      <formula>NOT(ISERROR(SEARCH("No Aplica",S264)))</formula>
    </cfRule>
    <cfRule type="containsText" dxfId="1827" priority="2120" operator="containsText" text="Fallido">
      <formula>NOT(ISERROR(SEARCH("Fallido",S264)))</formula>
    </cfRule>
    <cfRule type="containsText" dxfId="1826" priority="2121" operator="containsText" text="Éxitoso">
      <formula>NOT(ISERROR(SEARCH("Éxitoso",S264)))</formula>
    </cfRule>
  </conditionalFormatting>
  <conditionalFormatting sqref="T264">
    <cfRule type="containsText" dxfId="1825" priority="2112" operator="containsText" text="No se pudo ejecutar">
      <formula>NOT(ISERROR(SEARCH("No se pudo ejecutar",T264)))</formula>
    </cfRule>
    <cfRule type="containsText" dxfId="1824" priority="2113" operator="containsText" text="Pendiente">
      <formula>NOT(ISERROR(SEARCH("Pendiente",T264)))</formula>
    </cfRule>
    <cfRule type="containsText" dxfId="1823" priority="2114" operator="containsText" text="No Aplica">
      <formula>NOT(ISERROR(SEARCH("No Aplica",T264)))</formula>
    </cfRule>
    <cfRule type="containsText" dxfId="1822" priority="2115" operator="containsText" text="Fallido">
      <formula>NOT(ISERROR(SEARCH("Fallido",T264)))</formula>
    </cfRule>
    <cfRule type="containsText" dxfId="1821" priority="2116" operator="containsText" text="Éxitoso">
      <formula>NOT(ISERROR(SEARCH("Éxitoso",T264)))</formula>
    </cfRule>
  </conditionalFormatting>
  <conditionalFormatting sqref="U264">
    <cfRule type="containsText" dxfId="1820" priority="2107" operator="containsText" text="No se pudo ejecutar">
      <formula>NOT(ISERROR(SEARCH("No se pudo ejecutar",U264)))</formula>
    </cfRule>
    <cfRule type="containsText" dxfId="1819" priority="2108" operator="containsText" text="Pendiente">
      <formula>NOT(ISERROR(SEARCH("Pendiente",U264)))</formula>
    </cfRule>
    <cfRule type="containsText" dxfId="1818" priority="2109" operator="containsText" text="No Aplica">
      <formula>NOT(ISERROR(SEARCH("No Aplica",U264)))</formula>
    </cfRule>
    <cfRule type="containsText" dxfId="1817" priority="2110" operator="containsText" text="Fallido">
      <formula>NOT(ISERROR(SEARCH("Fallido",U264)))</formula>
    </cfRule>
    <cfRule type="containsText" dxfId="1816" priority="2111" operator="containsText" text="Éxitoso">
      <formula>NOT(ISERROR(SEARCH("Éxitoso",U264)))</formula>
    </cfRule>
  </conditionalFormatting>
  <conditionalFormatting sqref="V264">
    <cfRule type="containsText" dxfId="1815" priority="2102" operator="containsText" text="No se pudo ejecutar">
      <formula>NOT(ISERROR(SEARCH("No se pudo ejecutar",V264)))</formula>
    </cfRule>
    <cfRule type="containsText" dxfId="1814" priority="2103" operator="containsText" text="Pendiente">
      <formula>NOT(ISERROR(SEARCH("Pendiente",V264)))</formula>
    </cfRule>
    <cfRule type="containsText" dxfId="1813" priority="2104" operator="containsText" text="No Aplica">
      <formula>NOT(ISERROR(SEARCH("No Aplica",V264)))</formula>
    </cfRule>
    <cfRule type="containsText" dxfId="1812" priority="2105" operator="containsText" text="Fallido">
      <formula>NOT(ISERROR(SEARCH("Fallido",V264)))</formula>
    </cfRule>
    <cfRule type="containsText" dxfId="1811" priority="2106" operator="containsText" text="Éxitoso">
      <formula>NOT(ISERROR(SEARCH("Éxitoso",V264)))</formula>
    </cfRule>
  </conditionalFormatting>
  <conditionalFormatting sqref="W264">
    <cfRule type="containsText" dxfId="1810" priority="2097" operator="containsText" text="No se pudo ejecutar">
      <formula>NOT(ISERROR(SEARCH("No se pudo ejecutar",W264)))</formula>
    </cfRule>
    <cfRule type="containsText" dxfId="1809" priority="2098" operator="containsText" text="Pendiente">
      <formula>NOT(ISERROR(SEARCH("Pendiente",W264)))</formula>
    </cfRule>
    <cfRule type="containsText" dxfId="1808" priority="2099" operator="containsText" text="No Aplica">
      <formula>NOT(ISERROR(SEARCH("No Aplica",W264)))</formula>
    </cfRule>
    <cfRule type="containsText" dxfId="1807" priority="2100" operator="containsText" text="Fallido">
      <formula>NOT(ISERROR(SEARCH("Fallido",W264)))</formula>
    </cfRule>
    <cfRule type="containsText" dxfId="1806" priority="2101" operator="containsText" text="Éxitoso">
      <formula>NOT(ISERROR(SEARCH("Éxitoso",W264)))</formula>
    </cfRule>
  </conditionalFormatting>
  <conditionalFormatting sqref="M264">
    <cfRule type="containsText" dxfId="1805" priority="2092" operator="containsText" text="No se pudo ejecutar">
      <formula>NOT(ISERROR(SEARCH("No se pudo ejecutar",M264)))</formula>
    </cfRule>
    <cfRule type="containsText" dxfId="1804" priority="2093" operator="containsText" text="Pendiente">
      <formula>NOT(ISERROR(SEARCH("Pendiente",M264)))</formula>
    </cfRule>
    <cfRule type="containsText" dxfId="1803" priority="2094" operator="containsText" text="No Aplica">
      <formula>NOT(ISERROR(SEARCH("No Aplica",M264)))</formula>
    </cfRule>
    <cfRule type="containsText" dxfId="1802" priority="2095" operator="containsText" text="Fallido">
      <formula>NOT(ISERROR(SEARCH("Fallido",M264)))</formula>
    </cfRule>
    <cfRule type="containsText" dxfId="1801" priority="2096" operator="containsText" text="Éxitoso">
      <formula>NOT(ISERROR(SEARCH("Éxitoso",M264)))</formula>
    </cfRule>
  </conditionalFormatting>
  <conditionalFormatting sqref="G264">
    <cfRule type="containsText" dxfId="1800" priority="2089" operator="containsText" text="Bajo">
      <formula>NOT(ISERROR(SEARCH("Bajo",G264)))</formula>
    </cfRule>
    <cfRule type="containsText" dxfId="1799" priority="2090" operator="containsText" text="Medio">
      <formula>NOT(ISERROR(SEARCH("Medio",G264)))</formula>
    </cfRule>
    <cfRule type="containsText" dxfId="1798" priority="2091" operator="containsText" text="Alto">
      <formula>NOT(ISERROR(SEARCH("Alto",G264)))</formula>
    </cfRule>
  </conditionalFormatting>
  <conditionalFormatting sqref="N265">
    <cfRule type="containsText" dxfId="1797" priority="2084" operator="containsText" text="No se pudo ejecutar">
      <formula>NOT(ISERROR(SEARCH("No se pudo ejecutar",N265)))</formula>
    </cfRule>
    <cfRule type="containsText" dxfId="1796" priority="2085" operator="containsText" text="Pendiente">
      <formula>NOT(ISERROR(SEARCH("Pendiente",N265)))</formula>
    </cfRule>
    <cfRule type="containsText" dxfId="1795" priority="2086" operator="containsText" text="No Aplica">
      <formula>NOT(ISERROR(SEARCH("No Aplica",N265)))</formula>
    </cfRule>
    <cfRule type="containsText" dxfId="1794" priority="2087" operator="containsText" text="Fallido">
      <formula>NOT(ISERROR(SEARCH("Fallido",N265)))</formula>
    </cfRule>
    <cfRule type="containsText" dxfId="1793" priority="2088" operator="containsText" text="Éxitoso">
      <formula>NOT(ISERROR(SEARCH("Éxitoso",N265)))</formula>
    </cfRule>
  </conditionalFormatting>
  <conditionalFormatting sqref="O265">
    <cfRule type="containsText" dxfId="1792" priority="2079" operator="containsText" text="No se pudo ejecutar">
      <formula>NOT(ISERROR(SEARCH("No se pudo ejecutar",O265)))</formula>
    </cfRule>
    <cfRule type="containsText" dxfId="1791" priority="2080" operator="containsText" text="Pendiente">
      <formula>NOT(ISERROR(SEARCH("Pendiente",O265)))</formula>
    </cfRule>
    <cfRule type="containsText" dxfId="1790" priority="2081" operator="containsText" text="No Aplica">
      <formula>NOT(ISERROR(SEARCH("No Aplica",O265)))</formula>
    </cfRule>
    <cfRule type="containsText" dxfId="1789" priority="2082" operator="containsText" text="Fallido">
      <formula>NOT(ISERROR(SEARCH("Fallido",O265)))</formula>
    </cfRule>
    <cfRule type="containsText" dxfId="1788" priority="2083" operator="containsText" text="Éxitoso">
      <formula>NOT(ISERROR(SEARCH("Éxitoso",O265)))</formula>
    </cfRule>
  </conditionalFormatting>
  <conditionalFormatting sqref="P265">
    <cfRule type="containsText" dxfId="1787" priority="2074" operator="containsText" text="No se pudo ejecutar">
      <formula>NOT(ISERROR(SEARCH("No se pudo ejecutar",P265)))</formula>
    </cfRule>
    <cfRule type="containsText" dxfId="1786" priority="2075" operator="containsText" text="Pendiente">
      <formula>NOT(ISERROR(SEARCH("Pendiente",P265)))</formula>
    </cfRule>
    <cfRule type="containsText" dxfId="1785" priority="2076" operator="containsText" text="No Aplica">
      <formula>NOT(ISERROR(SEARCH("No Aplica",P265)))</formula>
    </cfRule>
    <cfRule type="containsText" dxfId="1784" priority="2077" operator="containsText" text="Fallido">
      <formula>NOT(ISERROR(SEARCH("Fallido",P265)))</formula>
    </cfRule>
    <cfRule type="containsText" dxfId="1783" priority="2078" operator="containsText" text="Éxitoso">
      <formula>NOT(ISERROR(SEARCH("Éxitoso",P265)))</formula>
    </cfRule>
  </conditionalFormatting>
  <conditionalFormatting sqref="Q265">
    <cfRule type="containsText" dxfId="1782" priority="2069" operator="containsText" text="No se pudo ejecutar">
      <formula>NOT(ISERROR(SEARCH("No se pudo ejecutar",Q265)))</formula>
    </cfRule>
    <cfRule type="containsText" dxfId="1781" priority="2070" operator="containsText" text="Pendiente">
      <formula>NOT(ISERROR(SEARCH("Pendiente",Q265)))</formula>
    </cfRule>
    <cfRule type="containsText" dxfId="1780" priority="2071" operator="containsText" text="No Aplica">
      <formula>NOT(ISERROR(SEARCH("No Aplica",Q265)))</formula>
    </cfRule>
    <cfRule type="containsText" dxfId="1779" priority="2072" operator="containsText" text="Fallido">
      <formula>NOT(ISERROR(SEARCH("Fallido",Q265)))</formula>
    </cfRule>
    <cfRule type="containsText" dxfId="1778" priority="2073" operator="containsText" text="Éxitoso">
      <formula>NOT(ISERROR(SEARCH("Éxitoso",Q265)))</formula>
    </cfRule>
  </conditionalFormatting>
  <conditionalFormatting sqref="R265">
    <cfRule type="containsText" dxfId="1777" priority="2064" operator="containsText" text="No se pudo ejecutar">
      <formula>NOT(ISERROR(SEARCH("No se pudo ejecutar",R265)))</formula>
    </cfRule>
    <cfRule type="containsText" dxfId="1776" priority="2065" operator="containsText" text="Pendiente">
      <formula>NOT(ISERROR(SEARCH("Pendiente",R265)))</formula>
    </cfRule>
    <cfRule type="containsText" dxfId="1775" priority="2066" operator="containsText" text="No Aplica">
      <formula>NOT(ISERROR(SEARCH("No Aplica",R265)))</formula>
    </cfRule>
    <cfRule type="containsText" dxfId="1774" priority="2067" operator="containsText" text="Fallido">
      <formula>NOT(ISERROR(SEARCH("Fallido",R265)))</formula>
    </cfRule>
    <cfRule type="containsText" dxfId="1773" priority="2068" operator="containsText" text="Éxitoso">
      <formula>NOT(ISERROR(SEARCH("Éxitoso",R265)))</formula>
    </cfRule>
  </conditionalFormatting>
  <conditionalFormatting sqref="S265">
    <cfRule type="containsText" dxfId="1772" priority="2059" operator="containsText" text="No se pudo ejecutar">
      <formula>NOT(ISERROR(SEARCH("No se pudo ejecutar",S265)))</formula>
    </cfRule>
    <cfRule type="containsText" dxfId="1771" priority="2060" operator="containsText" text="Pendiente">
      <formula>NOT(ISERROR(SEARCH("Pendiente",S265)))</formula>
    </cfRule>
    <cfRule type="containsText" dxfId="1770" priority="2061" operator="containsText" text="No Aplica">
      <formula>NOT(ISERROR(SEARCH("No Aplica",S265)))</formula>
    </cfRule>
    <cfRule type="containsText" dxfId="1769" priority="2062" operator="containsText" text="Fallido">
      <formula>NOT(ISERROR(SEARCH("Fallido",S265)))</formula>
    </cfRule>
    <cfRule type="containsText" dxfId="1768" priority="2063" operator="containsText" text="Éxitoso">
      <formula>NOT(ISERROR(SEARCH("Éxitoso",S265)))</formula>
    </cfRule>
  </conditionalFormatting>
  <conditionalFormatting sqref="T265">
    <cfRule type="containsText" dxfId="1767" priority="2054" operator="containsText" text="No se pudo ejecutar">
      <formula>NOT(ISERROR(SEARCH("No se pudo ejecutar",T265)))</formula>
    </cfRule>
    <cfRule type="containsText" dxfId="1766" priority="2055" operator="containsText" text="Pendiente">
      <formula>NOT(ISERROR(SEARCH("Pendiente",T265)))</formula>
    </cfRule>
    <cfRule type="containsText" dxfId="1765" priority="2056" operator="containsText" text="No Aplica">
      <formula>NOT(ISERROR(SEARCH("No Aplica",T265)))</formula>
    </cfRule>
    <cfRule type="containsText" dxfId="1764" priority="2057" operator="containsText" text="Fallido">
      <formula>NOT(ISERROR(SEARCH("Fallido",T265)))</formula>
    </cfRule>
    <cfRule type="containsText" dxfId="1763" priority="2058" operator="containsText" text="Éxitoso">
      <formula>NOT(ISERROR(SEARCH("Éxitoso",T265)))</formula>
    </cfRule>
  </conditionalFormatting>
  <conditionalFormatting sqref="U265">
    <cfRule type="containsText" dxfId="1762" priority="2049" operator="containsText" text="No se pudo ejecutar">
      <formula>NOT(ISERROR(SEARCH("No se pudo ejecutar",U265)))</formula>
    </cfRule>
    <cfRule type="containsText" dxfId="1761" priority="2050" operator="containsText" text="Pendiente">
      <formula>NOT(ISERROR(SEARCH("Pendiente",U265)))</formula>
    </cfRule>
    <cfRule type="containsText" dxfId="1760" priority="2051" operator="containsText" text="No Aplica">
      <formula>NOT(ISERROR(SEARCH("No Aplica",U265)))</formula>
    </cfRule>
    <cfRule type="containsText" dxfId="1759" priority="2052" operator="containsText" text="Fallido">
      <formula>NOT(ISERROR(SEARCH("Fallido",U265)))</formula>
    </cfRule>
    <cfRule type="containsText" dxfId="1758" priority="2053" operator="containsText" text="Éxitoso">
      <formula>NOT(ISERROR(SEARCH("Éxitoso",U265)))</formula>
    </cfRule>
  </conditionalFormatting>
  <conditionalFormatting sqref="V265">
    <cfRule type="containsText" dxfId="1757" priority="2044" operator="containsText" text="No se pudo ejecutar">
      <formula>NOT(ISERROR(SEARCH("No se pudo ejecutar",V265)))</formula>
    </cfRule>
    <cfRule type="containsText" dxfId="1756" priority="2045" operator="containsText" text="Pendiente">
      <formula>NOT(ISERROR(SEARCH("Pendiente",V265)))</formula>
    </cfRule>
    <cfRule type="containsText" dxfId="1755" priority="2046" operator="containsText" text="No Aplica">
      <formula>NOT(ISERROR(SEARCH("No Aplica",V265)))</formula>
    </cfRule>
    <cfRule type="containsText" dxfId="1754" priority="2047" operator="containsText" text="Fallido">
      <formula>NOT(ISERROR(SEARCH("Fallido",V265)))</formula>
    </cfRule>
    <cfRule type="containsText" dxfId="1753" priority="2048" operator="containsText" text="Éxitoso">
      <formula>NOT(ISERROR(SEARCH("Éxitoso",V265)))</formula>
    </cfRule>
  </conditionalFormatting>
  <conditionalFormatting sqref="W265">
    <cfRule type="containsText" dxfId="1752" priority="2039" operator="containsText" text="No se pudo ejecutar">
      <formula>NOT(ISERROR(SEARCH("No se pudo ejecutar",W265)))</formula>
    </cfRule>
    <cfRule type="containsText" dxfId="1751" priority="2040" operator="containsText" text="Pendiente">
      <formula>NOT(ISERROR(SEARCH("Pendiente",W265)))</formula>
    </cfRule>
    <cfRule type="containsText" dxfId="1750" priority="2041" operator="containsText" text="No Aplica">
      <formula>NOT(ISERROR(SEARCH("No Aplica",W265)))</formula>
    </cfRule>
    <cfRule type="containsText" dxfId="1749" priority="2042" operator="containsText" text="Fallido">
      <formula>NOT(ISERROR(SEARCH("Fallido",W265)))</formula>
    </cfRule>
    <cfRule type="containsText" dxfId="1748" priority="2043" operator="containsText" text="Éxitoso">
      <formula>NOT(ISERROR(SEARCH("Éxitoso",W265)))</formula>
    </cfRule>
  </conditionalFormatting>
  <conditionalFormatting sqref="M265">
    <cfRule type="containsText" dxfId="1747" priority="2034" operator="containsText" text="No se pudo ejecutar">
      <formula>NOT(ISERROR(SEARCH("No se pudo ejecutar",M265)))</formula>
    </cfRule>
    <cfRule type="containsText" dxfId="1746" priority="2035" operator="containsText" text="Pendiente">
      <formula>NOT(ISERROR(SEARCH("Pendiente",M265)))</formula>
    </cfRule>
    <cfRule type="containsText" dxfId="1745" priority="2036" operator="containsText" text="No Aplica">
      <formula>NOT(ISERROR(SEARCH("No Aplica",M265)))</formula>
    </cfRule>
    <cfRule type="containsText" dxfId="1744" priority="2037" operator="containsText" text="Fallido">
      <formula>NOT(ISERROR(SEARCH("Fallido",M265)))</formula>
    </cfRule>
    <cfRule type="containsText" dxfId="1743" priority="2038" operator="containsText" text="Éxitoso">
      <formula>NOT(ISERROR(SEARCH("Éxitoso",M265)))</formula>
    </cfRule>
  </conditionalFormatting>
  <conditionalFormatting sqref="G265">
    <cfRule type="containsText" dxfId="1742" priority="2031" operator="containsText" text="Bajo">
      <formula>NOT(ISERROR(SEARCH("Bajo",G265)))</formula>
    </cfRule>
    <cfRule type="containsText" dxfId="1741" priority="2032" operator="containsText" text="Medio">
      <formula>NOT(ISERROR(SEARCH("Medio",G265)))</formula>
    </cfRule>
    <cfRule type="containsText" dxfId="1740" priority="2033" operator="containsText" text="Alto">
      <formula>NOT(ISERROR(SEARCH("Alto",G265)))</formula>
    </cfRule>
  </conditionalFormatting>
  <conditionalFormatting sqref="N266">
    <cfRule type="containsText" dxfId="1739" priority="2026" operator="containsText" text="No se pudo ejecutar">
      <formula>NOT(ISERROR(SEARCH("No se pudo ejecutar",N266)))</formula>
    </cfRule>
    <cfRule type="containsText" dxfId="1738" priority="2027" operator="containsText" text="Pendiente">
      <formula>NOT(ISERROR(SEARCH("Pendiente",N266)))</formula>
    </cfRule>
    <cfRule type="containsText" dxfId="1737" priority="2028" operator="containsText" text="No Aplica">
      <formula>NOT(ISERROR(SEARCH("No Aplica",N266)))</formula>
    </cfRule>
    <cfRule type="containsText" dxfId="1736" priority="2029" operator="containsText" text="Fallido">
      <formula>NOT(ISERROR(SEARCH("Fallido",N266)))</formula>
    </cfRule>
    <cfRule type="containsText" dxfId="1735" priority="2030" operator="containsText" text="Éxitoso">
      <formula>NOT(ISERROR(SEARCH("Éxitoso",N266)))</formula>
    </cfRule>
  </conditionalFormatting>
  <conditionalFormatting sqref="O266">
    <cfRule type="containsText" dxfId="1734" priority="2021" operator="containsText" text="No se pudo ejecutar">
      <formula>NOT(ISERROR(SEARCH("No se pudo ejecutar",O266)))</formula>
    </cfRule>
    <cfRule type="containsText" dxfId="1733" priority="2022" operator="containsText" text="Pendiente">
      <formula>NOT(ISERROR(SEARCH("Pendiente",O266)))</formula>
    </cfRule>
    <cfRule type="containsText" dxfId="1732" priority="2023" operator="containsText" text="No Aplica">
      <formula>NOT(ISERROR(SEARCH("No Aplica",O266)))</formula>
    </cfRule>
    <cfRule type="containsText" dxfId="1731" priority="2024" operator="containsText" text="Fallido">
      <formula>NOT(ISERROR(SEARCH("Fallido",O266)))</formula>
    </cfRule>
    <cfRule type="containsText" dxfId="1730" priority="2025" operator="containsText" text="Éxitoso">
      <formula>NOT(ISERROR(SEARCH("Éxitoso",O266)))</formula>
    </cfRule>
  </conditionalFormatting>
  <conditionalFormatting sqref="P266">
    <cfRule type="containsText" dxfId="1729" priority="2016" operator="containsText" text="No se pudo ejecutar">
      <formula>NOT(ISERROR(SEARCH("No se pudo ejecutar",P266)))</formula>
    </cfRule>
    <cfRule type="containsText" dxfId="1728" priority="2017" operator="containsText" text="Pendiente">
      <formula>NOT(ISERROR(SEARCH("Pendiente",P266)))</formula>
    </cfRule>
    <cfRule type="containsText" dxfId="1727" priority="2018" operator="containsText" text="No Aplica">
      <formula>NOT(ISERROR(SEARCH("No Aplica",P266)))</formula>
    </cfRule>
    <cfRule type="containsText" dxfId="1726" priority="2019" operator="containsText" text="Fallido">
      <formula>NOT(ISERROR(SEARCH("Fallido",P266)))</formula>
    </cfRule>
    <cfRule type="containsText" dxfId="1725" priority="2020" operator="containsText" text="Éxitoso">
      <formula>NOT(ISERROR(SEARCH("Éxitoso",P266)))</formula>
    </cfRule>
  </conditionalFormatting>
  <conditionalFormatting sqref="Q266">
    <cfRule type="containsText" dxfId="1724" priority="2011" operator="containsText" text="No se pudo ejecutar">
      <formula>NOT(ISERROR(SEARCH("No se pudo ejecutar",Q266)))</formula>
    </cfRule>
    <cfRule type="containsText" dxfId="1723" priority="2012" operator="containsText" text="Pendiente">
      <formula>NOT(ISERROR(SEARCH("Pendiente",Q266)))</formula>
    </cfRule>
    <cfRule type="containsText" dxfId="1722" priority="2013" operator="containsText" text="No Aplica">
      <formula>NOT(ISERROR(SEARCH("No Aplica",Q266)))</formula>
    </cfRule>
    <cfRule type="containsText" dxfId="1721" priority="2014" operator="containsText" text="Fallido">
      <formula>NOT(ISERROR(SEARCH("Fallido",Q266)))</formula>
    </cfRule>
    <cfRule type="containsText" dxfId="1720" priority="2015" operator="containsText" text="Éxitoso">
      <formula>NOT(ISERROR(SEARCH("Éxitoso",Q266)))</formula>
    </cfRule>
  </conditionalFormatting>
  <conditionalFormatting sqref="R266">
    <cfRule type="containsText" dxfId="1719" priority="2006" operator="containsText" text="No se pudo ejecutar">
      <formula>NOT(ISERROR(SEARCH("No se pudo ejecutar",R266)))</formula>
    </cfRule>
    <cfRule type="containsText" dxfId="1718" priority="2007" operator="containsText" text="Pendiente">
      <formula>NOT(ISERROR(SEARCH("Pendiente",R266)))</formula>
    </cfRule>
    <cfRule type="containsText" dxfId="1717" priority="2008" operator="containsText" text="No Aplica">
      <formula>NOT(ISERROR(SEARCH("No Aplica",R266)))</formula>
    </cfRule>
    <cfRule type="containsText" dxfId="1716" priority="2009" operator="containsText" text="Fallido">
      <formula>NOT(ISERROR(SEARCH("Fallido",R266)))</formula>
    </cfRule>
    <cfRule type="containsText" dxfId="1715" priority="2010" operator="containsText" text="Éxitoso">
      <formula>NOT(ISERROR(SEARCH("Éxitoso",R266)))</formula>
    </cfRule>
  </conditionalFormatting>
  <conditionalFormatting sqref="S266">
    <cfRule type="containsText" dxfId="1714" priority="2001" operator="containsText" text="No se pudo ejecutar">
      <formula>NOT(ISERROR(SEARCH("No se pudo ejecutar",S266)))</formula>
    </cfRule>
    <cfRule type="containsText" dxfId="1713" priority="2002" operator="containsText" text="Pendiente">
      <formula>NOT(ISERROR(SEARCH("Pendiente",S266)))</formula>
    </cfRule>
    <cfRule type="containsText" dxfId="1712" priority="2003" operator="containsText" text="No Aplica">
      <formula>NOT(ISERROR(SEARCH("No Aplica",S266)))</formula>
    </cfRule>
    <cfRule type="containsText" dxfId="1711" priority="2004" operator="containsText" text="Fallido">
      <formula>NOT(ISERROR(SEARCH("Fallido",S266)))</formula>
    </cfRule>
    <cfRule type="containsText" dxfId="1710" priority="2005" operator="containsText" text="Éxitoso">
      <formula>NOT(ISERROR(SEARCH("Éxitoso",S266)))</formula>
    </cfRule>
  </conditionalFormatting>
  <conditionalFormatting sqref="T266">
    <cfRule type="containsText" dxfId="1709" priority="1996" operator="containsText" text="No se pudo ejecutar">
      <formula>NOT(ISERROR(SEARCH("No se pudo ejecutar",T266)))</formula>
    </cfRule>
    <cfRule type="containsText" dxfId="1708" priority="1997" operator="containsText" text="Pendiente">
      <formula>NOT(ISERROR(SEARCH("Pendiente",T266)))</formula>
    </cfRule>
    <cfRule type="containsText" dxfId="1707" priority="1998" operator="containsText" text="No Aplica">
      <formula>NOT(ISERROR(SEARCH("No Aplica",T266)))</formula>
    </cfRule>
    <cfRule type="containsText" dxfId="1706" priority="1999" operator="containsText" text="Fallido">
      <formula>NOT(ISERROR(SEARCH("Fallido",T266)))</formula>
    </cfRule>
    <cfRule type="containsText" dxfId="1705" priority="2000" operator="containsText" text="Éxitoso">
      <formula>NOT(ISERROR(SEARCH("Éxitoso",T266)))</formula>
    </cfRule>
  </conditionalFormatting>
  <conditionalFormatting sqref="U266">
    <cfRule type="containsText" dxfId="1704" priority="1991" operator="containsText" text="No se pudo ejecutar">
      <formula>NOT(ISERROR(SEARCH("No se pudo ejecutar",U266)))</formula>
    </cfRule>
    <cfRule type="containsText" dxfId="1703" priority="1992" operator="containsText" text="Pendiente">
      <formula>NOT(ISERROR(SEARCH("Pendiente",U266)))</formula>
    </cfRule>
    <cfRule type="containsText" dxfId="1702" priority="1993" operator="containsText" text="No Aplica">
      <formula>NOT(ISERROR(SEARCH("No Aplica",U266)))</formula>
    </cfRule>
    <cfRule type="containsText" dxfId="1701" priority="1994" operator="containsText" text="Fallido">
      <formula>NOT(ISERROR(SEARCH("Fallido",U266)))</formula>
    </cfRule>
    <cfRule type="containsText" dxfId="1700" priority="1995" operator="containsText" text="Éxitoso">
      <formula>NOT(ISERROR(SEARCH("Éxitoso",U266)))</formula>
    </cfRule>
  </conditionalFormatting>
  <conditionalFormatting sqref="V266">
    <cfRule type="containsText" dxfId="1699" priority="1986" operator="containsText" text="No se pudo ejecutar">
      <formula>NOT(ISERROR(SEARCH("No se pudo ejecutar",V266)))</formula>
    </cfRule>
    <cfRule type="containsText" dxfId="1698" priority="1987" operator="containsText" text="Pendiente">
      <formula>NOT(ISERROR(SEARCH("Pendiente",V266)))</formula>
    </cfRule>
    <cfRule type="containsText" dxfId="1697" priority="1988" operator="containsText" text="No Aplica">
      <formula>NOT(ISERROR(SEARCH("No Aplica",V266)))</formula>
    </cfRule>
    <cfRule type="containsText" dxfId="1696" priority="1989" operator="containsText" text="Fallido">
      <formula>NOT(ISERROR(SEARCH("Fallido",V266)))</formula>
    </cfRule>
    <cfRule type="containsText" dxfId="1695" priority="1990" operator="containsText" text="Éxitoso">
      <formula>NOT(ISERROR(SEARCH("Éxitoso",V266)))</formula>
    </cfRule>
  </conditionalFormatting>
  <conditionalFormatting sqref="W266">
    <cfRule type="containsText" dxfId="1694" priority="1981" operator="containsText" text="No se pudo ejecutar">
      <formula>NOT(ISERROR(SEARCH("No se pudo ejecutar",W266)))</formula>
    </cfRule>
    <cfRule type="containsText" dxfId="1693" priority="1982" operator="containsText" text="Pendiente">
      <formula>NOT(ISERROR(SEARCH("Pendiente",W266)))</formula>
    </cfRule>
    <cfRule type="containsText" dxfId="1692" priority="1983" operator="containsText" text="No Aplica">
      <formula>NOT(ISERROR(SEARCH("No Aplica",W266)))</formula>
    </cfRule>
    <cfRule type="containsText" dxfId="1691" priority="1984" operator="containsText" text="Fallido">
      <formula>NOT(ISERROR(SEARCH("Fallido",W266)))</formula>
    </cfRule>
    <cfRule type="containsText" dxfId="1690" priority="1985" operator="containsText" text="Éxitoso">
      <formula>NOT(ISERROR(SEARCH("Éxitoso",W266)))</formula>
    </cfRule>
  </conditionalFormatting>
  <conditionalFormatting sqref="M266">
    <cfRule type="containsText" dxfId="1689" priority="1976" operator="containsText" text="No se pudo ejecutar">
      <formula>NOT(ISERROR(SEARCH("No se pudo ejecutar",M266)))</formula>
    </cfRule>
    <cfRule type="containsText" dxfId="1688" priority="1977" operator="containsText" text="Pendiente">
      <formula>NOT(ISERROR(SEARCH("Pendiente",M266)))</formula>
    </cfRule>
    <cfRule type="containsText" dxfId="1687" priority="1978" operator="containsText" text="No Aplica">
      <formula>NOT(ISERROR(SEARCH("No Aplica",M266)))</formula>
    </cfRule>
    <cfRule type="containsText" dxfId="1686" priority="1979" operator="containsText" text="Fallido">
      <formula>NOT(ISERROR(SEARCH("Fallido",M266)))</formula>
    </cfRule>
    <cfRule type="containsText" dxfId="1685" priority="1980" operator="containsText" text="Éxitoso">
      <formula>NOT(ISERROR(SEARCH("Éxitoso",M266)))</formula>
    </cfRule>
  </conditionalFormatting>
  <conditionalFormatting sqref="G266">
    <cfRule type="containsText" dxfId="1684" priority="1973" operator="containsText" text="Bajo">
      <formula>NOT(ISERROR(SEARCH("Bajo",G266)))</formula>
    </cfRule>
    <cfRule type="containsText" dxfId="1683" priority="1974" operator="containsText" text="Medio">
      <formula>NOT(ISERROR(SEARCH("Medio",G266)))</formula>
    </cfRule>
    <cfRule type="containsText" dxfId="1682" priority="1975" operator="containsText" text="Alto">
      <formula>NOT(ISERROR(SEARCH("Alto",G266)))</formula>
    </cfRule>
  </conditionalFormatting>
  <conditionalFormatting sqref="N267">
    <cfRule type="containsText" dxfId="1681" priority="1968" operator="containsText" text="No se pudo ejecutar">
      <formula>NOT(ISERROR(SEARCH("No se pudo ejecutar",N267)))</formula>
    </cfRule>
    <cfRule type="containsText" dxfId="1680" priority="1969" operator="containsText" text="Pendiente">
      <formula>NOT(ISERROR(SEARCH("Pendiente",N267)))</formula>
    </cfRule>
    <cfRule type="containsText" dxfId="1679" priority="1970" operator="containsText" text="No Aplica">
      <formula>NOT(ISERROR(SEARCH("No Aplica",N267)))</formula>
    </cfRule>
    <cfRule type="containsText" dxfId="1678" priority="1971" operator="containsText" text="Fallido">
      <formula>NOT(ISERROR(SEARCH("Fallido",N267)))</formula>
    </cfRule>
    <cfRule type="containsText" dxfId="1677" priority="1972" operator="containsText" text="Éxitoso">
      <formula>NOT(ISERROR(SEARCH("Éxitoso",N267)))</formula>
    </cfRule>
  </conditionalFormatting>
  <conditionalFormatting sqref="O267">
    <cfRule type="containsText" dxfId="1676" priority="1963" operator="containsText" text="No se pudo ejecutar">
      <formula>NOT(ISERROR(SEARCH("No se pudo ejecutar",O267)))</formula>
    </cfRule>
    <cfRule type="containsText" dxfId="1675" priority="1964" operator="containsText" text="Pendiente">
      <formula>NOT(ISERROR(SEARCH("Pendiente",O267)))</formula>
    </cfRule>
    <cfRule type="containsText" dxfId="1674" priority="1965" operator="containsText" text="No Aplica">
      <formula>NOT(ISERROR(SEARCH("No Aplica",O267)))</formula>
    </cfRule>
    <cfRule type="containsText" dxfId="1673" priority="1966" operator="containsText" text="Fallido">
      <formula>NOT(ISERROR(SEARCH("Fallido",O267)))</formula>
    </cfRule>
    <cfRule type="containsText" dxfId="1672" priority="1967" operator="containsText" text="Éxitoso">
      <formula>NOT(ISERROR(SEARCH("Éxitoso",O267)))</formula>
    </cfRule>
  </conditionalFormatting>
  <conditionalFormatting sqref="P267">
    <cfRule type="containsText" dxfId="1671" priority="1958" operator="containsText" text="No se pudo ejecutar">
      <formula>NOT(ISERROR(SEARCH("No se pudo ejecutar",P267)))</formula>
    </cfRule>
    <cfRule type="containsText" dxfId="1670" priority="1959" operator="containsText" text="Pendiente">
      <formula>NOT(ISERROR(SEARCH("Pendiente",P267)))</formula>
    </cfRule>
    <cfRule type="containsText" dxfId="1669" priority="1960" operator="containsText" text="No Aplica">
      <formula>NOT(ISERROR(SEARCH("No Aplica",P267)))</formula>
    </cfRule>
    <cfRule type="containsText" dxfId="1668" priority="1961" operator="containsText" text="Fallido">
      <formula>NOT(ISERROR(SEARCH("Fallido",P267)))</formula>
    </cfRule>
    <cfRule type="containsText" dxfId="1667" priority="1962" operator="containsText" text="Éxitoso">
      <formula>NOT(ISERROR(SEARCH("Éxitoso",P267)))</formula>
    </cfRule>
  </conditionalFormatting>
  <conditionalFormatting sqref="Q267">
    <cfRule type="containsText" dxfId="1666" priority="1953" operator="containsText" text="No se pudo ejecutar">
      <formula>NOT(ISERROR(SEARCH("No se pudo ejecutar",Q267)))</formula>
    </cfRule>
    <cfRule type="containsText" dxfId="1665" priority="1954" operator="containsText" text="Pendiente">
      <formula>NOT(ISERROR(SEARCH("Pendiente",Q267)))</formula>
    </cfRule>
    <cfRule type="containsText" dxfId="1664" priority="1955" operator="containsText" text="No Aplica">
      <formula>NOT(ISERROR(SEARCH("No Aplica",Q267)))</formula>
    </cfRule>
    <cfRule type="containsText" dxfId="1663" priority="1956" operator="containsText" text="Fallido">
      <formula>NOT(ISERROR(SEARCH("Fallido",Q267)))</formula>
    </cfRule>
    <cfRule type="containsText" dxfId="1662" priority="1957" operator="containsText" text="Éxitoso">
      <formula>NOT(ISERROR(SEARCH("Éxitoso",Q267)))</formula>
    </cfRule>
  </conditionalFormatting>
  <conditionalFormatting sqref="R267">
    <cfRule type="containsText" dxfId="1661" priority="1948" operator="containsText" text="No se pudo ejecutar">
      <formula>NOT(ISERROR(SEARCH("No se pudo ejecutar",R267)))</formula>
    </cfRule>
    <cfRule type="containsText" dxfId="1660" priority="1949" operator="containsText" text="Pendiente">
      <formula>NOT(ISERROR(SEARCH("Pendiente",R267)))</formula>
    </cfRule>
    <cfRule type="containsText" dxfId="1659" priority="1950" operator="containsText" text="No Aplica">
      <formula>NOT(ISERROR(SEARCH("No Aplica",R267)))</formula>
    </cfRule>
    <cfRule type="containsText" dxfId="1658" priority="1951" operator="containsText" text="Fallido">
      <formula>NOT(ISERROR(SEARCH("Fallido",R267)))</formula>
    </cfRule>
    <cfRule type="containsText" dxfId="1657" priority="1952" operator="containsText" text="Éxitoso">
      <formula>NOT(ISERROR(SEARCH("Éxitoso",R267)))</formula>
    </cfRule>
  </conditionalFormatting>
  <conditionalFormatting sqref="S267">
    <cfRule type="containsText" dxfId="1656" priority="1943" operator="containsText" text="No se pudo ejecutar">
      <formula>NOT(ISERROR(SEARCH("No se pudo ejecutar",S267)))</formula>
    </cfRule>
    <cfRule type="containsText" dxfId="1655" priority="1944" operator="containsText" text="Pendiente">
      <formula>NOT(ISERROR(SEARCH("Pendiente",S267)))</formula>
    </cfRule>
    <cfRule type="containsText" dxfId="1654" priority="1945" operator="containsText" text="No Aplica">
      <formula>NOT(ISERROR(SEARCH("No Aplica",S267)))</formula>
    </cfRule>
    <cfRule type="containsText" dxfId="1653" priority="1946" operator="containsText" text="Fallido">
      <formula>NOT(ISERROR(SEARCH("Fallido",S267)))</formula>
    </cfRule>
    <cfRule type="containsText" dxfId="1652" priority="1947" operator="containsText" text="Éxitoso">
      <formula>NOT(ISERROR(SEARCH("Éxitoso",S267)))</formula>
    </cfRule>
  </conditionalFormatting>
  <conditionalFormatting sqref="T267">
    <cfRule type="containsText" dxfId="1651" priority="1938" operator="containsText" text="No se pudo ejecutar">
      <formula>NOT(ISERROR(SEARCH("No se pudo ejecutar",T267)))</formula>
    </cfRule>
    <cfRule type="containsText" dxfId="1650" priority="1939" operator="containsText" text="Pendiente">
      <formula>NOT(ISERROR(SEARCH("Pendiente",T267)))</formula>
    </cfRule>
    <cfRule type="containsText" dxfId="1649" priority="1940" operator="containsText" text="No Aplica">
      <formula>NOT(ISERROR(SEARCH("No Aplica",T267)))</formula>
    </cfRule>
    <cfRule type="containsText" dxfId="1648" priority="1941" operator="containsText" text="Fallido">
      <formula>NOT(ISERROR(SEARCH("Fallido",T267)))</formula>
    </cfRule>
    <cfRule type="containsText" dxfId="1647" priority="1942" operator="containsText" text="Éxitoso">
      <formula>NOT(ISERROR(SEARCH("Éxitoso",T267)))</formula>
    </cfRule>
  </conditionalFormatting>
  <conditionalFormatting sqref="U267">
    <cfRule type="containsText" dxfId="1646" priority="1933" operator="containsText" text="No se pudo ejecutar">
      <formula>NOT(ISERROR(SEARCH("No se pudo ejecutar",U267)))</formula>
    </cfRule>
    <cfRule type="containsText" dxfId="1645" priority="1934" operator="containsText" text="Pendiente">
      <formula>NOT(ISERROR(SEARCH("Pendiente",U267)))</formula>
    </cfRule>
    <cfRule type="containsText" dxfId="1644" priority="1935" operator="containsText" text="No Aplica">
      <formula>NOT(ISERROR(SEARCH("No Aplica",U267)))</formula>
    </cfRule>
    <cfRule type="containsText" dxfId="1643" priority="1936" operator="containsText" text="Fallido">
      <formula>NOT(ISERROR(SEARCH("Fallido",U267)))</formula>
    </cfRule>
    <cfRule type="containsText" dxfId="1642" priority="1937" operator="containsText" text="Éxitoso">
      <formula>NOT(ISERROR(SEARCH("Éxitoso",U267)))</formula>
    </cfRule>
  </conditionalFormatting>
  <conditionalFormatting sqref="V267">
    <cfRule type="containsText" dxfId="1641" priority="1928" operator="containsText" text="No se pudo ejecutar">
      <formula>NOT(ISERROR(SEARCH("No se pudo ejecutar",V267)))</formula>
    </cfRule>
    <cfRule type="containsText" dxfId="1640" priority="1929" operator="containsText" text="Pendiente">
      <formula>NOT(ISERROR(SEARCH("Pendiente",V267)))</formula>
    </cfRule>
    <cfRule type="containsText" dxfId="1639" priority="1930" operator="containsText" text="No Aplica">
      <formula>NOT(ISERROR(SEARCH("No Aplica",V267)))</formula>
    </cfRule>
    <cfRule type="containsText" dxfId="1638" priority="1931" operator="containsText" text="Fallido">
      <formula>NOT(ISERROR(SEARCH("Fallido",V267)))</formula>
    </cfRule>
    <cfRule type="containsText" dxfId="1637" priority="1932" operator="containsText" text="Éxitoso">
      <formula>NOT(ISERROR(SEARCH("Éxitoso",V267)))</formula>
    </cfRule>
  </conditionalFormatting>
  <conditionalFormatting sqref="W267">
    <cfRule type="containsText" dxfId="1636" priority="1923" operator="containsText" text="No se pudo ejecutar">
      <formula>NOT(ISERROR(SEARCH("No se pudo ejecutar",W267)))</formula>
    </cfRule>
    <cfRule type="containsText" dxfId="1635" priority="1924" operator="containsText" text="Pendiente">
      <formula>NOT(ISERROR(SEARCH("Pendiente",W267)))</formula>
    </cfRule>
    <cfRule type="containsText" dxfId="1634" priority="1925" operator="containsText" text="No Aplica">
      <formula>NOT(ISERROR(SEARCH("No Aplica",W267)))</formula>
    </cfRule>
    <cfRule type="containsText" dxfId="1633" priority="1926" operator="containsText" text="Fallido">
      <formula>NOT(ISERROR(SEARCH("Fallido",W267)))</formula>
    </cfRule>
    <cfRule type="containsText" dxfId="1632" priority="1927" operator="containsText" text="Éxitoso">
      <formula>NOT(ISERROR(SEARCH("Éxitoso",W267)))</formula>
    </cfRule>
  </conditionalFormatting>
  <conditionalFormatting sqref="M267">
    <cfRule type="containsText" dxfId="1631" priority="1918" operator="containsText" text="No se pudo ejecutar">
      <formula>NOT(ISERROR(SEARCH("No se pudo ejecutar",M267)))</formula>
    </cfRule>
    <cfRule type="containsText" dxfId="1630" priority="1919" operator="containsText" text="Pendiente">
      <formula>NOT(ISERROR(SEARCH("Pendiente",M267)))</formula>
    </cfRule>
    <cfRule type="containsText" dxfId="1629" priority="1920" operator="containsText" text="No Aplica">
      <formula>NOT(ISERROR(SEARCH("No Aplica",M267)))</formula>
    </cfRule>
    <cfRule type="containsText" dxfId="1628" priority="1921" operator="containsText" text="Fallido">
      <formula>NOT(ISERROR(SEARCH("Fallido",M267)))</formula>
    </cfRule>
    <cfRule type="containsText" dxfId="1627" priority="1922" operator="containsText" text="Éxitoso">
      <formula>NOT(ISERROR(SEARCH("Éxitoso",M267)))</formula>
    </cfRule>
  </conditionalFormatting>
  <conditionalFormatting sqref="G267">
    <cfRule type="containsText" dxfId="1626" priority="1915" operator="containsText" text="Bajo">
      <formula>NOT(ISERROR(SEARCH("Bajo",G267)))</formula>
    </cfRule>
    <cfRule type="containsText" dxfId="1625" priority="1916" operator="containsText" text="Medio">
      <formula>NOT(ISERROR(SEARCH("Medio",G267)))</formula>
    </cfRule>
    <cfRule type="containsText" dxfId="1624" priority="1917" operator="containsText" text="Alto">
      <formula>NOT(ISERROR(SEARCH("Alto",G267)))</formula>
    </cfRule>
  </conditionalFormatting>
  <conditionalFormatting sqref="N268">
    <cfRule type="containsText" dxfId="1623" priority="1910" operator="containsText" text="No se pudo ejecutar">
      <formula>NOT(ISERROR(SEARCH("No se pudo ejecutar",N268)))</formula>
    </cfRule>
    <cfRule type="containsText" dxfId="1622" priority="1911" operator="containsText" text="Pendiente">
      <formula>NOT(ISERROR(SEARCH("Pendiente",N268)))</formula>
    </cfRule>
    <cfRule type="containsText" dxfId="1621" priority="1912" operator="containsText" text="No Aplica">
      <formula>NOT(ISERROR(SEARCH("No Aplica",N268)))</formula>
    </cfRule>
    <cfRule type="containsText" dxfId="1620" priority="1913" operator="containsText" text="Fallido">
      <formula>NOT(ISERROR(SEARCH("Fallido",N268)))</formula>
    </cfRule>
    <cfRule type="containsText" dxfId="1619" priority="1914" operator="containsText" text="Éxitoso">
      <formula>NOT(ISERROR(SEARCH("Éxitoso",N268)))</formula>
    </cfRule>
  </conditionalFormatting>
  <conditionalFormatting sqref="O268">
    <cfRule type="containsText" dxfId="1618" priority="1905" operator="containsText" text="No se pudo ejecutar">
      <formula>NOT(ISERROR(SEARCH("No se pudo ejecutar",O268)))</formula>
    </cfRule>
    <cfRule type="containsText" dxfId="1617" priority="1906" operator="containsText" text="Pendiente">
      <formula>NOT(ISERROR(SEARCH("Pendiente",O268)))</formula>
    </cfRule>
    <cfRule type="containsText" dxfId="1616" priority="1907" operator="containsText" text="No Aplica">
      <formula>NOT(ISERROR(SEARCH("No Aplica",O268)))</formula>
    </cfRule>
    <cfRule type="containsText" dxfId="1615" priority="1908" operator="containsText" text="Fallido">
      <formula>NOT(ISERROR(SEARCH("Fallido",O268)))</formula>
    </cfRule>
    <cfRule type="containsText" dxfId="1614" priority="1909" operator="containsText" text="Éxitoso">
      <formula>NOT(ISERROR(SEARCH("Éxitoso",O268)))</formula>
    </cfRule>
  </conditionalFormatting>
  <conditionalFormatting sqref="P268">
    <cfRule type="containsText" dxfId="1613" priority="1900" operator="containsText" text="No se pudo ejecutar">
      <formula>NOT(ISERROR(SEARCH("No se pudo ejecutar",P268)))</formula>
    </cfRule>
    <cfRule type="containsText" dxfId="1612" priority="1901" operator="containsText" text="Pendiente">
      <formula>NOT(ISERROR(SEARCH("Pendiente",P268)))</formula>
    </cfRule>
    <cfRule type="containsText" dxfId="1611" priority="1902" operator="containsText" text="No Aplica">
      <formula>NOT(ISERROR(SEARCH("No Aplica",P268)))</formula>
    </cfRule>
    <cfRule type="containsText" dxfId="1610" priority="1903" operator="containsText" text="Fallido">
      <formula>NOT(ISERROR(SEARCH("Fallido",P268)))</formula>
    </cfRule>
    <cfRule type="containsText" dxfId="1609" priority="1904" operator="containsText" text="Éxitoso">
      <formula>NOT(ISERROR(SEARCH("Éxitoso",P268)))</formula>
    </cfRule>
  </conditionalFormatting>
  <conditionalFormatting sqref="Q268">
    <cfRule type="containsText" dxfId="1608" priority="1895" operator="containsText" text="No se pudo ejecutar">
      <formula>NOT(ISERROR(SEARCH("No se pudo ejecutar",Q268)))</formula>
    </cfRule>
    <cfRule type="containsText" dxfId="1607" priority="1896" operator="containsText" text="Pendiente">
      <formula>NOT(ISERROR(SEARCH("Pendiente",Q268)))</formula>
    </cfRule>
    <cfRule type="containsText" dxfId="1606" priority="1897" operator="containsText" text="No Aplica">
      <formula>NOT(ISERROR(SEARCH("No Aplica",Q268)))</formula>
    </cfRule>
    <cfRule type="containsText" dxfId="1605" priority="1898" operator="containsText" text="Fallido">
      <formula>NOT(ISERROR(SEARCH("Fallido",Q268)))</formula>
    </cfRule>
    <cfRule type="containsText" dxfId="1604" priority="1899" operator="containsText" text="Éxitoso">
      <formula>NOT(ISERROR(SEARCH("Éxitoso",Q268)))</formula>
    </cfRule>
  </conditionalFormatting>
  <conditionalFormatting sqref="R268">
    <cfRule type="containsText" dxfId="1603" priority="1890" operator="containsText" text="No se pudo ejecutar">
      <formula>NOT(ISERROR(SEARCH("No se pudo ejecutar",R268)))</formula>
    </cfRule>
    <cfRule type="containsText" dxfId="1602" priority="1891" operator="containsText" text="Pendiente">
      <formula>NOT(ISERROR(SEARCH("Pendiente",R268)))</formula>
    </cfRule>
    <cfRule type="containsText" dxfId="1601" priority="1892" operator="containsText" text="No Aplica">
      <formula>NOT(ISERROR(SEARCH("No Aplica",R268)))</formula>
    </cfRule>
    <cfRule type="containsText" dxfId="1600" priority="1893" operator="containsText" text="Fallido">
      <formula>NOT(ISERROR(SEARCH("Fallido",R268)))</formula>
    </cfRule>
    <cfRule type="containsText" dxfId="1599" priority="1894" operator="containsText" text="Éxitoso">
      <formula>NOT(ISERROR(SEARCH("Éxitoso",R268)))</formula>
    </cfRule>
  </conditionalFormatting>
  <conditionalFormatting sqref="S268">
    <cfRule type="containsText" dxfId="1598" priority="1885" operator="containsText" text="No se pudo ejecutar">
      <formula>NOT(ISERROR(SEARCH("No se pudo ejecutar",S268)))</formula>
    </cfRule>
    <cfRule type="containsText" dxfId="1597" priority="1886" operator="containsText" text="Pendiente">
      <formula>NOT(ISERROR(SEARCH("Pendiente",S268)))</formula>
    </cfRule>
    <cfRule type="containsText" dxfId="1596" priority="1887" operator="containsText" text="No Aplica">
      <formula>NOT(ISERROR(SEARCH("No Aplica",S268)))</formula>
    </cfRule>
    <cfRule type="containsText" dxfId="1595" priority="1888" operator="containsText" text="Fallido">
      <formula>NOT(ISERROR(SEARCH("Fallido",S268)))</formula>
    </cfRule>
    <cfRule type="containsText" dxfId="1594" priority="1889" operator="containsText" text="Éxitoso">
      <formula>NOT(ISERROR(SEARCH("Éxitoso",S268)))</formula>
    </cfRule>
  </conditionalFormatting>
  <conditionalFormatting sqref="T268">
    <cfRule type="containsText" dxfId="1593" priority="1880" operator="containsText" text="No se pudo ejecutar">
      <formula>NOT(ISERROR(SEARCH("No se pudo ejecutar",T268)))</formula>
    </cfRule>
    <cfRule type="containsText" dxfId="1592" priority="1881" operator="containsText" text="Pendiente">
      <formula>NOT(ISERROR(SEARCH("Pendiente",T268)))</formula>
    </cfRule>
    <cfRule type="containsText" dxfId="1591" priority="1882" operator="containsText" text="No Aplica">
      <formula>NOT(ISERROR(SEARCH("No Aplica",T268)))</formula>
    </cfRule>
    <cfRule type="containsText" dxfId="1590" priority="1883" operator="containsText" text="Fallido">
      <formula>NOT(ISERROR(SEARCH("Fallido",T268)))</formula>
    </cfRule>
    <cfRule type="containsText" dxfId="1589" priority="1884" operator="containsText" text="Éxitoso">
      <formula>NOT(ISERROR(SEARCH("Éxitoso",T268)))</formula>
    </cfRule>
  </conditionalFormatting>
  <conditionalFormatting sqref="U268">
    <cfRule type="containsText" dxfId="1588" priority="1875" operator="containsText" text="No se pudo ejecutar">
      <formula>NOT(ISERROR(SEARCH("No se pudo ejecutar",U268)))</formula>
    </cfRule>
    <cfRule type="containsText" dxfId="1587" priority="1876" operator="containsText" text="Pendiente">
      <formula>NOT(ISERROR(SEARCH("Pendiente",U268)))</formula>
    </cfRule>
    <cfRule type="containsText" dxfId="1586" priority="1877" operator="containsText" text="No Aplica">
      <formula>NOT(ISERROR(SEARCH("No Aplica",U268)))</formula>
    </cfRule>
    <cfRule type="containsText" dxfId="1585" priority="1878" operator="containsText" text="Fallido">
      <formula>NOT(ISERROR(SEARCH("Fallido",U268)))</formula>
    </cfRule>
    <cfRule type="containsText" dxfId="1584" priority="1879" operator="containsText" text="Éxitoso">
      <formula>NOT(ISERROR(SEARCH("Éxitoso",U268)))</formula>
    </cfRule>
  </conditionalFormatting>
  <conditionalFormatting sqref="V268">
    <cfRule type="containsText" dxfId="1583" priority="1870" operator="containsText" text="No se pudo ejecutar">
      <formula>NOT(ISERROR(SEARCH("No se pudo ejecutar",V268)))</formula>
    </cfRule>
    <cfRule type="containsText" dxfId="1582" priority="1871" operator="containsText" text="Pendiente">
      <formula>NOT(ISERROR(SEARCH("Pendiente",V268)))</formula>
    </cfRule>
    <cfRule type="containsText" dxfId="1581" priority="1872" operator="containsText" text="No Aplica">
      <formula>NOT(ISERROR(SEARCH("No Aplica",V268)))</formula>
    </cfRule>
    <cfRule type="containsText" dxfId="1580" priority="1873" operator="containsText" text="Fallido">
      <formula>NOT(ISERROR(SEARCH("Fallido",V268)))</formula>
    </cfRule>
    <cfRule type="containsText" dxfId="1579" priority="1874" operator="containsText" text="Éxitoso">
      <formula>NOT(ISERROR(SEARCH("Éxitoso",V268)))</formula>
    </cfRule>
  </conditionalFormatting>
  <conditionalFormatting sqref="W268">
    <cfRule type="containsText" dxfId="1578" priority="1865" operator="containsText" text="No se pudo ejecutar">
      <formula>NOT(ISERROR(SEARCH("No se pudo ejecutar",W268)))</formula>
    </cfRule>
    <cfRule type="containsText" dxfId="1577" priority="1866" operator="containsText" text="Pendiente">
      <formula>NOT(ISERROR(SEARCH("Pendiente",W268)))</formula>
    </cfRule>
    <cfRule type="containsText" dxfId="1576" priority="1867" operator="containsText" text="No Aplica">
      <formula>NOT(ISERROR(SEARCH("No Aplica",W268)))</formula>
    </cfRule>
    <cfRule type="containsText" dxfId="1575" priority="1868" operator="containsText" text="Fallido">
      <formula>NOT(ISERROR(SEARCH("Fallido",W268)))</formula>
    </cfRule>
    <cfRule type="containsText" dxfId="1574" priority="1869" operator="containsText" text="Éxitoso">
      <formula>NOT(ISERROR(SEARCH("Éxitoso",W268)))</formula>
    </cfRule>
  </conditionalFormatting>
  <conditionalFormatting sqref="M268">
    <cfRule type="containsText" dxfId="1573" priority="1860" operator="containsText" text="No se pudo ejecutar">
      <formula>NOT(ISERROR(SEARCH("No se pudo ejecutar",M268)))</formula>
    </cfRule>
    <cfRule type="containsText" dxfId="1572" priority="1861" operator="containsText" text="Pendiente">
      <formula>NOT(ISERROR(SEARCH("Pendiente",M268)))</formula>
    </cfRule>
    <cfRule type="containsText" dxfId="1571" priority="1862" operator="containsText" text="No Aplica">
      <formula>NOT(ISERROR(SEARCH("No Aplica",M268)))</formula>
    </cfRule>
    <cfRule type="containsText" dxfId="1570" priority="1863" operator="containsText" text="Fallido">
      <formula>NOT(ISERROR(SEARCH("Fallido",M268)))</formula>
    </cfRule>
    <cfRule type="containsText" dxfId="1569" priority="1864" operator="containsText" text="Éxitoso">
      <formula>NOT(ISERROR(SEARCH("Éxitoso",M268)))</formula>
    </cfRule>
  </conditionalFormatting>
  <conditionalFormatting sqref="G268">
    <cfRule type="containsText" dxfId="1568" priority="1857" operator="containsText" text="Bajo">
      <formula>NOT(ISERROR(SEARCH("Bajo",G268)))</formula>
    </cfRule>
    <cfRule type="containsText" dxfId="1567" priority="1858" operator="containsText" text="Medio">
      <formula>NOT(ISERROR(SEARCH("Medio",G268)))</formula>
    </cfRule>
    <cfRule type="containsText" dxfId="1566" priority="1859" operator="containsText" text="Alto">
      <formula>NOT(ISERROR(SEARCH("Alto",G268)))</formula>
    </cfRule>
  </conditionalFormatting>
  <conditionalFormatting sqref="N269">
    <cfRule type="containsText" dxfId="1565" priority="1852" operator="containsText" text="No se pudo ejecutar">
      <formula>NOT(ISERROR(SEARCH("No se pudo ejecutar",N269)))</formula>
    </cfRule>
    <cfRule type="containsText" dxfId="1564" priority="1853" operator="containsText" text="Pendiente">
      <formula>NOT(ISERROR(SEARCH("Pendiente",N269)))</formula>
    </cfRule>
    <cfRule type="containsText" dxfId="1563" priority="1854" operator="containsText" text="No Aplica">
      <formula>NOT(ISERROR(SEARCH("No Aplica",N269)))</formula>
    </cfRule>
    <cfRule type="containsText" dxfId="1562" priority="1855" operator="containsText" text="Fallido">
      <formula>NOT(ISERROR(SEARCH("Fallido",N269)))</formula>
    </cfRule>
    <cfRule type="containsText" dxfId="1561" priority="1856" operator="containsText" text="Éxitoso">
      <formula>NOT(ISERROR(SEARCH("Éxitoso",N269)))</formula>
    </cfRule>
  </conditionalFormatting>
  <conditionalFormatting sqref="O269">
    <cfRule type="containsText" dxfId="1560" priority="1847" operator="containsText" text="No se pudo ejecutar">
      <formula>NOT(ISERROR(SEARCH("No se pudo ejecutar",O269)))</formula>
    </cfRule>
    <cfRule type="containsText" dxfId="1559" priority="1848" operator="containsText" text="Pendiente">
      <formula>NOT(ISERROR(SEARCH("Pendiente",O269)))</formula>
    </cfRule>
    <cfRule type="containsText" dxfId="1558" priority="1849" operator="containsText" text="No Aplica">
      <formula>NOT(ISERROR(SEARCH("No Aplica",O269)))</formula>
    </cfRule>
    <cfRule type="containsText" dxfId="1557" priority="1850" operator="containsText" text="Fallido">
      <formula>NOT(ISERROR(SEARCH("Fallido",O269)))</formula>
    </cfRule>
    <cfRule type="containsText" dxfId="1556" priority="1851" operator="containsText" text="Éxitoso">
      <formula>NOT(ISERROR(SEARCH("Éxitoso",O269)))</formula>
    </cfRule>
  </conditionalFormatting>
  <conditionalFormatting sqref="P269">
    <cfRule type="containsText" dxfId="1555" priority="1842" operator="containsText" text="No se pudo ejecutar">
      <formula>NOT(ISERROR(SEARCH("No se pudo ejecutar",P269)))</formula>
    </cfRule>
    <cfRule type="containsText" dxfId="1554" priority="1843" operator="containsText" text="Pendiente">
      <formula>NOT(ISERROR(SEARCH("Pendiente",P269)))</formula>
    </cfRule>
    <cfRule type="containsText" dxfId="1553" priority="1844" operator="containsText" text="No Aplica">
      <formula>NOT(ISERROR(SEARCH("No Aplica",P269)))</formula>
    </cfRule>
    <cfRule type="containsText" dxfId="1552" priority="1845" operator="containsText" text="Fallido">
      <formula>NOT(ISERROR(SEARCH("Fallido",P269)))</formula>
    </cfRule>
    <cfRule type="containsText" dxfId="1551" priority="1846" operator="containsText" text="Éxitoso">
      <formula>NOT(ISERROR(SEARCH("Éxitoso",P269)))</formula>
    </cfRule>
  </conditionalFormatting>
  <conditionalFormatting sqref="Q269">
    <cfRule type="containsText" dxfId="1550" priority="1837" operator="containsText" text="No se pudo ejecutar">
      <formula>NOT(ISERROR(SEARCH("No se pudo ejecutar",Q269)))</formula>
    </cfRule>
    <cfRule type="containsText" dxfId="1549" priority="1838" operator="containsText" text="Pendiente">
      <formula>NOT(ISERROR(SEARCH("Pendiente",Q269)))</formula>
    </cfRule>
    <cfRule type="containsText" dxfId="1548" priority="1839" operator="containsText" text="No Aplica">
      <formula>NOT(ISERROR(SEARCH("No Aplica",Q269)))</formula>
    </cfRule>
    <cfRule type="containsText" dxfId="1547" priority="1840" operator="containsText" text="Fallido">
      <formula>NOT(ISERROR(SEARCH("Fallido",Q269)))</formula>
    </cfRule>
    <cfRule type="containsText" dxfId="1546" priority="1841" operator="containsText" text="Éxitoso">
      <formula>NOT(ISERROR(SEARCH("Éxitoso",Q269)))</formula>
    </cfRule>
  </conditionalFormatting>
  <conditionalFormatting sqref="R269">
    <cfRule type="containsText" dxfId="1545" priority="1832" operator="containsText" text="No se pudo ejecutar">
      <formula>NOT(ISERROR(SEARCH("No se pudo ejecutar",R269)))</formula>
    </cfRule>
    <cfRule type="containsText" dxfId="1544" priority="1833" operator="containsText" text="Pendiente">
      <formula>NOT(ISERROR(SEARCH("Pendiente",R269)))</formula>
    </cfRule>
    <cfRule type="containsText" dxfId="1543" priority="1834" operator="containsText" text="No Aplica">
      <formula>NOT(ISERROR(SEARCH("No Aplica",R269)))</formula>
    </cfRule>
    <cfRule type="containsText" dxfId="1542" priority="1835" operator="containsText" text="Fallido">
      <formula>NOT(ISERROR(SEARCH("Fallido",R269)))</formula>
    </cfRule>
    <cfRule type="containsText" dxfId="1541" priority="1836" operator="containsText" text="Éxitoso">
      <formula>NOT(ISERROR(SEARCH("Éxitoso",R269)))</formula>
    </cfRule>
  </conditionalFormatting>
  <conditionalFormatting sqref="S269">
    <cfRule type="containsText" dxfId="1540" priority="1827" operator="containsText" text="No se pudo ejecutar">
      <formula>NOT(ISERROR(SEARCH("No se pudo ejecutar",S269)))</formula>
    </cfRule>
    <cfRule type="containsText" dxfId="1539" priority="1828" operator="containsText" text="Pendiente">
      <formula>NOT(ISERROR(SEARCH("Pendiente",S269)))</formula>
    </cfRule>
    <cfRule type="containsText" dxfId="1538" priority="1829" operator="containsText" text="No Aplica">
      <formula>NOT(ISERROR(SEARCH("No Aplica",S269)))</formula>
    </cfRule>
    <cfRule type="containsText" dxfId="1537" priority="1830" operator="containsText" text="Fallido">
      <formula>NOT(ISERROR(SEARCH("Fallido",S269)))</formula>
    </cfRule>
    <cfRule type="containsText" dxfId="1536" priority="1831" operator="containsText" text="Éxitoso">
      <formula>NOT(ISERROR(SEARCH("Éxitoso",S269)))</formula>
    </cfRule>
  </conditionalFormatting>
  <conditionalFormatting sqref="T269">
    <cfRule type="containsText" dxfId="1535" priority="1822" operator="containsText" text="No se pudo ejecutar">
      <formula>NOT(ISERROR(SEARCH("No se pudo ejecutar",T269)))</formula>
    </cfRule>
    <cfRule type="containsText" dxfId="1534" priority="1823" operator="containsText" text="Pendiente">
      <formula>NOT(ISERROR(SEARCH("Pendiente",T269)))</formula>
    </cfRule>
    <cfRule type="containsText" dxfId="1533" priority="1824" operator="containsText" text="No Aplica">
      <formula>NOT(ISERROR(SEARCH("No Aplica",T269)))</formula>
    </cfRule>
    <cfRule type="containsText" dxfId="1532" priority="1825" operator="containsText" text="Fallido">
      <formula>NOT(ISERROR(SEARCH("Fallido",T269)))</formula>
    </cfRule>
    <cfRule type="containsText" dxfId="1531" priority="1826" operator="containsText" text="Éxitoso">
      <formula>NOT(ISERROR(SEARCH("Éxitoso",T269)))</formula>
    </cfRule>
  </conditionalFormatting>
  <conditionalFormatting sqref="U269">
    <cfRule type="containsText" dxfId="1530" priority="1817" operator="containsText" text="No se pudo ejecutar">
      <formula>NOT(ISERROR(SEARCH("No se pudo ejecutar",U269)))</formula>
    </cfRule>
    <cfRule type="containsText" dxfId="1529" priority="1818" operator="containsText" text="Pendiente">
      <formula>NOT(ISERROR(SEARCH("Pendiente",U269)))</formula>
    </cfRule>
    <cfRule type="containsText" dxfId="1528" priority="1819" operator="containsText" text="No Aplica">
      <formula>NOT(ISERROR(SEARCH("No Aplica",U269)))</formula>
    </cfRule>
    <cfRule type="containsText" dxfId="1527" priority="1820" operator="containsText" text="Fallido">
      <formula>NOT(ISERROR(SEARCH("Fallido",U269)))</formula>
    </cfRule>
    <cfRule type="containsText" dxfId="1526" priority="1821" operator="containsText" text="Éxitoso">
      <formula>NOT(ISERROR(SEARCH("Éxitoso",U269)))</formula>
    </cfRule>
  </conditionalFormatting>
  <conditionalFormatting sqref="V269">
    <cfRule type="containsText" dxfId="1525" priority="1812" operator="containsText" text="No se pudo ejecutar">
      <formula>NOT(ISERROR(SEARCH("No se pudo ejecutar",V269)))</formula>
    </cfRule>
    <cfRule type="containsText" dxfId="1524" priority="1813" operator="containsText" text="Pendiente">
      <formula>NOT(ISERROR(SEARCH("Pendiente",V269)))</formula>
    </cfRule>
    <cfRule type="containsText" dxfId="1523" priority="1814" operator="containsText" text="No Aplica">
      <formula>NOT(ISERROR(SEARCH("No Aplica",V269)))</formula>
    </cfRule>
    <cfRule type="containsText" dxfId="1522" priority="1815" operator="containsText" text="Fallido">
      <formula>NOT(ISERROR(SEARCH("Fallido",V269)))</formula>
    </cfRule>
    <cfRule type="containsText" dxfId="1521" priority="1816" operator="containsText" text="Éxitoso">
      <formula>NOT(ISERROR(SEARCH("Éxitoso",V269)))</formula>
    </cfRule>
  </conditionalFormatting>
  <conditionalFormatting sqref="W269">
    <cfRule type="containsText" dxfId="1520" priority="1807" operator="containsText" text="No se pudo ejecutar">
      <formula>NOT(ISERROR(SEARCH("No se pudo ejecutar",W269)))</formula>
    </cfRule>
    <cfRule type="containsText" dxfId="1519" priority="1808" operator="containsText" text="Pendiente">
      <formula>NOT(ISERROR(SEARCH("Pendiente",W269)))</formula>
    </cfRule>
    <cfRule type="containsText" dxfId="1518" priority="1809" operator="containsText" text="No Aplica">
      <formula>NOT(ISERROR(SEARCH("No Aplica",W269)))</formula>
    </cfRule>
    <cfRule type="containsText" dxfId="1517" priority="1810" operator="containsText" text="Fallido">
      <formula>NOT(ISERROR(SEARCH("Fallido",W269)))</formula>
    </cfRule>
    <cfRule type="containsText" dxfId="1516" priority="1811" operator="containsText" text="Éxitoso">
      <formula>NOT(ISERROR(SEARCH("Éxitoso",W269)))</formula>
    </cfRule>
  </conditionalFormatting>
  <conditionalFormatting sqref="M269">
    <cfRule type="containsText" dxfId="1515" priority="1802" operator="containsText" text="No se pudo ejecutar">
      <formula>NOT(ISERROR(SEARCH("No se pudo ejecutar",M269)))</formula>
    </cfRule>
    <cfRule type="containsText" dxfId="1514" priority="1803" operator="containsText" text="Pendiente">
      <formula>NOT(ISERROR(SEARCH("Pendiente",M269)))</formula>
    </cfRule>
    <cfRule type="containsText" dxfId="1513" priority="1804" operator="containsText" text="No Aplica">
      <formula>NOT(ISERROR(SEARCH("No Aplica",M269)))</formula>
    </cfRule>
    <cfRule type="containsText" dxfId="1512" priority="1805" operator="containsText" text="Fallido">
      <formula>NOT(ISERROR(SEARCH("Fallido",M269)))</formula>
    </cfRule>
    <cfRule type="containsText" dxfId="1511" priority="1806" operator="containsText" text="Éxitoso">
      <formula>NOT(ISERROR(SEARCH("Éxitoso",M269)))</formula>
    </cfRule>
  </conditionalFormatting>
  <conditionalFormatting sqref="G269">
    <cfRule type="containsText" dxfId="1510" priority="1799" operator="containsText" text="Bajo">
      <formula>NOT(ISERROR(SEARCH("Bajo",G269)))</formula>
    </cfRule>
    <cfRule type="containsText" dxfId="1509" priority="1800" operator="containsText" text="Medio">
      <formula>NOT(ISERROR(SEARCH("Medio",G269)))</formula>
    </cfRule>
    <cfRule type="containsText" dxfId="1508" priority="1801" operator="containsText" text="Alto">
      <formula>NOT(ISERROR(SEARCH("Alto",G269)))</formula>
    </cfRule>
  </conditionalFormatting>
  <conditionalFormatting sqref="N270">
    <cfRule type="containsText" dxfId="1507" priority="1794" operator="containsText" text="No se pudo ejecutar">
      <formula>NOT(ISERROR(SEARCH("No se pudo ejecutar",N270)))</formula>
    </cfRule>
    <cfRule type="containsText" dxfId="1506" priority="1795" operator="containsText" text="Pendiente">
      <formula>NOT(ISERROR(SEARCH("Pendiente",N270)))</formula>
    </cfRule>
    <cfRule type="containsText" dxfId="1505" priority="1796" operator="containsText" text="No Aplica">
      <formula>NOT(ISERROR(SEARCH("No Aplica",N270)))</formula>
    </cfRule>
    <cfRule type="containsText" dxfId="1504" priority="1797" operator="containsText" text="Fallido">
      <formula>NOT(ISERROR(SEARCH("Fallido",N270)))</formula>
    </cfRule>
    <cfRule type="containsText" dxfId="1503" priority="1798" operator="containsText" text="Éxitoso">
      <formula>NOT(ISERROR(SEARCH("Éxitoso",N270)))</formula>
    </cfRule>
  </conditionalFormatting>
  <conditionalFormatting sqref="O270">
    <cfRule type="containsText" dxfId="1502" priority="1789" operator="containsText" text="No se pudo ejecutar">
      <formula>NOT(ISERROR(SEARCH("No se pudo ejecutar",O270)))</formula>
    </cfRule>
    <cfRule type="containsText" dxfId="1501" priority="1790" operator="containsText" text="Pendiente">
      <formula>NOT(ISERROR(SEARCH("Pendiente",O270)))</formula>
    </cfRule>
    <cfRule type="containsText" dxfId="1500" priority="1791" operator="containsText" text="No Aplica">
      <formula>NOT(ISERROR(SEARCH("No Aplica",O270)))</formula>
    </cfRule>
    <cfRule type="containsText" dxfId="1499" priority="1792" operator="containsText" text="Fallido">
      <formula>NOT(ISERROR(SEARCH("Fallido",O270)))</formula>
    </cfRule>
    <cfRule type="containsText" dxfId="1498" priority="1793" operator="containsText" text="Éxitoso">
      <formula>NOT(ISERROR(SEARCH("Éxitoso",O270)))</formula>
    </cfRule>
  </conditionalFormatting>
  <conditionalFormatting sqref="P270">
    <cfRule type="containsText" dxfId="1497" priority="1784" operator="containsText" text="No se pudo ejecutar">
      <formula>NOT(ISERROR(SEARCH("No se pudo ejecutar",P270)))</formula>
    </cfRule>
    <cfRule type="containsText" dxfId="1496" priority="1785" operator="containsText" text="Pendiente">
      <formula>NOT(ISERROR(SEARCH("Pendiente",P270)))</formula>
    </cfRule>
    <cfRule type="containsText" dxfId="1495" priority="1786" operator="containsText" text="No Aplica">
      <formula>NOT(ISERROR(SEARCH("No Aplica",P270)))</formula>
    </cfRule>
    <cfRule type="containsText" dxfId="1494" priority="1787" operator="containsText" text="Fallido">
      <formula>NOT(ISERROR(SEARCH("Fallido",P270)))</formula>
    </cfRule>
    <cfRule type="containsText" dxfId="1493" priority="1788" operator="containsText" text="Éxitoso">
      <formula>NOT(ISERROR(SEARCH("Éxitoso",P270)))</formula>
    </cfRule>
  </conditionalFormatting>
  <conditionalFormatting sqref="Q270">
    <cfRule type="containsText" dxfId="1492" priority="1779" operator="containsText" text="No se pudo ejecutar">
      <formula>NOT(ISERROR(SEARCH("No se pudo ejecutar",Q270)))</formula>
    </cfRule>
    <cfRule type="containsText" dxfId="1491" priority="1780" operator="containsText" text="Pendiente">
      <formula>NOT(ISERROR(SEARCH("Pendiente",Q270)))</formula>
    </cfRule>
    <cfRule type="containsText" dxfId="1490" priority="1781" operator="containsText" text="No Aplica">
      <formula>NOT(ISERROR(SEARCH("No Aplica",Q270)))</formula>
    </cfRule>
    <cfRule type="containsText" dxfId="1489" priority="1782" operator="containsText" text="Fallido">
      <formula>NOT(ISERROR(SEARCH("Fallido",Q270)))</formula>
    </cfRule>
    <cfRule type="containsText" dxfId="1488" priority="1783" operator="containsText" text="Éxitoso">
      <formula>NOT(ISERROR(SEARCH("Éxitoso",Q270)))</formula>
    </cfRule>
  </conditionalFormatting>
  <conditionalFormatting sqref="R270">
    <cfRule type="containsText" dxfId="1487" priority="1774" operator="containsText" text="No se pudo ejecutar">
      <formula>NOT(ISERROR(SEARCH("No se pudo ejecutar",R270)))</formula>
    </cfRule>
    <cfRule type="containsText" dxfId="1486" priority="1775" operator="containsText" text="Pendiente">
      <formula>NOT(ISERROR(SEARCH("Pendiente",R270)))</formula>
    </cfRule>
    <cfRule type="containsText" dxfId="1485" priority="1776" operator="containsText" text="No Aplica">
      <formula>NOT(ISERROR(SEARCH("No Aplica",R270)))</formula>
    </cfRule>
    <cfRule type="containsText" dxfId="1484" priority="1777" operator="containsText" text="Fallido">
      <formula>NOT(ISERROR(SEARCH("Fallido",R270)))</formula>
    </cfRule>
    <cfRule type="containsText" dxfId="1483" priority="1778" operator="containsText" text="Éxitoso">
      <formula>NOT(ISERROR(SEARCH("Éxitoso",R270)))</formula>
    </cfRule>
  </conditionalFormatting>
  <conditionalFormatting sqref="S270">
    <cfRule type="containsText" dxfId="1482" priority="1769" operator="containsText" text="No se pudo ejecutar">
      <formula>NOT(ISERROR(SEARCH("No se pudo ejecutar",S270)))</formula>
    </cfRule>
    <cfRule type="containsText" dxfId="1481" priority="1770" operator="containsText" text="Pendiente">
      <formula>NOT(ISERROR(SEARCH("Pendiente",S270)))</formula>
    </cfRule>
    <cfRule type="containsText" dxfId="1480" priority="1771" operator="containsText" text="No Aplica">
      <formula>NOT(ISERROR(SEARCH("No Aplica",S270)))</formula>
    </cfRule>
    <cfRule type="containsText" dxfId="1479" priority="1772" operator="containsText" text="Fallido">
      <formula>NOT(ISERROR(SEARCH("Fallido",S270)))</formula>
    </cfRule>
    <cfRule type="containsText" dxfId="1478" priority="1773" operator="containsText" text="Éxitoso">
      <formula>NOT(ISERROR(SEARCH("Éxitoso",S270)))</formula>
    </cfRule>
  </conditionalFormatting>
  <conditionalFormatting sqref="T270">
    <cfRule type="containsText" dxfId="1477" priority="1764" operator="containsText" text="No se pudo ejecutar">
      <formula>NOT(ISERROR(SEARCH("No se pudo ejecutar",T270)))</formula>
    </cfRule>
    <cfRule type="containsText" dxfId="1476" priority="1765" operator="containsText" text="Pendiente">
      <formula>NOT(ISERROR(SEARCH("Pendiente",T270)))</formula>
    </cfRule>
    <cfRule type="containsText" dxfId="1475" priority="1766" operator="containsText" text="No Aplica">
      <formula>NOT(ISERROR(SEARCH("No Aplica",T270)))</formula>
    </cfRule>
    <cfRule type="containsText" dxfId="1474" priority="1767" operator="containsText" text="Fallido">
      <formula>NOT(ISERROR(SEARCH("Fallido",T270)))</formula>
    </cfRule>
    <cfRule type="containsText" dxfId="1473" priority="1768" operator="containsText" text="Éxitoso">
      <formula>NOT(ISERROR(SEARCH("Éxitoso",T270)))</formula>
    </cfRule>
  </conditionalFormatting>
  <conditionalFormatting sqref="U270">
    <cfRule type="containsText" dxfId="1472" priority="1759" operator="containsText" text="No se pudo ejecutar">
      <formula>NOT(ISERROR(SEARCH("No se pudo ejecutar",U270)))</formula>
    </cfRule>
    <cfRule type="containsText" dxfId="1471" priority="1760" operator="containsText" text="Pendiente">
      <formula>NOT(ISERROR(SEARCH("Pendiente",U270)))</formula>
    </cfRule>
    <cfRule type="containsText" dxfId="1470" priority="1761" operator="containsText" text="No Aplica">
      <formula>NOT(ISERROR(SEARCH("No Aplica",U270)))</formula>
    </cfRule>
    <cfRule type="containsText" dxfId="1469" priority="1762" operator="containsText" text="Fallido">
      <formula>NOT(ISERROR(SEARCH("Fallido",U270)))</formula>
    </cfRule>
    <cfRule type="containsText" dxfId="1468" priority="1763" operator="containsText" text="Éxitoso">
      <formula>NOT(ISERROR(SEARCH("Éxitoso",U270)))</formula>
    </cfRule>
  </conditionalFormatting>
  <conditionalFormatting sqref="V270">
    <cfRule type="containsText" dxfId="1467" priority="1754" operator="containsText" text="No se pudo ejecutar">
      <formula>NOT(ISERROR(SEARCH("No se pudo ejecutar",V270)))</formula>
    </cfRule>
    <cfRule type="containsText" dxfId="1466" priority="1755" operator="containsText" text="Pendiente">
      <formula>NOT(ISERROR(SEARCH("Pendiente",V270)))</formula>
    </cfRule>
    <cfRule type="containsText" dxfId="1465" priority="1756" operator="containsText" text="No Aplica">
      <formula>NOT(ISERROR(SEARCH("No Aplica",V270)))</formula>
    </cfRule>
    <cfRule type="containsText" dxfId="1464" priority="1757" operator="containsText" text="Fallido">
      <formula>NOT(ISERROR(SEARCH("Fallido",V270)))</formula>
    </cfRule>
    <cfRule type="containsText" dxfId="1463" priority="1758" operator="containsText" text="Éxitoso">
      <formula>NOT(ISERROR(SEARCH("Éxitoso",V270)))</formula>
    </cfRule>
  </conditionalFormatting>
  <conditionalFormatting sqref="W270">
    <cfRule type="containsText" dxfId="1462" priority="1749" operator="containsText" text="No se pudo ejecutar">
      <formula>NOT(ISERROR(SEARCH("No se pudo ejecutar",W270)))</formula>
    </cfRule>
    <cfRule type="containsText" dxfId="1461" priority="1750" operator="containsText" text="Pendiente">
      <formula>NOT(ISERROR(SEARCH("Pendiente",W270)))</formula>
    </cfRule>
    <cfRule type="containsText" dxfId="1460" priority="1751" operator="containsText" text="No Aplica">
      <formula>NOT(ISERROR(SEARCH("No Aplica",W270)))</formula>
    </cfRule>
    <cfRule type="containsText" dxfId="1459" priority="1752" operator="containsText" text="Fallido">
      <formula>NOT(ISERROR(SEARCH("Fallido",W270)))</formula>
    </cfRule>
    <cfRule type="containsText" dxfId="1458" priority="1753" operator="containsText" text="Éxitoso">
      <formula>NOT(ISERROR(SEARCH("Éxitoso",W270)))</formula>
    </cfRule>
  </conditionalFormatting>
  <conditionalFormatting sqref="M270">
    <cfRule type="containsText" dxfId="1457" priority="1744" operator="containsText" text="No se pudo ejecutar">
      <formula>NOT(ISERROR(SEARCH("No se pudo ejecutar",M270)))</formula>
    </cfRule>
    <cfRule type="containsText" dxfId="1456" priority="1745" operator="containsText" text="Pendiente">
      <formula>NOT(ISERROR(SEARCH("Pendiente",M270)))</formula>
    </cfRule>
    <cfRule type="containsText" dxfId="1455" priority="1746" operator="containsText" text="No Aplica">
      <formula>NOT(ISERROR(SEARCH("No Aplica",M270)))</formula>
    </cfRule>
    <cfRule type="containsText" dxfId="1454" priority="1747" operator="containsText" text="Fallido">
      <formula>NOT(ISERROR(SEARCH("Fallido",M270)))</formula>
    </cfRule>
    <cfRule type="containsText" dxfId="1453" priority="1748" operator="containsText" text="Éxitoso">
      <formula>NOT(ISERROR(SEARCH("Éxitoso",M270)))</formula>
    </cfRule>
  </conditionalFormatting>
  <conditionalFormatting sqref="G270">
    <cfRule type="containsText" dxfId="1452" priority="1741" operator="containsText" text="Bajo">
      <formula>NOT(ISERROR(SEARCH("Bajo",G270)))</formula>
    </cfRule>
    <cfRule type="containsText" dxfId="1451" priority="1742" operator="containsText" text="Medio">
      <formula>NOT(ISERROR(SEARCH("Medio",G270)))</formula>
    </cfRule>
    <cfRule type="containsText" dxfId="1450" priority="1743" operator="containsText" text="Alto">
      <formula>NOT(ISERROR(SEARCH("Alto",G270)))</formula>
    </cfRule>
  </conditionalFormatting>
  <conditionalFormatting sqref="N271">
    <cfRule type="containsText" dxfId="1449" priority="1736" operator="containsText" text="No se pudo ejecutar">
      <formula>NOT(ISERROR(SEARCH("No se pudo ejecutar",N271)))</formula>
    </cfRule>
    <cfRule type="containsText" dxfId="1448" priority="1737" operator="containsText" text="Pendiente">
      <formula>NOT(ISERROR(SEARCH("Pendiente",N271)))</formula>
    </cfRule>
    <cfRule type="containsText" dxfId="1447" priority="1738" operator="containsText" text="No Aplica">
      <formula>NOT(ISERROR(SEARCH("No Aplica",N271)))</formula>
    </cfRule>
    <cfRule type="containsText" dxfId="1446" priority="1739" operator="containsText" text="Fallido">
      <formula>NOT(ISERROR(SEARCH("Fallido",N271)))</formula>
    </cfRule>
    <cfRule type="containsText" dxfId="1445" priority="1740" operator="containsText" text="Éxitoso">
      <formula>NOT(ISERROR(SEARCH("Éxitoso",N271)))</formula>
    </cfRule>
  </conditionalFormatting>
  <conditionalFormatting sqref="O271">
    <cfRule type="containsText" dxfId="1444" priority="1731" operator="containsText" text="No se pudo ejecutar">
      <formula>NOT(ISERROR(SEARCH("No se pudo ejecutar",O271)))</formula>
    </cfRule>
    <cfRule type="containsText" dxfId="1443" priority="1732" operator="containsText" text="Pendiente">
      <formula>NOT(ISERROR(SEARCH("Pendiente",O271)))</formula>
    </cfRule>
    <cfRule type="containsText" dxfId="1442" priority="1733" operator="containsText" text="No Aplica">
      <formula>NOT(ISERROR(SEARCH("No Aplica",O271)))</formula>
    </cfRule>
    <cfRule type="containsText" dxfId="1441" priority="1734" operator="containsText" text="Fallido">
      <formula>NOT(ISERROR(SEARCH("Fallido",O271)))</formula>
    </cfRule>
    <cfRule type="containsText" dxfId="1440" priority="1735" operator="containsText" text="Éxitoso">
      <formula>NOT(ISERROR(SEARCH("Éxitoso",O271)))</formula>
    </cfRule>
  </conditionalFormatting>
  <conditionalFormatting sqref="P271">
    <cfRule type="containsText" dxfId="1439" priority="1726" operator="containsText" text="No se pudo ejecutar">
      <formula>NOT(ISERROR(SEARCH("No se pudo ejecutar",P271)))</formula>
    </cfRule>
    <cfRule type="containsText" dxfId="1438" priority="1727" operator="containsText" text="Pendiente">
      <formula>NOT(ISERROR(SEARCH("Pendiente",P271)))</formula>
    </cfRule>
    <cfRule type="containsText" dxfId="1437" priority="1728" operator="containsText" text="No Aplica">
      <formula>NOT(ISERROR(SEARCH("No Aplica",P271)))</formula>
    </cfRule>
    <cfRule type="containsText" dxfId="1436" priority="1729" operator="containsText" text="Fallido">
      <formula>NOT(ISERROR(SEARCH("Fallido",P271)))</formula>
    </cfRule>
    <cfRule type="containsText" dxfId="1435" priority="1730" operator="containsText" text="Éxitoso">
      <formula>NOT(ISERROR(SEARCH("Éxitoso",P271)))</formula>
    </cfRule>
  </conditionalFormatting>
  <conditionalFormatting sqref="Q271">
    <cfRule type="containsText" dxfId="1434" priority="1721" operator="containsText" text="No se pudo ejecutar">
      <formula>NOT(ISERROR(SEARCH("No se pudo ejecutar",Q271)))</formula>
    </cfRule>
    <cfRule type="containsText" dxfId="1433" priority="1722" operator="containsText" text="Pendiente">
      <formula>NOT(ISERROR(SEARCH("Pendiente",Q271)))</formula>
    </cfRule>
    <cfRule type="containsText" dxfId="1432" priority="1723" operator="containsText" text="No Aplica">
      <formula>NOT(ISERROR(SEARCH("No Aplica",Q271)))</formula>
    </cfRule>
    <cfRule type="containsText" dxfId="1431" priority="1724" operator="containsText" text="Fallido">
      <formula>NOT(ISERROR(SEARCH("Fallido",Q271)))</formula>
    </cfRule>
    <cfRule type="containsText" dxfId="1430" priority="1725" operator="containsText" text="Éxitoso">
      <formula>NOT(ISERROR(SEARCH("Éxitoso",Q271)))</formula>
    </cfRule>
  </conditionalFormatting>
  <conditionalFormatting sqref="R271">
    <cfRule type="containsText" dxfId="1429" priority="1716" operator="containsText" text="No se pudo ejecutar">
      <formula>NOT(ISERROR(SEARCH("No se pudo ejecutar",R271)))</formula>
    </cfRule>
    <cfRule type="containsText" dxfId="1428" priority="1717" operator="containsText" text="Pendiente">
      <formula>NOT(ISERROR(SEARCH("Pendiente",R271)))</formula>
    </cfRule>
    <cfRule type="containsText" dxfId="1427" priority="1718" operator="containsText" text="No Aplica">
      <formula>NOT(ISERROR(SEARCH("No Aplica",R271)))</formula>
    </cfRule>
    <cfRule type="containsText" dxfId="1426" priority="1719" operator="containsText" text="Fallido">
      <formula>NOT(ISERROR(SEARCH("Fallido",R271)))</formula>
    </cfRule>
    <cfRule type="containsText" dxfId="1425" priority="1720" operator="containsText" text="Éxitoso">
      <formula>NOT(ISERROR(SEARCH("Éxitoso",R271)))</formula>
    </cfRule>
  </conditionalFormatting>
  <conditionalFormatting sqref="S271">
    <cfRule type="containsText" dxfId="1424" priority="1711" operator="containsText" text="No se pudo ejecutar">
      <formula>NOT(ISERROR(SEARCH("No se pudo ejecutar",S271)))</formula>
    </cfRule>
    <cfRule type="containsText" dxfId="1423" priority="1712" operator="containsText" text="Pendiente">
      <formula>NOT(ISERROR(SEARCH("Pendiente",S271)))</formula>
    </cfRule>
    <cfRule type="containsText" dxfId="1422" priority="1713" operator="containsText" text="No Aplica">
      <formula>NOT(ISERROR(SEARCH("No Aplica",S271)))</formula>
    </cfRule>
    <cfRule type="containsText" dxfId="1421" priority="1714" operator="containsText" text="Fallido">
      <formula>NOT(ISERROR(SEARCH("Fallido",S271)))</formula>
    </cfRule>
    <cfRule type="containsText" dxfId="1420" priority="1715" operator="containsText" text="Éxitoso">
      <formula>NOT(ISERROR(SEARCH("Éxitoso",S271)))</formula>
    </cfRule>
  </conditionalFormatting>
  <conditionalFormatting sqref="T271">
    <cfRule type="containsText" dxfId="1419" priority="1706" operator="containsText" text="No se pudo ejecutar">
      <formula>NOT(ISERROR(SEARCH("No se pudo ejecutar",T271)))</formula>
    </cfRule>
    <cfRule type="containsText" dxfId="1418" priority="1707" operator="containsText" text="Pendiente">
      <formula>NOT(ISERROR(SEARCH("Pendiente",T271)))</formula>
    </cfRule>
    <cfRule type="containsText" dxfId="1417" priority="1708" operator="containsText" text="No Aplica">
      <formula>NOT(ISERROR(SEARCH("No Aplica",T271)))</formula>
    </cfRule>
    <cfRule type="containsText" dxfId="1416" priority="1709" operator="containsText" text="Fallido">
      <formula>NOT(ISERROR(SEARCH("Fallido",T271)))</formula>
    </cfRule>
    <cfRule type="containsText" dxfId="1415" priority="1710" operator="containsText" text="Éxitoso">
      <formula>NOT(ISERROR(SEARCH("Éxitoso",T271)))</formula>
    </cfRule>
  </conditionalFormatting>
  <conditionalFormatting sqref="U271">
    <cfRule type="containsText" dxfId="1414" priority="1701" operator="containsText" text="No se pudo ejecutar">
      <formula>NOT(ISERROR(SEARCH("No se pudo ejecutar",U271)))</formula>
    </cfRule>
    <cfRule type="containsText" dxfId="1413" priority="1702" operator="containsText" text="Pendiente">
      <formula>NOT(ISERROR(SEARCH("Pendiente",U271)))</formula>
    </cfRule>
    <cfRule type="containsText" dxfId="1412" priority="1703" operator="containsText" text="No Aplica">
      <formula>NOT(ISERROR(SEARCH("No Aplica",U271)))</formula>
    </cfRule>
    <cfRule type="containsText" dxfId="1411" priority="1704" operator="containsText" text="Fallido">
      <formula>NOT(ISERROR(SEARCH("Fallido",U271)))</formula>
    </cfRule>
    <cfRule type="containsText" dxfId="1410" priority="1705" operator="containsText" text="Éxitoso">
      <formula>NOT(ISERROR(SEARCH("Éxitoso",U271)))</formula>
    </cfRule>
  </conditionalFormatting>
  <conditionalFormatting sqref="V271">
    <cfRule type="containsText" dxfId="1409" priority="1696" operator="containsText" text="No se pudo ejecutar">
      <formula>NOT(ISERROR(SEARCH("No se pudo ejecutar",V271)))</formula>
    </cfRule>
    <cfRule type="containsText" dxfId="1408" priority="1697" operator="containsText" text="Pendiente">
      <formula>NOT(ISERROR(SEARCH("Pendiente",V271)))</formula>
    </cfRule>
    <cfRule type="containsText" dxfId="1407" priority="1698" operator="containsText" text="No Aplica">
      <formula>NOT(ISERROR(SEARCH("No Aplica",V271)))</formula>
    </cfRule>
    <cfRule type="containsText" dxfId="1406" priority="1699" operator="containsText" text="Fallido">
      <formula>NOT(ISERROR(SEARCH("Fallido",V271)))</formula>
    </cfRule>
    <cfRule type="containsText" dxfId="1405" priority="1700" operator="containsText" text="Éxitoso">
      <formula>NOT(ISERROR(SEARCH("Éxitoso",V271)))</formula>
    </cfRule>
  </conditionalFormatting>
  <conditionalFormatting sqref="W271">
    <cfRule type="containsText" dxfId="1404" priority="1691" operator="containsText" text="No se pudo ejecutar">
      <formula>NOT(ISERROR(SEARCH("No se pudo ejecutar",W271)))</formula>
    </cfRule>
    <cfRule type="containsText" dxfId="1403" priority="1692" operator="containsText" text="Pendiente">
      <formula>NOT(ISERROR(SEARCH("Pendiente",W271)))</formula>
    </cfRule>
    <cfRule type="containsText" dxfId="1402" priority="1693" operator="containsText" text="No Aplica">
      <formula>NOT(ISERROR(SEARCH("No Aplica",W271)))</formula>
    </cfRule>
    <cfRule type="containsText" dxfId="1401" priority="1694" operator="containsText" text="Fallido">
      <formula>NOT(ISERROR(SEARCH("Fallido",W271)))</formula>
    </cfRule>
    <cfRule type="containsText" dxfId="1400" priority="1695" operator="containsText" text="Éxitoso">
      <formula>NOT(ISERROR(SEARCH("Éxitoso",W271)))</formula>
    </cfRule>
  </conditionalFormatting>
  <conditionalFormatting sqref="M271">
    <cfRule type="containsText" dxfId="1399" priority="1686" operator="containsText" text="No se pudo ejecutar">
      <formula>NOT(ISERROR(SEARCH("No se pudo ejecutar",M271)))</formula>
    </cfRule>
    <cfRule type="containsText" dxfId="1398" priority="1687" operator="containsText" text="Pendiente">
      <formula>NOT(ISERROR(SEARCH("Pendiente",M271)))</formula>
    </cfRule>
    <cfRule type="containsText" dxfId="1397" priority="1688" operator="containsText" text="No Aplica">
      <formula>NOT(ISERROR(SEARCH("No Aplica",M271)))</formula>
    </cfRule>
    <cfRule type="containsText" dxfId="1396" priority="1689" operator="containsText" text="Fallido">
      <formula>NOT(ISERROR(SEARCH("Fallido",M271)))</formula>
    </cfRule>
    <cfRule type="containsText" dxfId="1395" priority="1690" operator="containsText" text="Éxitoso">
      <formula>NOT(ISERROR(SEARCH("Éxitoso",M271)))</formula>
    </cfRule>
  </conditionalFormatting>
  <conditionalFormatting sqref="G271">
    <cfRule type="containsText" dxfId="1394" priority="1683" operator="containsText" text="Bajo">
      <formula>NOT(ISERROR(SEARCH("Bajo",G271)))</formula>
    </cfRule>
    <cfRule type="containsText" dxfId="1393" priority="1684" operator="containsText" text="Medio">
      <formula>NOT(ISERROR(SEARCH("Medio",G271)))</formula>
    </cfRule>
    <cfRule type="containsText" dxfId="1392" priority="1685" operator="containsText" text="Alto">
      <formula>NOT(ISERROR(SEARCH("Alto",G271)))</formula>
    </cfRule>
  </conditionalFormatting>
  <conditionalFormatting sqref="N272">
    <cfRule type="containsText" dxfId="1391" priority="1678" operator="containsText" text="No se pudo ejecutar">
      <formula>NOT(ISERROR(SEARCH("No se pudo ejecutar",N272)))</formula>
    </cfRule>
    <cfRule type="containsText" dxfId="1390" priority="1679" operator="containsText" text="Pendiente">
      <formula>NOT(ISERROR(SEARCH("Pendiente",N272)))</formula>
    </cfRule>
    <cfRule type="containsText" dxfId="1389" priority="1680" operator="containsText" text="No Aplica">
      <formula>NOT(ISERROR(SEARCH("No Aplica",N272)))</formula>
    </cfRule>
    <cfRule type="containsText" dxfId="1388" priority="1681" operator="containsText" text="Fallido">
      <formula>NOT(ISERROR(SEARCH("Fallido",N272)))</formula>
    </cfRule>
    <cfRule type="containsText" dxfId="1387" priority="1682" operator="containsText" text="Éxitoso">
      <formula>NOT(ISERROR(SEARCH("Éxitoso",N272)))</formula>
    </cfRule>
  </conditionalFormatting>
  <conditionalFormatting sqref="O272">
    <cfRule type="containsText" dxfId="1386" priority="1673" operator="containsText" text="No se pudo ejecutar">
      <formula>NOT(ISERROR(SEARCH("No se pudo ejecutar",O272)))</formula>
    </cfRule>
    <cfRule type="containsText" dxfId="1385" priority="1674" operator="containsText" text="Pendiente">
      <formula>NOT(ISERROR(SEARCH("Pendiente",O272)))</formula>
    </cfRule>
    <cfRule type="containsText" dxfId="1384" priority="1675" operator="containsText" text="No Aplica">
      <formula>NOT(ISERROR(SEARCH("No Aplica",O272)))</formula>
    </cfRule>
    <cfRule type="containsText" dxfId="1383" priority="1676" operator="containsText" text="Fallido">
      <formula>NOT(ISERROR(SEARCH("Fallido",O272)))</formula>
    </cfRule>
    <cfRule type="containsText" dxfId="1382" priority="1677" operator="containsText" text="Éxitoso">
      <formula>NOT(ISERROR(SEARCH("Éxitoso",O272)))</formula>
    </cfRule>
  </conditionalFormatting>
  <conditionalFormatting sqref="P272">
    <cfRule type="containsText" dxfId="1381" priority="1668" operator="containsText" text="No se pudo ejecutar">
      <formula>NOT(ISERROR(SEARCH("No se pudo ejecutar",P272)))</formula>
    </cfRule>
    <cfRule type="containsText" dxfId="1380" priority="1669" operator="containsText" text="Pendiente">
      <formula>NOT(ISERROR(SEARCH("Pendiente",P272)))</formula>
    </cfRule>
    <cfRule type="containsText" dxfId="1379" priority="1670" operator="containsText" text="No Aplica">
      <formula>NOT(ISERROR(SEARCH("No Aplica",P272)))</formula>
    </cfRule>
    <cfRule type="containsText" dxfId="1378" priority="1671" operator="containsText" text="Fallido">
      <formula>NOT(ISERROR(SEARCH("Fallido",P272)))</formula>
    </cfRule>
    <cfRule type="containsText" dxfId="1377" priority="1672" operator="containsText" text="Éxitoso">
      <formula>NOT(ISERROR(SEARCH("Éxitoso",P272)))</formula>
    </cfRule>
  </conditionalFormatting>
  <conditionalFormatting sqref="Q272">
    <cfRule type="containsText" dxfId="1376" priority="1663" operator="containsText" text="No se pudo ejecutar">
      <formula>NOT(ISERROR(SEARCH("No se pudo ejecutar",Q272)))</formula>
    </cfRule>
    <cfRule type="containsText" dxfId="1375" priority="1664" operator="containsText" text="Pendiente">
      <formula>NOT(ISERROR(SEARCH("Pendiente",Q272)))</formula>
    </cfRule>
    <cfRule type="containsText" dxfId="1374" priority="1665" operator="containsText" text="No Aplica">
      <formula>NOT(ISERROR(SEARCH("No Aplica",Q272)))</formula>
    </cfRule>
    <cfRule type="containsText" dxfId="1373" priority="1666" operator="containsText" text="Fallido">
      <formula>NOT(ISERROR(SEARCH("Fallido",Q272)))</formula>
    </cfRule>
    <cfRule type="containsText" dxfId="1372" priority="1667" operator="containsText" text="Éxitoso">
      <formula>NOT(ISERROR(SEARCH("Éxitoso",Q272)))</formula>
    </cfRule>
  </conditionalFormatting>
  <conditionalFormatting sqref="R272">
    <cfRule type="containsText" dxfId="1371" priority="1658" operator="containsText" text="No se pudo ejecutar">
      <formula>NOT(ISERROR(SEARCH("No se pudo ejecutar",R272)))</formula>
    </cfRule>
    <cfRule type="containsText" dxfId="1370" priority="1659" operator="containsText" text="Pendiente">
      <formula>NOT(ISERROR(SEARCH("Pendiente",R272)))</formula>
    </cfRule>
    <cfRule type="containsText" dxfId="1369" priority="1660" operator="containsText" text="No Aplica">
      <formula>NOT(ISERROR(SEARCH("No Aplica",R272)))</formula>
    </cfRule>
    <cfRule type="containsText" dxfId="1368" priority="1661" operator="containsText" text="Fallido">
      <formula>NOT(ISERROR(SEARCH("Fallido",R272)))</formula>
    </cfRule>
    <cfRule type="containsText" dxfId="1367" priority="1662" operator="containsText" text="Éxitoso">
      <formula>NOT(ISERROR(SEARCH("Éxitoso",R272)))</formula>
    </cfRule>
  </conditionalFormatting>
  <conditionalFormatting sqref="S272">
    <cfRule type="containsText" dxfId="1366" priority="1653" operator="containsText" text="No se pudo ejecutar">
      <formula>NOT(ISERROR(SEARCH("No se pudo ejecutar",S272)))</formula>
    </cfRule>
    <cfRule type="containsText" dxfId="1365" priority="1654" operator="containsText" text="Pendiente">
      <formula>NOT(ISERROR(SEARCH("Pendiente",S272)))</formula>
    </cfRule>
    <cfRule type="containsText" dxfId="1364" priority="1655" operator="containsText" text="No Aplica">
      <formula>NOT(ISERROR(SEARCH("No Aplica",S272)))</formula>
    </cfRule>
    <cfRule type="containsText" dxfId="1363" priority="1656" operator="containsText" text="Fallido">
      <formula>NOT(ISERROR(SEARCH("Fallido",S272)))</formula>
    </cfRule>
    <cfRule type="containsText" dxfId="1362" priority="1657" operator="containsText" text="Éxitoso">
      <formula>NOT(ISERROR(SEARCH("Éxitoso",S272)))</formula>
    </cfRule>
  </conditionalFormatting>
  <conditionalFormatting sqref="T272">
    <cfRule type="containsText" dxfId="1361" priority="1648" operator="containsText" text="No se pudo ejecutar">
      <formula>NOT(ISERROR(SEARCH("No se pudo ejecutar",T272)))</formula>
    </cfRule>
    <cfRule type="containsText" dxfId="1360" priority="1649" operator="containsText" text="Pendiente">
      <formula>NOT(ISERROR(SEARCH("Pendiente",T272)))</formula>
    </cfRule>
    <cfRule type="containsText" dxfId="1359" priority="1650" operator="containsText" text="No Aplica">
      <formula>NOT(ISERROR(SEARCH("No Aplica",T272)))</formula>
    </cfRule>
    <cfRule type="containsText" dxfId="1358" priority="1651" operator="containsText" text="Fallido">
      <formula>NOT(ISERROR(SEARCH("Fallido",T272)))</formula>
    </cfRule>
    <cfRule type="containsText" dxfId="1357" priority="1652" operator="containsText" text="Éxitoso">
      <formula>NOT(ISERROR(SEARCH("Éxitoso",T272)))</formula>
    </cfRule>
  </conditionalFormatting>
  <conditionalFormatting sqref="U272">
    <cfRule type="containsText" dxfId="1356" priority="1643" operator="containsText" text="No se pudo ejecutar">
      <formula>NOT(ISERROR(SEARCH("No se pudo ejecutar",U272)))</formula>
    </cfRule>
    <cfRule type="containsText" dxfId="1355" priority="1644" operator="containsText" text="Pendiente">
      <formula>NOT(ISERROR(SEARCH("Pendiente",U272)))</formula>
    </cfRule>
    <cfRule type="containsText" dxfId="1354" priority="1645" operator="containsText" text="No Aplica">
      <formula>NOT(ISERROR(SEARCH("No Aplica",U272)))</formula>
    </cfRule>
    <cfRule type="containsText" dxfId="1353" priority="1646" operator="containsText" text="Fallido">
      <formula>NOT(ISERROR(SEARCH("Fallido",U272)))</formula>
    </cfRule>
    <cfRule type="containsText" dxfId="1352" priority="1647" operator="containsText" text="Éxitoso">
      <formula>NOT(ISERROR(SEARCH("Éxitoso",U272)))</formula>
    </cfRule>
  </conditionalFormatting>
  <conditionalFormatting sqref="V272">
    <cfRule type="containsText" dxfId="1351" priority="1638" operator="containsText" text="No se pudo ejecutar">
      <formula>NOT(ISERROR(SEARCH("No se pudo ejecutar",V272)))</formula>
    </cfRule>
    <cfRule type="containsText" dxfId="1350" priority="1639" operator="containsText" text="Pendiente">
      <formula>NOT(ISERROR(SEARCH("Pendiente",V272)))</formula>
    </cfRule>
    <cfRule type="containsText" dxfId="1349" priority="1640" operator="containsText" text="No Aplica">
      <formula>NOT(ISERROR(SEARCH("No Aplica",V272)))</formula>
    </cfRule>
    <cfRule type="containsText" dxfId="1348" priority="1641" operator="containsText" text="Fallido">
      <formula>NOT(ISERROR(SEARCH("Fallido",V272)))</formula>
    </cfRule>
    <cfRule type="containsText" dxfId="1347" priority="1642" operator="containsText" text="Éxitoso">
      <formula>NOT(ISERROR(SEARCH("Éxitoso",V272)))</formula>
    </cfRule>
  </conditionalFormatting>
  <conditionalFormatting sqref="W272">
    <cfRule type="containsText" dxfId="1346" priority="1633" operator="containsText" text="No se pudo ejecutar">
      <formula>NOT(ISERROR(SEARCH("No se pudo ejecutar",W272)))</formula>
    </cfRule>
    <cfRule type="containsText" dxfId="1345" priority="1634" operator="containsText" text="Pendiente">
      <formula>NOT(ISERROR(SEARCH("Pendiente",W272)))</formula>
    </cfRule>
    <cfRule type="containsText" dxfId="1344" priority="1635" operator="containsText" text="No Aplica">
      <formula>NOT(ISERROR(SEARCH("No Aplica",W272)))</formula>
    </cfRule>
    <cfRule type="containsText" dxfId="1343" priority="1636" operator="containsText" text="Fallido">
      <formula>NOT(ISERROR(SEARCH("Fallido",W272)))</formula>
    </cfRule>
    <cfRule type="containsText" dxfId="1342" priority="1637" operator="containsText" text="Éxitoso">
      <formula>NOT(ISERROR(SEARCH("Éxitoso",W272)))</formula>
    </cfRule>
  </conditionalFormatting>
  <conditionalFormatting sqref="M272">
    <cfRule type="containsText" dxfId="1341" priority="1628" operator="containsText" text="No se pudo ejecutar">
      <formula>NOT(ISERROR(SEARCH("No se pudo ejecutar",M272)))</formula>
    </cfRule>
    <cfRule type="containsText" dxfId="1340" priority="1629" operator="containsText" text="Pendiente">
      <formula>NOT(ISERROR(SEARCH("Pendiente",M272)))</formula>
    </cfRule>
    <cfRule type="containsText" dxfId="1339" priority="1630" operator="containsText" text="No Aplica">
      <formula>NOT(ISERROR(SEARCH("No Aplica",M272)))</formula>
    </cfRule>
    <cfRule type="containsText" dxfId="1338" priority="1631" operator="containsText" text="Fallido">
      <formula>NOT(ISERROR(SEARCH("Fallido",M272)))</formula>
    </cfRule>
    <cfRule type="containsText" dxfId="1337" priority="1632" operator="containsText" text="Éxitoso">
      <formula>NOT(ISERROR(SEARCH("Éxitoso",M272)))</formula>
    </cfRule>
  </conditionalFormatting>
  <conditionalFormatting sqref="G272">
    <cfRule type="containsText" dxfId="1336" priority="1625" operator="containsText" text="Bajo">
      <formula>NOT(ISERROR(SEARCH("Bajo",G272)))</formula>
    </cfRule>
    <cfRule type="containsText" dxfId="1335" priority="1626" operator="containsText" text="Medio">
      <formula>NOT(ISERROR(SEARCH("Medio",G272)))</formula>
    </cfRule>
    <cfRule type="containsText" dxfId="1334" priority="1627" operator="containsText" text="Alto">
      <formula>NOT(ISERROR(SEARCH("Alto",G272)))</formula>
    </cfRule>
  </conditionalFormatting>
  <conditionalFormatting sqref="N273">
    <cfRule type="containsText" dxfId="1333" priority="1620" operator="containsText" text="No se pudo ejecutar">
      <formula>NOT(ISERROR(SEARCH("No se pudo ejecutar",N273)))</formula>
    </cfRule>
    <cfRule type="containsText" dxfId="1332" priority="1621" operator="containsText" text="Pendiente">
      <formula>NOT(ISERROR(SEARCH("Pendiente",N273)))</formula>
    </cfRule>
    <cfRule type="containsText" dxfId="1331" priority="1622" operator="containsText" text="No Aplica">
      <formula>NOT(ISERROR(SEARCH("No Aplica",N273)))</formula>
    </cfRule>
    <cfRule type="containsText" dxfId="1330" priority="1623" operator="containsText" text="Fallido">
      <formula>NOT(ISERROR(SEARCH("Fallido",N273)))</formula>
    </cfRule>
    <cfRule type="containsText" dxfId="1329" priority="1624" operator="containsText" text="Éxitoso">
      <formula>NOT(ISERROR(SEARCH("Éxitoso",N273)))</formula>
    </cfRule>
  </conditionalFormatting>
  <conditionalFormatting sqref="O273">
    <cfRule type="containsText" dxfId="1328" priority="1615" operator="containsText" text="No se pudo ejecutar">
      <formula>NOT(ISERROR(SEARCH("No se pudo ejecutar",O273)))</formula>
    </cfRule>
    <cfRule type="containsText" dxfId="1327" priority="1616" operator="containsText" text="Pendiente">
      <formula>NOT(ISERROR(SEARCH("Pendiente",O273)))</formula>
    </cfRule>
    <cfRule type="containsText" dxfId="1326" priority="1617" operator="containsText" text="No Aplica">
      <formula>NOT(ISERROR(SEARCH("No Aplica",O273)))</formula>
    </cfRule>
    <cfRule type="containsText" dxfId="1325" priority="1618" operator="containsText" text="Fallido">
      <formula>NOT(ISERROR(SEARCH("Fallido",O273)))</formula>
    </cfRule>
    <cfRule type="containsText" dxfId="1324" priority="1619" operator="containsText" text="Éxitoso">
      <formula>NOT(ISERROR(SEARCH("Éxitoso",O273)))</formula>
    </cfRule>
  </conditionalFormatting>
  <conditionalFormatting sqref="P273">
    <cfRule type="containsText" dxfId="1323" priority="1610" operator="containsText" text="No se pudo ejecutar">
      <formula>NOT(ISERROR(SEARCH("No se pudo ejecutar",P273)))</formula>
    </cfRule>
    <cfRule type="containsText" dxfId="1322" priority="1611" operator="containsText" text="Pendiente">
      <formula>NOT(ISERROR(SEARCH("Pendiente",P273)))</formula>
    </cfRule>
    <cfRule type="containsText" dxfId="1321" priority="1612" operator="containsText" text="No Aplica">
      <formula>NOT(ISERROR(SEARCH("No Aplica",P273)))</formula>
    </cfRule>
    <cfRule type="containsText" dxfId="1320" priority="1613" operator="containsText" text="Fallido">
      <formula>NOT(ISERROR(SEARCH("Fallido",P273)))</formula>
    </cfRule>
    <cfRule type="containsText" dxfId="1319" priority="1614" operator="containsText" text="Éxitoso">
      <formula>NOT(ISERROR(SEARCH("Éxitoso",P273)))</formula>
    </cfRule>
  </conditionalFormatting>
  <conditionalFormatting sqref="Q273">
    <cfRule type="containsText" dxfId="1318" priority="1605" operator="containsText" text="No se pudo ejecutar">
      <formula>NOT(ISERROR(SEARCH("No se pudo ejecutar",Q273)))</formula>
    </cfRule>
    <cfRule type="containsText" dxfId="1317" priority="1606" operator="containsText" text="Pendiente">
      <formula>NOT(ISERROR(SEARCH("Pendiente",Q273)))</formula>
    </cfRule>
    <cfRule type="containsText" dxfId="1316" priority="1607" operator="containsText" text="No Aplica">
      <formula>NOT(ISERROR(SEARCH("No Aplica",Q273)))</formula>
    </cfRule>
    <cfRule type="containsText" dxfId="1315" priority="1608" operator="containsText" text="Fallido">
      <formula>NOT(ISERROR(SEARCH("Fallido",Q273)))</formula>
    </cfRule>
    <cfRule type="containsText" dxfId="1314" priority="1609" operator="containsText" text="Éxitoso">
      <formula>NOT(ISERROR(SEARCH("Éxitoso",Q273)))</formula>
    </cfRule>
  </conditionalFormatting>
  <conditionalFormatting sqref="R273">
    <cfRule type="containsText" dxfId="1313" priority="1600" operator="containsText" text="No se pudo ejecutar">
      <formula>NOT(ISERROR(SEARCH("No se pudo ejecutar",R273)))</formula>
    </cfRule>
    <cfRule type="containsText" dxfId="1312" priority="1601" operator="containsText" text="Pendiente">
      <formula>NOT(ISERROR(SEARCH("Pendiente",R273)))</formula>
    </cfRule>
    <cfRule type="containsText" dxfId="1311" priority="1602" operator="containsText" text="No Aplica">
      <formula>NOT(ISERROR(SEARCH("No Aplica",R273)))</formula>
    </cfRule>
    <cfRule type="containsText" dxfId="1310" priority="1603" operator="containsText" text="Fallido">
      <formula>NOT(ISERROR(SEARCH("Fallido",R273)))</formula>
    </cfRule>
    <cfRule type="containsText" dxfId="1309" priority="1604" operator="containsText" text="Éxitoso">
      <formula>NOT(ISERROR(SEARCH("Éxitoso",R273)))</formula>
    </cfRule>
  </conditionalFormatting>
  <conditionalFormatting sqref="S273">
    <cfRule type="containsText" dxfId="1308" priority="1595" operator="containsText" text="No se pudo ejecutar">
      <formula>NOT(ISERROR(SEARCH("No se pudo ejecutar",S273)))</formula>
    </cfRule>
    <cfRule type="containsText" dxfId="1307" priority="1596" operator="containsText" text="Pendiente">
      <formula>NOT(ISERROR(SEARCH("Pendiente",S273)))</formula>
    </cfRule>
    <cfRule type="containsText" dxfId="1306" priority="1597" operator="containsText" text="No Aplica">
      <formula>NOT(ISERROR(SEARCH("No Aplica",S273)))</formula>
    </cfRule>
    <cfRule type="containsText" dxfId="1305" priority="1598" operator="containsText" text="Fallido">
      <formula>NOT(ISERROR(SEARCH("Fallido",S273)))</formula>
    </cfRule>
    <cfRule type="containsText" dxfId="1304" priority="1599" operator="containsText" text="Éxitoso">
      <formula>NOT(ISERROR(SEARCH("Éxitoso",S273)))</formula>
    </cfRule>
  </conditionalFormatting>
  <conditionalFormatting sqref="T273">
    <cfRule type="containsText" dxfId="1303" priority="1590" operator="containsText" text="No se pudo ejecutar">
      <formula>NOT(ISERROR(SEARCH("No se pudo ejecutar",T273)))</formula>
    </cfRule>
    <cfRule type="containsText" dxfId="1302" priority="1591" operator="containsText" text="Pendiente">
      <formula>NOT(ISERROR(SEARCH("Pendiente",T273)))</formula>
    </cfRule>
    <cfRule type="containsText" dxfId="1301" priority="1592" operator="containsText" text="No Aplica">
      <formula>NOT(ISERROR(SEARCH("No Aplica",T273)))</formula>
    </cfRule>
    <cfRule type="containsText" dxfId="1300" priority="1593" operator="containsText" text="Fallido">
      <formula>NOT(ISERROR(SEARCH("Fallido",T273)))</formula>
    </cfRule>
    <cfRule type="containsText" dxfId="1299" priority="1594" operator="containsText" text="Éxitoso">
      <formula>NOT(ISERROR(SEARCH("Éxitoso",T273)))</formula>
    </cfRule>
  </conditionalFormatting>
  <conditionalFormatting sqref="U273">
    <cfRule type="containsText" dxfId="1298" priority="1585" operator="containsText" text="No se pudo ejecutar">
      <formula>NOT(ISERROR(SEARCH("No se pudo ejecutar",U273)))</formula>
    </cfRule>
    <cfRule type="containsText" dxfId="1297" priority="1586" operator="containsText" text="Pendiente">
      <formula>NOT(ISERROR(SEARCH("Pendiente",U273)))</formula>
    </cfRule>
    <cfRule type="containsText" dxfId="1296" priority="1587" operator="containsText" text="No Aplica">
      <formula>NOT(ISERROR(SEARCH("No Aplica",U273)))</formula>
    </cfRule>
    <cfRule type="containsText" dxfId="1295" priority="1588" operator="containsText" text="Fallido">
      <formula>NOT(ISERROR(SEARCH("Fallido",U273)))</formula>
    </cfRule>
    <cfRule type="containsText" dxfId="1294" priority="1589" operator="containsText" text="Éxitoso">
      <formula>NOT(ISERROR(SEARCH("Éxitoso",U273)))</formula>
    </cfRule>
  </conditionalFormatting>
  <conditionalFormatting sqref="V273">
    <cfRule type="containsText" dxfId="1293" priority="1580" operator="containsText" text="No se pudo ejecutar">
      <formula>NOT(ISERROR(SEARCH("No se pudo ejecutar",V273)))</formula>
    </cfRule>
    <cfRule type="containsText" dxfId="1292" priority="1581" operator="containsText" text="Pendiente">
      <formula>NOT(ISERROR(SEARCH("Pendiente",V273)))</formula>
    </cfRule>
    <cfRule type="containsText" dxfId="1291" priority="1582" operator="containsText" text="No Aplica">
      <formula>NOT(ISERROR(SEARCH("No Aplica",V273)))</formula>
    </cfRule>
    <cfRule type="containsText" dxfId="1290" priority="1583" operator="containsText" text="Fallido">
      <formula>NOT(ISERROR(SEARCH("Fallido",V273)))</formula>
    </cfRule>
    <cfRule type="containsText" dxfId="1289" priority="1584" operator="containsText" text="Éxitoso">
      <formula>NOT(ISERROR(SEARCH("Éxitoso",V273)))</formula>
    </cfRule>
  </conditionalFormatting>
  <conditionalFormatting sqref="W273">
    <cfRule type="containsText" dxfId="1288" priority="1575" operator="containsText" text="No se pudo ejecutar">
      <formula>NOT(ISERROR(SEARCH("No se pudo ejecutar",W273)))</formula>
    </cfRule>
    <cfRule type="containsText" dxfId="1287" priority="1576" operator="containsText" text="Pendiente">
      <formula>NOT(ISERROR(SEARCH("Pendiente",W273)))</formula>
    </cfRule>
    <cfRule type="containsText" dxfId="1286" priority="1577" operator="containsText" text="No Aplica">
      <formula>NOT(ISERROR(SEARCH("No Aplica",W273)))</formula>
    </cfRule>
    <cfRule type="containsText" dxfId="1285" priority="1578" operator="containsText" text="Fallido">
      <formula>NOT(ISERROR(SEARCH("Fallido",W273)))</formula>
    </cfRule>
    <cfRule type="containsText" dxfId="1284" priority="1579" operator="containsText" text="Éxitoso">
      <formula>NOT(ISERROR(SEARCH("Éxitoso",W273)))</formula>
    </cfRule>
  </conditionalFormatting>
  <conditionalFormatting sqref="M273">
    <cfRule type="containsText" dxfId="1283" priority="1570" operator="containsText" text="No se pudo ejecutar">
      <formula>NOT(ISERROR(SEARCH("No se pudo ejecutar",M273)))</formula>
    </cfRule>
    <cfRule type="containsText" dxfId="1282" priority="1571" operator="containsText" text="Pendiente">
      <formula>NOT(ISERROR(SEARCH("Pendiente",M273)))</formula>
    </cfRule>
    <cfRule type="containsText" dxfId="1281" priority="1572" operator="containsText" text="No Aplica">
      <formula>NOT(ISERROR(SEARCH("No Aplica",M273)))</formula>
    </cfRule>
    <cfRule type="containsText" dxfId="1280" priority="1573" operator="containsText" text="Fallido">
      <formula>NOT(ISERROR(SEARCH("Fallido",M273)))</formula>
    </cfRule>
    <cfRule type="containsText" dxfId="1279" priority="1574" operator="containsText" text="Éxitoso">
      <formula>NOT(ISERROR(SEARCH("Éxitoso",M273)))</formula>
    </cfRule>
  </conditionalFormatting>
  <conditionalFormatting sqref="G273">
    <cfRule type="containsText" dxfId="1278" priority="1567" operator="containsText" text="Bajo">
      <formula>NOT(ISERROR(SEARCH("Bajo",G273)))</formula>
    </cfRule>
    <cfRule type="containsText" dxfId="1277" priority="1568" operator="containsText" text="Medio">
      <formula>NOT(ISERROR(SEARCH("Medio",G273)))</formula>
    </cfRule>
    <cfRule type="containsText" dxfId="1276" priority="1569" operator="containsText" text="Alto">
      <formula>NOT(ISERROR(SEARCH("Alto",G273)))</formula>
    </cfRule>
  </conditionalFormatting>
  <conditionalFormatting sqref="N274">
    <cfRule type="containsText" dxfId="1275" priority="1562" operator="containsText" text="No se pudo ejecutar">
      <formula>NOT(ISERROR(SEARCH("No se pudo ejecutar",N274)))</formula>
    </cfRule>
    <cfRule type="containsText" dxfId="1274" priority="1563" operator="containsText" text="Pendiente">
      <formula>NOT(ISERROR(SEARCH("Pendiente",N274)))</formula>
    </cfRule>
    <cfRule type="containsText" dxfId="1273" priority="1564" operator="containsText" text="No Aplica">
      <formula>NOT(ISERROR(SEARCH("No Aplica",N274)))</formula>
    </cfRule>
    <cfRule type="containsText" dxfId="1272" priority="1565" operator="containsText" text="Fallido">
      <formula>NOT(ISERROR(SEARCH("Fallido",N274)))</formula>
    </cfRule>
    <cfRule type="containsText" dxfId="1271" priority="1566" operator="containsText" text="Éxitoso">
      <formula>NOT(ISERROR(SEARCH("Éxitoso",N274)))</formula>
    </cfRule>
  </conditionalFormatting>
  <conditionalFormatting sqref="O274">
    <cfRule type="containsText" dxfId="1270" priority="1557" operator="containsText" text="No se pudo ejecutar">
      <formula>NOT(ISERROR(SEARCH("No se pudo ejecutar",O274)))</formula>
    </cfRule>
    <cfRule type="containsText" dxfId="1269" priority="1558" operator="containsText" text="Pendiente">
      <formula>NOT(ISERROR(SEARCH("Pendiente",O274)))</formula>
    </cfRule>
    <cfRule type="containsText" dxfId="1268" priority="1559" operator="containsText" text="No Aplica">
      <formula>NOT(ISERROR(SEARCH("No Aplica",O274)))</formula>
    </cfRule>
    <cfRule type="containsText" dxfId="1267" priority="1560" operator="containsText" text="Fallido">
      <formula>NOT(ISERROR(SEARCH("Fallido",O274)))</formula>
    </cfRule>
    <cfRule type="containsText" dxfId="1266" priority="1561" operator="containsText" text="Éxitoso">
      <formula>NOT(ISERROR(SEARCH("Éxitoso",O274)))</formula>
    </cfRule>
  </conditionalFormatting>
  <conditionalFormatting sqref="P274">
    <cfRule type="containsText" dxfId="1265" priority="1552" operator="containsText" text="No se pudo ejecutar">
      <formula>NOT(ISERROR(SEARCH("No se pudo ejecutar",P274)))</formula>
    </cfRule>
    <cfRule type="containsText" dxfId="1264" priority="1553" operator="containsText" text="Pendiente">
      <formula>NOT(ISERROR(SEARCH("Pendiente",P274)))</formula>
    </cfRule>
    <cfRule type="containsText" dxfId="1263" priority="1554" operator="containsText" text="No Aplica">
      <formula>NOT(ISERROR(SEARCH("No Aplica",P274)))</formula>
    </cfRule>
    <cfRule type="containsText" dxfId="1262" priority="1555" operator="containsText" text="Fallido">
      <formula>NOT(ISERROR(SEARCH("Fallido",P274)))</formula>
    </cfRule>
    <cfRule type="containsText" dxfId="1261" priority="1556" operator="containsText" text="Éxitoso">
      <formula>NOT(ISERROR(SEARCH("Éxitoso",P274)))</formula>
    </cfRule>
  </conditionalFormatting>
  <conditionalFormatting sqref="Q274">
    <cfRule type="containsText" dxfId="1260" priority="1547" operator="containsText" text="No se pudo ejecutar">
      <formula>NOT(ISERROR(SEARCH("No se pudo ejecutar",Q274)))</formula>
    </cfRule>
    <cfRule type="containsText" dxfId="1259" priority="1548" operator="containsText" text="Pendiente">
      <formula>NOT(ISERROR(SEARCH("Pendiente",Q274)))</formula>
    </cfRule>
    <cfRule type="containsText" dxfId="1258" priority="1549" operator="containsText" text="No Aplica">
      <formula>NOT(ISERROR(SEARCH("No Aplica",Q274)))</formula>
    </cfRule>
    <cfRule type="containsText" dxfId="1257" priority="1550" operator="containsText" text="Fallido">
      <formula>NOT(ISERROR(SEARCH("Fallido",Q274)))</formula>
    </cfRule>
    <cfRule type="containsText" dxfId="1256" priority="1551" operator="containsText" text="Éxitoso">
      <formula>NOT(ISERROR(SEARCH("Éxitoso",Q274)))</formula>
    </cfRule>
  </conditionalFormatting>
  <conditionalFormatting sqref="R274">
    <cfRule type="containsText" dxfId="1255" priority="1542" operator="containsText" text="No se pudo ejecutar">
      <formula>NOT(ISERROR(SEARCH("No se pudo ejecutar",R274)))</formula>
    </cfRule>
    <cfRule type="containsText" dxfId="1254" priority="1543" operator="containsText" text="Pendiente">
      <formula>NOT(ISERROR(SEARCH("Pendiente",R274)))</formula>
    </cfRule>
    <cfRule type="containsText" dxfId="1253" priority="1544" operator="containsText" text="No Aplica">
      <formula>NOT(ISERROR(SEARCH("No Aplica",R274)))</formula>
    </cfRule>
    <cfRule type="containsText" dxfId="1252" priority="1545" operator="containsText" text="Fallido">
      <formula>NOT(ISERROR(SEARCH("Fallido",R274)))</formula>
    </cfRule>
    <cfRule type="containsText" dxfId="1251" priority="1546" operator="containsText" text="Éxitoso">
      <formula>NOT(ISERROR(SEARCH("Éxitoso",R274)))</formula>
    </cfRule>
  </conditionalFormatting>
  <conditionalFormatting sqref="S274">
    <cfRule type="containsText" dxfId="1250" priority="1537" operator="containsText" text="No se pudo ejecutar">
      <formula>NOT(ISERROR(SEARCH("No se pudo ejecutar",S274)))</formula>
    </cfRule>
    <cfRule type="containsText" dxfId="1249" priority="1538" operator="containsText" text="Pendiente">
      <formula>NOT(ISERROR(SEARCH("Pendiente",S274)))</formula>
    </cfRule>
    <cfRule type="containsText" dxfId="1248" priority="1539" operator="containsText" text="No Aplica">
      <formula>NOT(ISERROR(SEARCH("No Aplica",S274)))</formula>
    </cfRule>
    <cfRule type="containsText" dxfId="1247" priority="1540" operator="containsText" text="Fallido">
      <formula>NOT(ISERROR(SEARCH("Fallido",S274)))</formula>
    </cfRule>
    <cfRule type="containsText" dxfId="1246" priority="1541" operator="containsText" text="Éxitoso">
      <formula>NOT(ISERROR(SEARCH("Éxitoso",S274)))</formula>
    </cfRule>
  </conditionalFormatting>
  <conditionalFormatting sqref="T274">
    <cfRule type="containsText" dxfId="1245" priority="1532" operator="containsText" text="No se pudo ejecutar">
      <formula>NOT(ISERROR(SEARCH("No se pudo ejecutar",T274)))</formula>
    </cfRule>
    <cfRule type="containsText" dxfId="1244" priority="1533" operator="containsText" text="Pendiente">
      <formula>NOT(ISERROR(SEARCH("Pendiente",T274)))</formula>
    </cfRule>
    <cfRule type="containsText" dxfId="1243" priority="1534" operator="containsText" text="No Aplica">
      <formula>NOT(ISERROR(SEARCH("No Aplica",T274)))</formula>
    </cfRule>
    <cfRule type="containsText" dxfId="1242" priority="1535" operator="containsText" text="Fallido">
      <formula>NOT(ISERROR(SEARCH("Fallido",T274)))</formula>
    </cfRule>
    <cfRule type="containsText" dxfId="1241" priority="1536" operator="containsText" text="Éxitoso">
      <formula>NOT(ISERROR(SEARCH("Éxitoso",T274)))</formula>
    </cfRule>
  </conditionalFormatting>
  <conditionalFormatting sqref="U274">
    <cfRule type="containsText" dxfId="1240" priority="1527" operator="containsText" text="No se pudo ejecutar">
      <formula>NOT(ISERROR(SEARCH("No se pudo ejecutar",U274)))</formula>
    </cfRule>
    <cfRule type="containsText" dxfId="1239" priority="1528" operator="containsText" text="Pendiente">
      <formula>NOT(ISERROR(SEARCH("Pendiente",U274)))</formula>
    </cfRule>
    <cfRule type="containsText" dxfId="1238" priority="1529" operator="containsText" text="No Aplica">
      <formula>NOT(ISERROR(SEARCH("No Aplica",U274)))</formula>
    </cfRule>
    <cfRule type="containsText" dxfId="1237" priority="1530" operator="containsText" text="Fallido">
      <formula>NOT(ISERROR(SEARCH("Fallido",U274)))</formula>
    </cfRule>
    <cfRule type="containsText" dxfId="1236" priority="1531" operator="containsText" text="Éxitoso">
      <formula>NOT(ISERROR(SEARCH("Éxitoso",U274)))</formula>
    </cfRule>
  </conditionalFormatting>
  <conditionalFormatting sqref="V274">
    <cfRule type="containsText" dxfId="1235" priority="1522" operator="containsText" text="No se pudo ejecutar">
      <formula>NOT(ISERROR(SEARCH("No se pudo ejecutar",V274)))</formula>
    </cfRule>
    <cfRule type="containsText" dxfId="1234" priority="1523" operator="containsText" text="Pendiente">
      <formula>NOT(ISERROR(SEARCH("Pendiente",V274)))</formula>
    </cfRule>
    <cfRule type="containsText" dxfId="1233" priority="1524" operator="containsText" text="No Aplica">
      <formula>NOT(ISERROR(SEARCH("No Aplica",V274)))</formula>
    </cfRule>
    <cfRule type="containsText" dxfId="1232" priority="1525" operator="containsText" text="Fallido">
      <formula>NOT(ISERROR(SEARCH("Fallido",V274)))</formula>
    </cfRule>
    <cfRule type="containsText" dxfId="1231" priority="1526" operator="containsText" text="Éxitoso">
      <formula>NOT(ISERROR(SEARCH("Éxitoso",V274)))</formula>
    </cfRule>
  </conditionalFormatting>
  <conditionalFormatting sqref="W274">
    <cfRule type="containsText" dxfId="1230" priority="1517" operator="containsText" text="No se pudo ejecutar">
      <formula>NOT(ISERROR(SEARCH("No se pudo ejecutar",W274)))</formula>
    </cfRule>
    <cfRule type="containsText" dxfId="1229" priority="1518" operator="containsText" text="Pendiente">
      <formula>NOT(ISERROR(SEARCH("Pendiente",W274)))</formula>
    </cfRule>
    <cfRule type="containsText" dxfId="1228" priority="1519" operator="containsText" text="No Aplica">
      <formula>NOT(ISERROR(SEARCH("No Aplica",W274)))</formula>
    </cfRule>
    <cfRule type="containsText" dxfId="1227" priority="1520" operator="containsText" text="Fallido">
      <formula>NOT(ISERROR(SEARCH("Fallido",W274)))</formula>
    </cfRule>
    <cfRule type="containsText" dxfId="1226" priority="1521" operator="containsText" text="Éxitoso">
      <formula>NOT(ISERROR(SEARCH("Éxitoso",W274)))</formula>
    </cfRule>
  </conditionalFormatting>
  <conditionalFormatting sqref="M274">
    <cfRule type="containsText" dxfId="1225" priority="1512" operator="containsText" text="No se pudo ejecutar">
      <formula>NOT(ISERROR(SEARCH("No se pudo ejecutar",M274)))</formula>
    </cfRule>
    <cfRule type="containsText" dxfId="1224" priority="1513" operator="containsText" text="Pendiente">
      <formula>NOT(ISERROR(SEARCH("Pendiente",M274)))</formula>
    </cfRule>
    <cfRule type="containsText" dxfId="1223" priority="1514" operator="containsText" text="No Aplica">
      <formula>NOT(ISERROR(SEARCH("No Aplica",M274)))</formula>
    </cfRule>
    <cfRule type="containsText" dxfId="1222" priority="1515" operator="containsText" text="Fallido">
      <formula>NOT(ISERROR(SEARCH("Fallido",M274)))</formula>
    </cfRule>
    <cfRule type="containsText" dxfId="1221" priority="1516" operator="containsText" text="Éxitoso">
      <formula>NOT(ISERROR(SEARCH("Éxitoso",M274)))</formula>
    </cfRule>
  </conditionalFormatting>
  <conditionalFormatting sqref="G274">
    <cfRule type="containsText" dxfId="1220" priority="1509" operator="containsText" text="Bajo">
      <formula>NOT(ISERROR(SEARCH("Bajo",G274)))</formula>
    </cfRule>
    <cfRule type="containsText" dxfId="1219" priority="1510" operator="containsText" text="Medio">
      <formula>NOT(ISERROR(SEARCH("Medio",G274)))</formula>
    </cfRule>
    <cfRule type="containsText" dxfId="1218" priority="1511" operator="containsText" text="Alto">
      <formula>NOT(ISERROR(SEARCH("Alto",G274)))</formula>
    </cfRule>
  </conditionalFormatting>
  <conditionalFormatting sqref="N275">
    <cfRule type="containsText" dxfId="1217" priority="1504" operator="containsText" text="No se pudo ejecutar">
      <formula>NOT(ISERROR(SEARCH("No se pudo ejecutar",N275)))</formula>
    </cfRule>
    <cfRule type="containsText" dxfId="1216" priority="1505" operator="containsText" text="Pendiente">
      <formula>NOT(ISERROR(SEARCH("Pendiente",N275)))</formula>
    </cfRule>
    <cfRule type="containsText" dxfId="1215" priority="1506" operator="containsText" text="No Aplica">
      <formula>NOT(ISERROR(SEARCH("No Aplica",N275)))</formula>
    </cfRule>
    <cfRule type="containsText" dxfId="1214" priority="1507" operator="containsText" text="Fallido">
      <formula>NOT(ISERROR(SEARCH("Fallido",N275)))</formula>
    </cfRule>
    <cfRule type="containsText" dxfId="1213" priority="1508" operator="containsText" text="Éxitoso">
      <formula>NOT(ISERROR(SEARCH("Éxitoso",N275)))</formula>
    </cfRule>
  </conditionalFormatting>
  <conditionalFormatting sqref="O275">
    <cfRule type="containsText" dxfId="1212" priority="1499" operator="containsText" text="No se pudo ejecutar">
      <formula>NOT(ISERROR(SEARCH("No se pudo ejecutar",O275)))</formula>
    </cfRule>
    <cfRule type="containsText" dxfId="1211" priority="1500" operator="containsText" text="Pendiente">
      <formula>NOT(ISERROR(SEARCH("Pendiente",O275)))</formula>
    </cfRule>
    <cfRule type="containsText" dxfId="1210" priority="1501" operator="containsText" text="No Aplica">
      <formula>NOT(ISERROR(SEARCH("No Aplica",O275)))</formula>
    </cfRule>
    <cfRule type="containsText" dxfId="1209" priority="1502" operator="containsText" text="Fallido">
      <formula>NOT(ISERROR(SEARCH("Fallido",O275)))</formula>
    </cfRule>
    <cfRule type="containsText" dxfId="1208" priority="1503" operator="containsText" text="Éxitoso">
      <formula>NOT(ISERROR(SEARCH("Éxitoso",O275)))</formula>
    </cfRule>
  </conditionalFormatting>
  <conditionalFormatting sqref="P275">
    <cfRule type="containsText" dxfId="1207" priority="1494" operator="containsText" text="No se pudo ejecutar">
      <formula>NOT(ISERROR(SEARCH("No se pudo ejecutar",P275)))</formula>
    </cfRule>
    <cfRule type="containsText" dxfId="1206" priority="1495" operator="containsText" text="Pendiente">
      <formula>NOT(ISERROR(SEARCH("Pendiente",P275)))</formula>
    </cfRule>
    <cfRule type="containsText" dxfId="1205" priority="1496" operator="containsText" text="No Aplica">
      <formula>NOT(ISERROR(SEARCH("No Aplica",P275)))</formula>
    </cfRule>
    <cfRule type="containsText" dxfId="1204" priority="1497" operator="containsText" text="Fallido">
      <formula>NOT(ISERROR(SEARCH("Fallido",P275)))</formula>
    </cfRule>
    <cfRule type="containsText" dxfId="1203" priority="1498" operator="containsText" text="Éxitoso">
      <formula>NOT(ISERROR(SEARCH("Éxitoso",P275)))</formula>
    </cfRule>
  </conditionalFormatting>
  <conditionalFormatting sqref="Q275">
    <cfRule type="containsText" dxfId="1202" priority="1489" operator="containsText" text="No se pudo ejecutar">
      <formula>NOT(ISERROR(SEARCH("No se pudo ejecutar",Q275)))</formula>
    </cfRule>
    <cfRule type="containsText" dxfId="1201" priority="1490" operator="containsText" text="Pendiente">
      <formula>NOT(ISERROR(SEARCH("Pendiente",Q275)))</formula>
    </cfRule>
    <cfRule type="containsText" dxfId="1200" priority="1491" operator="containsText" text="No Aplica">
      <formula>NOT(ISERROR(SEARCH("No Aplica",Q275)))</formula>
    </cfRule>
    <cfRule type="containsText" dxfId="1199" priority="1492" operator="containsText" text="Fallido">
      <formula>NOT(ISERROR(SEARCH("Fallido",Q275)))</formula>
    </cfRule>
    <cfRule type="containsText" dxfId="1198" priority="1493" operator="containsText" text="Éxitoso">
      <formula>NOT(ISERROR(SEARCH("Éxitoso",Q275)))</formula>
    </cfRule>
  </conditionalFormatting>
  <conditionalFormatting sqref="R275">
    <cfRule type="containsText" dxfId="1197" priority="1484" operator="containsText" text="No se pudo ejecutar">
      <formula>NOT(ISERROR(SEARCH("No se pudo ejecutar",R275)))</formula>
    </cfRule>
    <cfRule type="containsText" dxfId="1196" priority="1485" operator="containsText" text="Pendiente">
      <formula>NOT(ISERROR(SEARCH("Pendiente",R275)))</formula>
    </cfRule>
    <cfRule type="containsText" dxfId="1195" priority="1486" operator="containsText" text="No Aplica">
      <formula>NOT(ISERROR(SEARCH("No Aplica",R275)))</formula>
    </cfRule>
    <cfRule type="containsText" dxfId="1194" priority="1487" operator="containsText" text="Fallido">
      <formula>NOT(ISERROR(SEARCH("Fallido",R275)))</formula>
    </cfRule>
    <cfRule type="containsText" dxfId="1193" priority="1488" operator="containsText" text="Éxitoso">
      <formula>NOT(ISERROR(SEARCH("Éxitoso",R275)))</formula>
    </cfRule>
  </conditionalFormatting>
  <conditionalFormatting sqref="S275">
    <cfRule type="containsText" dxfId="1192" priority="1479" operator="containsText" text="No se pudo ejecutar">
      <formula>NOT(ISERROR(SEARCH("No se pudo ejecutar",S275)))</formula>
    </cfRule>
    <cfRule type="containsText" dxfId="1191" priority="1480" operator="containsText" text="Pendiente">
      <formula>NOT(ISERROR(SEARCH("Pendiente",S275)))</formula>
    </cfRule>
    <cfRule type="containsText" dxfId="1190" priority="1481" operator="containsText" text="No Aplica">
      <formula>NOT(ISERROR(SEARCH("No Aplica",S275)))</formula>
    </cfRule>
    <cfRule type="containsText" dxfId="1189" priority="1482" operator="containsText" text="Fallido">
      <formula>NOT(ISERROR(SEARCH("Fallido",S275)))</formula>
    </cfRule>
    <cfRule type="containsText" dxfId="1188" priority="1483" operator="containsText" text="Éxitoso">
      <formula>NOT(ISERROR(SEARCH("Éxitoso",S275)))</formula>
    </cfRule>
  </conditionalFormatting>
  <conditionalFormatting sqref="T275">
    <cfRule type="containsText" dxfId="1187" priority="1474" operator="containsText" text="No se pudo ejecutar">
      <formula>NOT(ISERROR(SEARCH("No se pudo ejecutar",T275)))</formula>
    </cfRule>
    <cfRule type="containsText" dxfId="1186" priority="1475" operator="containsText" text="Pendiente">
      <formula>NOT(ISERROR(SEARCH("Pendiente",T275)))</formula>
    </cfRule>
    <cfRule type="containsText" dxfId="1185" priority="1476" operator="containsText" text="No Aplica">
      <formula>NOT(ISERROR(SEARCH("No Aplica",T275)))</formula>
    </cfRule>
    <cfRule type="containsText" dxfId="1184" priority="1477" operator="containsText" text="Fallido">
      <formula>NOT(ISERROR(SEARCH("Fallido",T275)))</formula>
    </cfRule>
    <cfRule type="containsText" dxfId="1183" priority="1478" operator="containsText" text="Éxitoso">
      <formula>NOT(ISERROR(SEARCH("Éxitoso",T275)))</formula>
    </cfRule>
  </conditionalFormatting>
  <conditionalFormatting sqref="U275">
    <cfRule type="containsText" dxfId="1182" priority="1469" operator="containsText" text="No se pudo ejecutar">
      <formula>NOT(ISERROR(SEARCH("No se pudo ejecutar",U275)))</formula>
    </cfRule>
    <cfRule type="containsText" dxfId="1181" priority="1470" operator="containsText" text="Pendiente">
      <formula>NOT(ISERROR(SEARCH("Pendiente",U275)))</formula>
    </cfRule>
    <cfRule type="containsText" dxfId="1180" priority="1471" operator="containsText" text="No Aplica">
      <formula>NOT(ISERROR(SEARCH("No Aplica",U275)))</formula>
    </cfRule>
    <cfRule type="containsText" dxfId="1179" priority="1472" operator="containsText" text="Fallido">
      <formula>NOT(ISERROR(SEARCH("Fallido",U275)))</formula>
    </cfRule>
    <cfRule type="containsText" dxfId="1178" priority="1473" operator="containsText" text="Éxitoso">
      <formula>NOT(ISERROR(SEARCH("Éxitoso",U275)))</formula>
    </cfRule>
  </conditionalFormatting>
  <conditionalFormatting sqref="V275">
    <cfRule type="containsText" dxfId="1177" priority="1464" operator="containsText" text="No se pudo ejecutar">
      <formula>NOT(ISERROR(SEARCH("No se pudo ejecutar",V275)))</formula>
    </cfRule>
    <cfRule type="containsText" dxfId="1176" priority="1465" operator="containsText" text="Pendiente">
      <formula>NOT(ISERROR(SEARCH("Pendiente",V275)))</formula>
    </cfRule>
    <cfRule type="containsText" dxfId="1175" priority="1466" operator="containsText" text="No Aplica">
      <formula>NOT(ISERROR(SEARCH("No Aplica",V275)))</formula>
    </cfRule>
    <cfRule type="containsText" dxfId="1174" priority="1467" operator="containsText" text="Fallido">
      <formula>NOT(ISERROR(SEARCH("Fallido",V275)))</formula>
    </cfRule>
    <cfRule type="containsText" dxfId="1173" priority="1468" operator="containsText" text="Éxitoso">
      <formula>NOT(ISERROR(SEARCH("Éxitoso",V275)))</formula>
    </cfRule>
  </conditionalFormatting>
  <conditionalFormatting sqref="W275">
    <cfRule type="containsText" dxfId="1172" priority="1459" operator="containsText" text="No se pudo ejecutar">
      <formula>NOT(ISERROR(SEARCH("No se pudo ejecutar",W275)))</formula>
    </cfRule>
    <cfRule type="containsText" dxfId="1171" priority="1460" operator="containsText" text="Pendiente">
      <formula>NOT(ISERROR(SEARCH("Pendiente",W275)))</formula>
    </cfRule>
    <cfRule type="containsText" dxfId="1170" priority="1461" operator="containsText" text="No Aplica">
      <formula>NOT(ISERROR(SEARCH("No Aplica",W275)))</formula>
    </cfRule>
    <cfRule type="containsText" dxfId="1169" priority="1462" operator="containsText" text="Fallido">
      <formula>NOT(ISERROR(SEARCH("Fallido",W275)))</formula>
    </cfRule>
    <cfRule type="containsText" dxfId="1168" priority="1463" operator="containsText" text="Éxitoso">
      <formula>NOT(ISERROR(SEARCH("Éxitoso",W275)))</formula>
    </cfRule>
  </conditionalFormatting>
  <conditionalFormatting sqref="M275">
    <cfRule type="containsText" dxfId="1167" priority="1454" operator="containsText" text="No se pudo ejecutar">
      <formula>NOT(ISERROR(SEARCH("No se pudo ejecutar",M275)))</formula>
    </cfRule>
    <cfRule type="containsText" dxfId="1166" priority="1455" operator="containsText" text="Pendiente">
      <formula>NOT(ISERROR(SEARCH("Pendiente",M275)))</formula>
    </cfRule>
    <cfRule type="containsText" dxfId="1165" priority="1456" operator="containsText" text="No Aplica">
      <formula>NOT(ISERROR(SEARCH("No Aplica",M275)))</formula>
    </cfRule>
    <cfRule type="containsText" dxfId="1164" priority="1457" operator="containsText" text="Fallido">
      <formula>NOT(ISERROR(SEARCH("Fallido",M275)))</formula>
    </cfRule>
    <cfRule type="containsText" dxfId="1163" priority="1458" operator="containsText" text="Éxitoso">
      <formula>NOT(ISERROR(SEARCH("Éxitoso",M275)))</formula>
    </cfRule>
  </conditionalFormatting>
  <conditionalFormatting sqref="G275">
    <cfRule type="containsText" dxfId="1162" priority="1451" operator="containsText" text="Bajo">
      <formula>NOT(ISERROR(SEARCH("Bajo",G275)))</formula>
    </cfRule>
    <cfRule type="containsText" dxfId="1161" priority="1452" operator="containsText" text="Medio">
      <formula>NOT(ISERROR(SEARCH("Medio",G275)))</formula>
    </cfRule>
    <cfRule type="containsText" dxfId="1160" priority="1453" operator="containsText" text="Alto">
      <formula>NOT(ISERROR(SEARCH("Alto",G275)))</formula>
    </cfRule>
  </conditionalFormatting>
  <conditionalFormatting sqref="N276">
    <cfRule type="containsText" dxfId="1159" priority="1446" operator="containsText" text="No se pudo ejecutar">
      <formula>NOT(ISERROR(SEARCH("No se pudo ejecutar",N276)))</formula>
    </cfRule>
    <cfRule type="containsText" dxfId="1158" priority="1447" operator="containsText" text="Pendiente">
      <formula>NOT(ISERROR(SEARCH("Pendiente",N276)))</formula>
    </cfRule>
    <cfRule type="containsText" dxfId="1157" priority="1448" operator="containsText" text="No Aplica">
      <formula>NOT(ISERROR(SEARCH("No Aplica",N276)))</formula>
    </cfRule>
    <cfRule type="containsText" dxfId="1156" priority="1449" operator="containsText" text="Fallido">
      <formula>NOT(ISERROR(SEARCH("Fallido",N276)))</formula>
    </cfRule>
    <cfRule type="containsText" dxfId="1155" priority="1450" operator="containsText" text="Éxitoso">
      <formula>NOT(ISERROR(SEARCH("Éxitoso",N276)))</formula>
    </cfRule>
  </conditionalFormatting>
  <conditionalFormatting sqref="O276">
    <cfRule type="containsText" dxfId="1154" priority="1441" operator="containsText" text="No se pudo ejecutar">
      <formula>NOT(ISERROR(SEARCH("No se pudo ejecutar",O276)))</formula>
    </cfRule>
    <cfRule type="containsText" dxfId="1153" priority="1442" operator="containsText" text="Pendiente">
      <formula>NOT(ISERROR(SEARCH("Pendiente",O276)))</formula>
    </cfRule>
    <cfRule type="containsText" dxfId="1152" priority="1443" operator="containsText" text="No Aplica">
      <formula>NOT(ISERROR(SEARCH("No Aplica",O276)))</formula>
    </cfRule>
    <cfRule type="containsText" dxfId="1151" priority="1444" operator="containsText" text="Fallido">
      <formula>NOT(ISERROR(SEARCH("Fallido",O276)))</formula>
    </cfRule>
    <cfRule type="containsText" dxfId="1150" priority="1445" operator="containsText" text="Éxitoso">
      <formula>NOT(ISERROR(SEARCH("Éxitoso",O276)))</formula>
    </cfRule>
  </conditionalFormatting>
  <conditionalFormatting sqref="P276">
    <cfRule type="containsText" dxfId="1149" priority="1436" operator="containsText" text="No se pudo ejecutar">
      <formula>NOT(ISERROR(SEARCH("No se pudo ejecutar",P276)))</formula>
    </cfRule>
    <cfRule type="containsText" dxfId="1148" priority="1437" operator="containsText" text="Pendiente">
      <formula>NOT(ISERROR(SEARCH("Pendiente",P276)))</formula>
    </cfRule>
    <cfRule type="containsText" dxfId="1147" priority="1438" operator="containsText" text="No Aplica">
      <formula>NOT(ISERROR(SEARCH("No Aplica",P276)))</formula>
    </cfRule>
    <cfRule type="containsText" dxfId="1146" priority="1439" operator="containsText" text="Fallido">
      <formula>NOT(ISERROR(SEARCH("Fallido",P276)))</formula>
    </cfRule>
    <cfRule type="containsText" dxfId="1145" priority="1440" operator="containsText" text="Éxitoso">
      <formula>NOT(ISERROR(SEARCH("Éxitoso",P276)))</formula>
    </cfRule>
  </conditionalFormatting>
  <conditionalFormatting sqref="Q276">
    <cfRule type="containsText" dxfId="1144" priority="1431" operator="containsText" text="No se pudo ejecutar">
      <formula>NOT(ISERROR(SEARCH("No se pudo ejecutar",Q276)))</formula>
    </cfRule>
    <cfRule type="containsText" dxfId="1143" priority="1432" operator="containsText" text="Pendiente">
      <formula>NOT(ISERROR(SEARCH("Pendiente",Q276)))</formula>
    </cfRule>
    <cfRule type="containsText" dxfId="1142" priority="1433" operator="containsText" text="No Aplica">
      <formula>NOT(ISERROR(SEARCH("No Aplica",Q276)))</formula>
    </cfRule>
    <cfRule type="containsText" dxfId="1141" priority="1434" operator="containsText" text="Fallido">
      <formula>NOT(ISERROR(SEARCH("Fallido",Q276)))</formula>
    </cfRule>
    <cfRule type="containsText" dxfId="1140" priority="1435" operator="containsText" text="Éxitoso">
      <formula>NOT(ISERROR(SEARCH("Éxitoso",Q276)))</formula>
    </cfRule>
  </conditionalFormatting>
  <conditionalFormatting sqref="R276">
    <cfRule type="containsText" dxfId="1139" priority="1426" operator="containsText" text="No se pudo ejecutar">
      <formula>NOT(ISERROR(SEARCH("No se pudo ejecutar",R276)))</formula>
    </cfRule>
    <cfRule type="containsText" dxfId="1138" priority="1427" operator="containsText" text="Pendiente">
      <formula>NOT(ISERROR(SEARCH("Pendiente",R276)))</formula>
    </cfRule>
    <cfRule type="containsText" dxfId="1137" priority="1428" operator="containsText" text="No Aplica">
      <formula>NOT(ISERROR(SEARCH("No Aplica",R276)))</formula>
    </cfRule>
    <cfRule type="containsText" dxfId="1136" priority="1429" operator="containsText" text="Fallido">
      <formula>NOT(ISERROR(SEARCH("Fallido",R276)))</formula>
    </cfRule>
    <cfRule type="containsText" dxfId="1135" priority="1430" operator="containsText" text="Éxitoso">
      <formula>NOT(ISERROR(SEARCH("Éxitoso",R276)))</formula>
    </cfRule>
  </conditionalFormatting>
  <conditionalFormatting sqref="S276">
    <cfRule type="containsText" dxfId="1134" priority="1421" operator="containsText" text="No se pudo ejecutar">
      <formula>NOT(ISERROR(SEARCH("No se pudo ejecutar",S276)))</formula>
    </cfRule>
    <cfRule type="containsText" dxfId="1133" priority="1422" operator="containsText" text="Pendiente">
      <formula>NOT(ISERROR(SEARCH("Pendiente",S276)))</formula>
    </cfRule>
    <cfRule type="containsText" dxfId="1132" priority="1423" operator="containsText" text="No Aplica">
      <formula>NOT(ISERROR(SEARCH("No Aplica",S276)))</formula>
    </cfRule>
    <cfRule type="containsText" dxfId="1131" priority="1424" operator="containsText" text="Fallido">
      <formula>NOT(ISERROR(SEARCH("Fallido",S276)))</formula>
    </cfRule>
    <cfRule type="containsText" dxfId="1130" priority="1425" operator="containsText" text="Éxitoso">
      <formula>NOT(ISERROR(SEARCH("Éxitoso",S276)))</formula>
    </cfRule>
  </conditionalFormatting>
  <conditionalFormatting sqref="T276">
    <cfRule type="containsText" dxfId="1129" priority="1416" operator="containsText" text="No se pudo ejecutar">
      <formula>NOT(ISERROR(SEARCH("No se pudo ejecutar",T276)))</formula>
    </cfRule>
    <cfRule type="containsText" dxfId="1128" priority="1417" operator="containsText" text="Pendiente">
      <formula>NOT(ISERROR(SEARCH("Pendiente",T276)))</formula>
    </cfRule>
    <cfRule type="containsText" dxfId="1127" priority="1418" operator="containsText" text="No Aplica">
      <formula>NOT(ISERROR(SEARCH("No Aplica",T276)))</formula>
    </cfRule>
    <cfRule type="containsText" dxfId="1126" priority="1419" operator="containsText" text="Fallido">
      <formula>NOT(ISERROR(SEARCH("Fallido",T276)))</formula>
    </cfRule>
    <cfRule type="containsText" dxfId="1125" priority="1420" operator="containsText" text="Éxitoso">
      <formula>NOT(ISERROR(SEARCH("Éxitoso",T276)))</formula>
    </cfRule>
  </conditionalFormatting>
  <conditionalFormatting sqref="U276">
    <cfRule type="containsText" dxfId="1124" priority="1411" operator="containsText" text="No se pudo ejecutar">
      <formula>NOT(ISERROR(SEARCH("No se pudo ejecutar",U276)))</formula>
    </cfRule>
    <cfRule type="containsText" dxfId="1123" priority="1412" operator="containsText" text="Pendiente">
      <formula>NOT(ISERROR(SEARCH("Pendiente",U276)))</formula>
    </cfRule>
    <cfRule type="containsText" dxfId="1122" priority="1413" operator="containsText" text="No Aplica">
      <formula>NOT(ISERROR(SEARCH("No Aplica",U276)))</formula>
    </cfRule>
    <cfRule type="containsText" dxfId="1121" priority="1414" operator="containsText" text="Fallido">
      <formula>NOT(ISERROR(SEARCH("Fallido",U276)))</formula>
    </cfRule>
    <cfRule type="containsText" dxfId="1120" priority="1415" operator="containsText" text="Éxitoso">
      <formula>NOT(ISERROR(SEARCH("Éxitoso",U276)))</formula>
    </cfRule>
  </conditionalFormatting>
  <conditionalFormatting sqref="V276">
    <cfRule type="containsText" dxfId="1119" priority="1406" operator="containsText" text="No se pudo ejecutar">
      <formula>NOT(ISERROR(SEARCH("No se pudo ejecutar",V276)))</formula>
    </cfRule>
    <cfRule type="containsText" dxfId="1118" priority="1407" operator="containsText" text="Pendiente">
      <formula>NOT(ISERROR(SEARCH("Pendiente",V276)))</formula>
    </cfRule>
    <cfRule type="containsText" dxfId="1117" priority="1408" operator="containsText" text="No Aplica">
      <formula>NOT(ISERROR(SEARCH("No Aplica",V276)))</formula>
    </cfRule>
    <cfRule type="containsText" dxfId="1116" priority="1409" operator="containsText" text="Fallido">
      <formula>NOT(ISERROR(SEARCH("Fallido",V276)))</formula>
    </cfRule>
    <cfRule type="containsText" dxfId="1115" priority="1410" operator="containsText" text="Éxitoso">
      <formula>NOT(ISERROR(SEARCH("Éxitoso",V276)))</formula>
    </cfRule>
  </conditionalFormatting>
  <conditionalFormatting sqref="W276">
    <cfRule type="containsText" dxfId="1114" priority="1401" operator="containsText" text="No se pudo ejecutar">
      <formula>NOT(ISERROR(SEARCH("No se pudo ejecutar",W276)))</formula>
    </cfRule>
    <cfRule type="containsText" dxfId="1113" priority="1402" operator="containsText" text="Pendiente">
      <formula>NOT(ISERROR(SEARCH("Pendiente",W276)))</formula>
    </cfRule>
    <cfRule type="containsText" dxfId="1112" priority="1403" operator="containsText" text="No Aplica">
      <formula>NOT(ISERROR(SEARCH("No Aplica",W276)))</formula>
    </cfRule>
    <cfRule type="containsText" dxfId="1111" priority="1404" operator="containsText" text="Fallido">
      <formula>NOT(ISERROR(SEARCH("Fallido",W276)))</formula>
    </cfRule>
    <cfRule type="containsText" dxfId="1110" priority="1405" operator="containsText" text="Éxitoso">
      <formula>NOT(ISERROR(SEARCH("Éxitoso",W276)))</formula>
    </cfRule>
  </conditionalFormatting>
  <conditionalFormatting sqref="M276">
    <cfRule type="containsText" dxfId="1109" priority="1396" operator="containsText" text="No se pudo ejecutar">
      <formula>NOT(ISERROR(SEARCH("No se pudo ejecutar",M276)))</formula>
    </cfRule>
    <cfRule type="containsText" dxfId="1108" priority="1397" operator="containsText" text="Pendiente">
      <formula>NOT(ISERROR(SEARCH("Pendiente",M276)))</formula>
    </cfRule>
    <cfRule type="containsText" dxfId="1107" priority="1398" operator="containsText" text="No Aplica">
      <formula>NOT(ISERROR(SEARCH("No Aplica",M276)))</formula>
    </cfRule>
    <cfRule type="containsText" dxfId="1106" priority="1399" operator="containsText" text="Fallido">
      <formula>NOT(ISERROR(SEARCH("Fallido",M276)))</formula>
    </cfRule>
    <cfRule type="containsText" dxfId="1105" priority="1400" operator="containsText" text="Éxitoso">
      <formula>NOT(ISERROR(SEARCH("Éxitoso",M276)))</formula>
    </cfRule>
  </conditionalFormatting>
  <conditionalFormatting sqref="G276">
    <cfRule type="containsText" dxfId="1104" priority="1393" operator="containsText" text="Bajo">
      <formula>NOT(ISERROR(SEARCH("Bajo",G276)))</formula>
    </cfRule>
    <cfRule type="containsText" dxfId="1103" priority="1394" operator="containsText" text="Medio">
      <formula>NOT(ISERROR(SEARCH("Medio",G276)))</formula>
    </cfRule>
    <cfRule type="containsText" dxfId="1102" priority="1395" operator="containsText" text="Alto">
      <formula>NOT(ISERROR(SEARCH("Alto",G276)))</formula>
    </cfRule>
  </conditionalFormatting>
  <conditionalFormatting sqref="N277">
    <cfRule type="containsText" dxfId="1101" priority="1388" operator="containsText" text="No se pudo ejecutar">
      <formula>NOT(ISERROR(SEARCH("No se pudo ejecutar",N277)))</formula>
    </cfRule>
    <cfRule type="containsText" dxfId="1100" priority="1389" operator="containsText" text="Pendiente">
      <formula>NOT(ISERROR(SEARCH("Pendiente",N277)))</formula>
    </cfRule>
    <cfRule type="containsText" dxfId="1099" priority="1390" operator="containsText" text="No Aplica">
      <formula>NOT(ISERROR(SEARCH("No Aplica",N277)))</formula>
    </cfRule>
    <cfRule type="containsText" dxfId="1098" priority="1391" operator="containsText" text="Fallido">
      <formula>NOT(ISERROR(SEARCH("Fallido",N277)))</formula>
    </cfRule>
    <cfRule type="containsText" dxfId="1097" priority="1392" operator="containsText" text="Éxitoso">
      <formula>NOT(ISERROR(SEARCH("Éxitoso",N277)))</formula>
    </cfRule>
  </conditionalFormatting>
  <conditionalFormatting sqref="O277">
    <cfRule type="containsText" dxfId="1096" priority="1383" operator="containsText" text="No se pudo ejecutar">
      <formula>NOT(ISERROR(SEARCH("No se pudo ejecutar",O277)))</formula>
    </cfRule>
    <cfRule type="containsText" dxfId="1095" priority="1384" operator="containsText" text="Pendiente">
      <formula>NOT(ISERROR(SEARCH("Pendiente",O277)))</formula>
    </cfRule>
    <cfRule type="containsText" dxfId="1094" priority="1385" operator="containsText" text="No Aplica">
      <formula>NOT(ISERROR(SEARCH("No Aplica",O277)))</formula>
    </cfRule>
    <cfRule type="containsText" dxfId="1093" priority="1386" operator="containsText" text="Fallido">
      <formula>NOT(ISERROR(SEARCH("Fallido",O277)))</formula>
    </cfRule>
    <cfRule type="containsText" dxfId="1092" priority="1387" operator="containsText" text="Éxitoso">
      <formula>NOT(ISERROR(SEARCH("Éxitoso",O277)))</formula>
    </cfRule>
  </conditionalFormatting>
  <conditionalFormatting sqref="P277">
    <cfRule type="containsText" dxfId="1091" priority="1378" operator="containsText" text="No se pudo ejecutar">
      <formula>NOT(ISERROR(SEARCH("No se pudo ejecutar",P277)))</formula>
    </cfRule>
    <cfRule type="containsText" dxfId="1090" priority="1379" operator="containsText" text="Pendiente">
      <formula>NOT(ISERROR(SEARCH("Pendiente",P277)))</formula>
    </cfRule>
    <cfRule type="containsText" dxfId="1089" priority="1380" operator="containsText" text="No Aplica">
      <formula>NOT(ISERROR(SEARCH("No Aplica",P277)))</formula>
    </cfRule>
    <cfRule type="containsText" dxfId="1088" priority="1381" operator="containsText" text="Fallido">
      <formula>NOT(ISERROR(SEARCH("Fallido",P277)))</formula>
    </cfRule>
    <cfRule type="containsText" dxfId="1087" priority="1382" operator="containsText" text="Éxitoso">
      <formula>NOT(ISERROR(SEARCH("Éxitoso",P277)))</formula>
    </cfRule>
  </conditionalFormatting>
  <conditionalFormatting sqref="Q277">
    <cfRule type="containsText" dxfId="1086" priority="1373" operator="containsText" text="No se pudo ejecutar">
      <formula>NOT(ISERROR(SEARCH("No se pudo ejecutar",Q277)))</formula>
    </cfRule>
    <cfRule type="containsText" dxfId="1085" priority="1374" operator="containsText" text="Pendiente">
      <formula>NOT(ISERROR(SEARCH("Pendiente",Q277)))</formula>
    </cfRule>
    <cfRule type="containsText" dxfId="1084" priority="1375" operator="containsText" text="No Aplica">
      <formula>NOT(ISERROR(SEARCH("No Aplica",Q277)))</formula>
    </cfRule>
    <cfRule type="containsText" dxfId="1083" priority="1376" operator="containsText" text="Fallido">
      <formula>NOT(ISERROR(SEARCH("Fallido",Q277)))</formula>
    </cfRule>
    <cfRule type="containsText" dxfId="1082" priority="1377" operator="containsText" text="Éxitoso">
      <formula>NOT(ISERROR(SEARCH("Éxitoso",Q277)))</formula>
    </cfRule>
  </conditionalFormatting>
  <conditionalFormatting sqref="R277">
    <cfRule type="containsText" dxfId="1081" priority="1368" operator="containsText" text="No se pudo ejecutar">
      <formula>NOT(ISERROR(SEARCH("No se pudo ejecutar",R277)))</formula>
    </cfRule>
    <cfRule type="containsText" dxfId="1080" priority="1369" operator="containsText" text="Pendiente">
      <formula>NOT(ISERROR(SEARCH("Pendiente",R277)))</formula>
    </cfRule>
    <cfRule type="containsText" dxfId="1079" priority="1370" operator="containsText" text="No Aplica">
      <formula>NOT(ISERROR(SEARCH("No Aplica",R277)))</formula>
    </cfRule>
    <cfRule type="containsText" dxfId="1078" priority="1371" operator="containsText" text="Fallido">
      <formula>NOT(ISERROR(SEARCH("Fallido",R277)))</formula>
    </cfRule>
    <cfRule type="containsText" dxfId="1077" priority="1372" operator="containsText" text="Éxitoso">
      <formula>NOT(ISERROR(SEARCH("Éxitoso",R277)))</formula>
    </cfRule>
  </conditionalFormatting>
  <conditionalFormatting sqref="S277">
    <cfRule type="containsText" dxfId="1076" priority="1363" operator="containsText" text="No se pudo ejecutar">
      <formula>NOT(ISERROR(SEARCH("No se pudo ejecutar",S277)))</formula>
    </cfRule>
    <cfRule type="containsText" dxfId="1075" priority="1364" operator="containsText" text="Pendiente">
      <formula>NOT(ISERROR(SEARCH("Pendiente",S277)))</formula>
    </cfRule>
    <cfRule type="containsText" dxfId="1074" priority="1365" operator="containsText" text="No Aplica">
      <formula>NOT(ISERROR(SEARCH("No Aplica",S277)))</formula>
    </cfRule>
    <cfRule type="containsText" dxfId="1073" priority="1366" operator="containsText" text="Fallido">
      <formula>NOT(ISERROR(SEARCH("Fallido",S277)))</formula>
    </cfRule>
    <cfRule type="containsText" dxfId="1072" priority="1367" operator="containsText" text="Éxitoso">
      <formula>NOT(ISERROR(SEARCH("Éxitoso",S277)))</formula>
    </cfRule>
  </conditionalFormatting>
  <conditionalFormatting sqref="T277">
    <cfRule type="containsText" dxfId="1071" priority="1358" operator="containsText" text="No se pudo ejecutar">
      <formula>NOT(ISERROR(SEARCH("No se pudo ejecutar",T277)))</formula>
    </cfRule>
    <cfRule type="containsText" dxfId="1070" priority="1359" operator="containsText" text="Pendiente">
      <formula>NOT(ISERROR(SEARCH("Pendiente",T277)))</formula>
    </cfRule>
    <cfRule type="containsText" dxfId="1069" priority="1360" operator="containsText" text="No Aplica">
      <formula>NOT(ISERROR(SEARCH("No Aplica",T277)))</formula>
    </cfRule>
    <cfRule type="containsText" dxfId="1068" priority="1361" operator="containsText" text="Fallido">
      <formula>NOT(ISERROR(SEARCH("Fallido",T277)))</formula>
    </cfRule>
    <cfRule type="containsText" dxfId="1067" priority="1362" operator="containsText" text="Éxitoso">
      <formula>NOT(ISERROR(SEARCH("Éxitoso",T277)))</formula>
    </cfRule>
  </conditionalFormatting>
  <conditionalFormatting sqref="U277">
    <cfRule type="containsText" dxfId="1066" priority="1353" operator="containsText" text="No se pudo ejecutar">
      <formula>NOT(ISERROR(SEARCH("No se pudo ejecutar",U277)))</formula>
    </cfRule>
    <cfRule type="containsText" dxfId="1065" priority="1354" operator="containsText" text="Pendiente">
      <formula>NOT(ISERROR(SEARCH("Pendiente",U277)))</formula>
    </cfRule>
    <cfRule type="containsText" dxfId="1064" priority="1355" operator="containsText" text="No Aplica">
      <formula>NOT(ISERROR(SEARCH("No Aplica",U277)))</formula>
    </cfRule>
    <cfRule type="containsText" dxfId="1063" priority="1356" operator="containsText" text="Fallido">
      <formula>NOT(ISERROR(SEARCH("Fallido",U277)))</formula>
    </cfRule>
    <cfRule type="containsText" dxfId="1062" priority="1357" operator="containsText" text="Éxitoso">
      <formula>NOT(ISERROR(SEARCH("Éxitoso",U277)))</formula>
    </cfRule>
  </conditionalFormatting>
  <conditionalFormatting sqref="V277">
    <cfRule type="containsText" dxfId="1061" priority="1348" operator="containsText" text="No se pudo ejecutar">
      <formula>NOT(ISERROR(SEARCH("No se pudo ejecutar",V277)))</formula>
    </cfRule>
    <cfRule type="containsText" dxfId="1060" priority="1349" operator="containsText" text="Pendiente">
      <formula>NOT(ISERROR(SEARCH("Pendiente",V277)))</formula>
    </cfRule>
    <cfRule type="containsText" dxfId="1059" priority="1350" operator="containsText" text="No Aplica">
      <formula>NOT(ISERROR(SEARCH("No Aplica",V277)))</formula>
    </cfRule>
    <cfRule type="containsText" dxfId="1058" priority="1351" operator="containsText" text="Fallido">
      <formula>NOT(ISERROR(SEARCH("Fallido",V277)))</formula>
    </cfRule>
    <cfRule type="containsText" dxfId="1057" priority="1352" operator="containsText" text="Éxitoso">
      <formula>NOT(ISERROR(SEARCH("Éxitoso",V277)))</formula>
    </cfRule>
  </conditionalFormatting>
  <conditionalFormatting sqref="W277">
    <cfRule type="containsText" dxfId="1056" priority="1343" operator="containsText" text="No se pudo ejecutar">
      <formula>NOT(ISERROR(SEARCH("No se pudo ejecutar",W277)))</formula>
    </cfRule>
    <cfRule type="containsText" dxfId="1055" priority="1344" operator="containsText" text="Pendiente">
      <formula>NOT(ISERROR(SEARCH("Pendiente",W277)))</formula>
    </cfRule>
    <cfRule type="containsText" dxfId="1054" priority="1345" operator="containsText" text="No Aplica">
      <formula>NOT(ISERROR(SEARCH("No Aplica",W277)))</formula>
    </cfRule>
    <cfRule type="containsText" dxfId="1053" priority="1346" operator="containsText" text="Fallido">
      <formula>NOT(ISERROR(SEARCH("Fallido",W277)))</formula>
    </cfRule>
    <cfRule type="containsText" dxfId="1052" priority="1347" operator="containsText" text="Éxitoso">
      <formula>NOT(ISERROR(SEARCH("Éxitoso",W277)))</formula>
    </cfRule>
  </conditionalFormatting>
  <conditionalFormatting sqref="M277">
    <cfRule type="containsText" dxfId="1051" priority="1338" operator="containsText" text="No se pudo ejecutar">
      <formula>NOT(ISERROR(SEARCH("No se pudo ejecutar",M277)))</formula>
    </cfRule>
    <cfRule type="containsText" dxfId="1050" priority="1339" operator="containsText" text="Pendiente">
      <formula>NOT(ISERROR(SEARCH("Pendiente",M277)))</formula>
    </cfRule>
    <cfRule type="containsText" dxfId="1049" priority="1340" operator="containsText" text="No Aplica">
      <formula>NOT(ISERROR(SEARCH("No Aplica",M277)))</formula>
    </cfRule>
    <cfRule type="containsText" dxfId="1048" priority="1341" operator="containsText" text="Fallido">
      <formula>NOT(ISERROR(SEARCH("Fallido",M277)))</formula>
    </cfRule>
    <cfRule type="containsText" dxfId="1047" priority="1342" operator="containsText" text="Éxitoso">
      <formula>NOT(ISERROR(SEARCH("Éxitoso",M277)))</formula>
    </cfRule>
  </conditionalFormatting>
  <conditionalFormatting sqref="G277">
    <cfRule type="containsText" dxfId="1046" priority="1335" operator="containsText" text="Bajo">
      <formula>NOT(ISERROR(SEARCH("Bajo",G277)))</formula>
    </cfRule>
    <cfRule type="containsText" dxfId="1045" priority="1336" operator="containsText" text="Medio">
      <formula>NOT(ISERROR(SEARCH("Medio",G277)))</formula>
    </cfRule>
    <cfRule type="containsText" dxfId="1044" priority="1337" operator="containsText" text="Alto">
      <formula>NOT(ISERROR(SEARCH("Alto",G277)))</formula>
    </cfRule>
  </conditionalFormatting>
  <conditionalFormatting sqref="N278">
    <cfRule type="containsText" dxfId="1043" priority="1330" operator="containsText" text="No se pudo ejecutar">
      <formula>NOT(ISERROR(SEARCH("No se pudo ejecutar",N278)))</formula>
    </cfRule>
    <cfRule type="containsText" dxfId="1042" priority="1331" operator="containsText" text="Pendiente">
      <formula>NOT(ISERROR(SEARCH("Pendiente",N278)))</formula>
    </cfRule>
    <cfRule type="containsText" dxfId="1041" priority="1332" operator="containsText" text="No Aplica">
      <formula>NOT(ISERROR(SEARCH("No Aplica",N278)))</formula>
    </cfRule>
    <cfRule type="containsText" dxfId="1040" priority="1333" operator="containsText" text="Fallido">
      <formula>NOT(ISERROR(SEARCH("Fallido",N278)))</formula>
    </cfRule>
    <cfRule type="containsText" dxfId="1039" priority="1334" operator="containsText" text="Éxitoso">
      <formula>NOT(ISERROR(SEARCH("Éxitoso",N278)))</formula>
    </cfRule>
  </conditionalFormatting>
  <conditionalFormatting sqref="O278">
    <cfRule type="containsText" dxfId="1038" priority="1325" operator="containsText" text="No se pudo ejecutar">
      <formula>NOT(ISERROR(SEARCH("No se pudo ejecutar",O278)))</formula>
    </cfRule>
    <cfRule type="containsText" dxfId="1037" priority="1326" operator="containsText" text="Pendiente">
      <formula>NOT(ISERROR(SEARCH("Pendiente",O278)))</formula>
    </cfRule>
    <cfRule type="containsText" dxfId="1036" priority="1327" operator="containsText" text="No Aplica">
      <formula>NOT(ISERROR(SEARCH("No Aplica",O278)))</formula>
    </cfRule>
    <cfRule type="containsText" dxfId="1035" priority="1328" operator="containsText" text="Fallido">
      <formula>NOT(ISERROR(SEARCH("Fallido",O278)))</formula>
    </cfRule>
    <cfRule type="containsText" dxfId="1034" priority="1329" operator="containsText" text="Éxitoso">
      <formula>NOT(ISERROR(SEARCH("Éxitoso",O278)))</formula>
    </cfRule>
  </conditionalFormatting>
  <conditionalFormatting sqref="P278">
    <cfRule type="containsText" dxfId="1033" priority="1320" operator="containsText" text="No se pudo ejecutar">
      <formula>NOT(ISERROR(SEARCH("No se pudo ejecutar",P278)))</formula>
    </cfRule>
    <cfRule type="containsText" dxfId="1032" priority="1321" operator="containsText" text="Pendiente">
      <formula>NOT(ISERROR(SEARCH("Pendiente",P278)))</formula>
    </cfRule>
    <cfRule type="containsText" dxfId="1031" priority="1322" operator="containsText" text="No Aplica">
      <formula>NOT(ISERROR(SEARCH("No Aplica",P278)))</formula>
    </cfRule>
    <cfRule type="containsText" dxfId="1030" priority="1323" operator="containsText" text="Fallido">
      <formula>NOT(ISERROR(SEARCH("Fallido",P278)))</formula>
    </cfRule>
    <cfRule type="containsText" dxfId="1029" priority="1324" operator="containsText" text="Éxitoso">
      <formula>NOT(ISERROR(SEARCH("Éxitoso",P278)))</formula>
    </cfRule>
  </conditionalFormatting>
  <conditionalFormatting sqref="Q278">
    <cfRule type="containsText" dxfId="1028" priority="1315" operator="containsText" text="No se pudo ejecutar">
      <formula>NOT(ISERROR(SEARCH("No se pudo ejecutar",Q278)))</formula>
    </cfRule>
    <cfRule type="containsText" dxfId="1027" priority="1316" operator="containsText" text="Pendiente">
      <formula>NOT(ISERROR(SEARCH("Pendiente",Q278)))</formula>
    </cfRule>
    <cfRule type="containsText" dxfId="1026" priority="1317" operator="containsText" text="No Aplica">
      <formula>NOT(ISERROR(SEARCH("No Aplica",Q278)))</formula>
    </cfRule>
    <cfRule type="containsText" dxfId="1025" priority="1318" operator="containsText" text="Fallido">
      <formula>NOT(ISERROR(SEARCH("Fallido",Q278)))</formula>
    </cfRule>
    <cfRule type="containsText" dxfId="1024" priority="1319" operator="containsText" text="Éxitoso">
      <formula>NOT(ISERROR(SEARCH("Éxitoso",Q278)))</formula>
    </cfRule>
  </conditionalFormatting>
  <conditionalFormatting sqref="R278">
    <cfRule type="containsText" dxfId="1023" priority="1310" operator="containsText" text="No se pudo ejecutar">
      <formula>NOT(ISERROR(SEARCH("No se pudo ejecutar",R278)))</formula>
    </cfRule>
    <cfRule type="containsText" dxfId="1022" priority="1311" operator="containsText" text="Pendiente">
      <formula>NOT(ISERROR(SEARCH("Pendiente",R278)))</formula>
    </cfRule>
    <cfRule type="containsText" dxfId="1021" priority="1312" operator="containsText" text="No Aplica">
      <formula>NOT(ISERROR(SEARCH("No Aplica",R278)))</formula>
    </cfRule>
    <cfRule type="containsText" dxfId="1020" priority="1313" operator="containsText" text="Fallido">
      <formula>NOT(ISERROR(SEARCH("Fallido",R278)))</formula>
    </cfRule>
    <cfRule type="containsText" dxfId="1019" priority="1314" operator="containsText" text="Éxitoso">
      <formula>NOT(ISERROR(SEARCH("Éxitoso",R278)))</formula>
    </cfRule>
  </conditionalFormatting>
  <conditionalFormatting sqref="S278">
    <cfRule type="containsText" dxfId="1018" priority="1305" operator="containsText" text="No se pudo ejecutar">
      <formula>NOT(ISERROR(SEARCH("No se pudo ejecutar",S278)))</formula>
    </cfRule>
    <cfRule type="containsText" dxfId="1017" priority="1306" operator="containsText" text="Pendiente">
      <formula>NOT(ISERROR(SEARCH("Pendiente",S278)))</formula>
    </cfRule>
    <cfRule type="containsText" dxfId="1016" priority="1307" operator="containsText" text="No Aplica">
      <formula>NOT(ISERROR(SEARCH("No Aplica",S278)))</formula>
    </cfRule>
    <cfRule type="containsText" dxfId="1015" priority="1308" operator="containsText" text="Fallido">
      <formula>NOT(ISERROR(SEARCH("Fallido",S278)))</formula>
    </cfRule>
    <cfRule type="containsText" dxfId="1014" priority="1309" operator="containsText" text="Éxitoso">
      <formula>NOT(ISERROR(SEARCH("Éxitoso",S278)))</formula>
    </cfRule>
  </conditionalFormatting>
  <conditionalFormatting sqref="T278">
    <cfRule type="containsText" dxfId="1013" priority="1300" operator="containsText" text="No se pudo ejecutar">
      <formula>NOT(ISERROR(SEARCH("No se pudo ejecutar",T278)))</formula>
    </cfRule>
    <cfRule type="containsText" dxfId="1012" priority="1301" operator="containsText" text="Pendiente">
      <formula>NOT(ISERROR(SEARCH("Pendiente",T278)))</formula>
    </cfRule>
    <cfRule type="containsText" dxfId="1011" priority="1302" operator="containsText" text="No Aplica">
      <formula>NOT(ISERROR(SEARCH("No Aplica",T278)))</formula>
    </cfRule>
    <cfRule type="containsText" dxfId="1010" priority="1303" operator="containsText" text="Fallido">
      <formula>NOT(ISERROR(SEARCH("Fallido",T278)))</formula>
    </cfRule>
    <cfRule type="containsText" dxfId="1009" priority="1304" operator="containsText" text="Éxitoso">
      <formula>NOT(ISERROR(SEARCH("Éxitoso",T278)))</formula>
    </cfRule>
  </conditionalFormatting>
  <conditionalFormatting sqref="U278">
    <cfRule type="containsText" dxfId="1008" priority="1295" operator="containsText" text="No se pudo ejecutar">
      <formula>NOT(ISERROR(SEARCH("No se pudo ejecutar",U278)))</formula>
    </cfRule>
    <cfRule type="containsText" dxfId="1007" priority="1296" operator="containsText" text="Pendiente">
      <formula>NOT(ISERROR(SEARCH("Pendiente",U278)))</formula>
    </cfRule>
    <cfRule type="containsText" dxfId="1006" priority="1297" operator="containsText" text="No Aplica">
      <formula>NOT(ISERROR(SEARCH("No Aplica",U278)))</formula>
    </cfRule>
    <cfRule type="containsText" dxfId="1005" priority="1298" operator="containsText" text="Fallido">
      <formula>NOT(ISERROR(SEARCH("Fallido",U278)))</formula>
    </cfRule>
    <cfRule type="containsText" dxfId="1004" priority="1299" operator="containsText" text="Éxitoso">
      <formula>NOT(ISERROR(SEARCH("Éxitoso",U278)))</formula>
    </cfRule>
  </conditionalFormatting>
  <conditionalFormatting sqref="V278">
    <cfRule type="containsText" dxfId="1003" priority="1290" operator="containsText" text="No se pudo ejecutar">
      <formula>NOT(ISERROR(SEARCH("No se pudo ejecutar",V278)))</formula>
    </cfRule>
    <cfRule type="containsText" dxfId="1002" priority="1291" operator="containsText" text="Pendiente">
      <formula>NOT(ISERROR(SEARCH("Pendiente",V278)))</formula>
    </cfRule>
    <cfRule type="containsText" dxfId="1001" priority="1292" operator="containsText" text="No Aplica">
      <formula>NOT(ISERROR(SEARCH("No Aplica",V278)))</formula>
    </cfRule>
    <cfRule type="containsText" dxfId="1000" priority="1293" operator="containsText" text="Fallido">
      <formula>NOT(ISERROR(SEARCH("Fallido",V278)))</formula>
    </cfRule>
    <cfRule type="containsText" dxfId="999" priority="1294" operator="containsText" text="Éxitoso">
      <formula>NOT(ISERROR(SEARCH("Éxitoso",V278)))</formula>
    </cfRule>
  </conditionalFormatting>
  <conditionalFormatting sqref="W278">
    <cfRule type="containsText" dxfId="998" priority="1285" operator="containsText" text="No se pudo ejecutar">
      <formula>NOT(ISERROR(SEARCH("No se pudo ejecutar",W278)))</formula>
    </cfRule>
    <cfRule type="containsText" dxfId="997" priority="1286" operator="containsText" text="Pendiente">
      <formula>NOT(ISERROR(SEARCH("Pendiente",W278)))</formula>
    </cfRule>
    <cfRule type="containsText" dxfId="996" priority="1287" operator="containsText" text="No Aplica">
      <formula>NOT(ISERROR(SEARCH("No Aplica",W278)))</formula>
    </cfRule>
    <cfRule type="containsText" dxfId="995" priority="1288" operator="containsText" text="Fallido">
      <formula>NOT(ISERROR(SEARCH("Fallido",W278)))</formula>
    </cfRule>
    <cfRule type="containsText" dxfId="994" priority="1289" operator="containsText" text="Éxitoso">
      <formula>NOT(ISERROR(SEARCH("Éxitoso",W278)))</formula>
    </cfRule>
  </conditionalFormatting>
  <conditionalFormatting sqref="M278">
    <cfRule type="containsText" dxfId="993" priority="1280" operator="containsText" text="No se pudo ejecutar">
      <formula>NOT(ISERROR(SEARCH("No se pudo ejecutar",M278)))</formula>
    </cfRule>
    <cfRule type="containsText" dxfId="992" priority="1281" operator="containsText" text="Pendiente">
      <formula>NOT(ISERROR(SEARCH("Pendiente",M278)))</formula>
    </cfRule>
    <cfRule type="containsText" dxfId="991" priority="1282" operator="containsText" text="No Aplica">
      <formula>NOT(ISERROR(SEARCH("No Aplica",M278)))</formula>
    </cfRule>
    <cfRule type="containsText" dxfId="990" priority="1283" operator="containsText" text="Fallido">
      <formula>NOT(ISERROR(SEARCH("Fallido",M278)))</formula>
    </cfRule>
    <cfRule type="containsText" dxfId="989" priority="1284" operator="containsText" text="Éxitoso">
      <formula>NOT(ISERROR(SEARCH("Éxitoso",M278)))</formula>
    </cfRule>
  </conditionalFormatting>
  <conditionalFormatting sqref="G278">
    <cfRule type="containsText" dxfId="988" priority="1277" operator="containsText" text="Bajo">
      <formula>NOT(ISERROR(SEARCH("Bajo",G278)))</formula>
    </cfRule>
    <cfRule type="containsText" dxfId="987" priority="1278" operator="containsText" text="Medio">
      <formula>NOT(ISERROR(SEARCH("Medio",G278)))</formula>
    </cfRule>
    <cfRule type="containsText" dxfId="986" priority="1279" operator="containsText" text="Alto">
      <formula>NOT(ISERROR(SEARCH("Alto",G278)))</formula>
    </cfRule>
  </conditionalFormatting>
  <conditionalFormatting sqref="N279">
    <cfRule type="containsText" dxfId="985" priority="1272" operator="containsText" text="No se pudo ejecutar">
      <formula>NOT(ISERROR(SEARCH("No se pudo ejecutar",N279)))</formula>
    </cfRule>
    <cfRule type="containsText" dxfId="984" priority="1273" operator="containsText" text="Pendiente">
      <formula>NOT(ISERROR(SEARCH("Pendiente",N279)))</formula>
    </cfRule>
    <cfRule type="containsText" dxfId="983" priority="1274" operator="containsText" text="No Aplica">
      <formula>NOT(ISERROR(SEARCH("No Aplica",N279)))</formula>
    </cfRule>
    <cfRule type="containsText" dxfId="982" priority="1275" operator="containsText" text="Fallido">
      <formula>NOT(ISERROR(SEARCH("Fallido",N279)))</formula>
    </cfRule>
    <cfRule type="containsText" dxfId="981" priority="1276" operator="containsText" text="Éxitoso">
      <formula>NOT(ISERROR(SEARCH("Éxitoso",N279)))</formula>
    </cfRule>
  </conditionalFormatting>
  <conditionalFormatting sqref="O279">
    <cfRule type="containsText" dxfId="980" priority="1267" operator="containsText" text="No se pudo ejecutar">
      <formula>NOT(ISERROR(SEARCH("No se pudo ejecutar",O279)))</formula>
    </cfRule>
    <cfRule type="containsText" dxfId="979" priority="1268" operator="containsText" text="Pendiente">
      <formula>NOT(ISERROR(SEARCH("Pendiente",O279)))</formula>
    </cfRule>
    <cfRule type="containsText" dxfId="978" priority="1269" operator="containsText" text="No Aplica">
      <formula>NOT(ISERROR(SEARCH("No Aplica",O279)))</formula>
    </cfRule>
    <cfRule type="containsText" dxfId="977" priority="1270" operator="containsText" text="Fallido">
      <formula>NOT(ISERROR(SEARCH("Fallido",O279)))</formula>
    </cfRule>
    <cfRule type="containsText" dxfId="976" priority="1271" operator="containsText" text="Éxitoso">
      <formula>NOT(ISERROR(SEARCH("Éxitoso",O279)))</formula>
    </cfRule>
  </conditionalFormatting>
  <conditionalFormatting sqref="P279">
    <cfRule type="containsText" dxfId="975" priority="1262" operator="containsText" text="No se pudo ejecutar">
      <formula>NOT(ISERROR(SEARCH("No se pudo ejecutar",P279)))</formula>
    </cfRule>
    <cfRule type="containsText" dxfId="974" priority="1263" operator="containsText" text="Pendiente">
      <formula>NOT(ISERROR(SEARCH("Pendiente",P279)))</formula>
    </cfRule>
    <cfRule type="containsText" dxfId="973" priority="1264" operator="containsText" text="No Aplica">
      <formula>NOT(ISERROR(SEARCH("No Aplica",P279)))</formula>
    </cfRule>
    <cfRule type="containsText" dxfId="972" priority="1265" operator="containsText" text="Fallido">
      <formula>NOT(ISERROR(SEARCH("Fallido",P279)))</formula>
    </cfRule>
    <cfRule type="containsText" dxfId="971" priority="1266" operator="containsText" text="Éxitoso">
      <formula>NOT(ISERROR(SEARCH("Éxitoso",P279)))</formula>
    </cfRule>
  </conditionalFormatting>
  <conditionalFormatting sqref="Q279">
    <cfRule type="containsText" dxfId="970" priority="1257" operator="containsText" text="No se pudo ejecutar">
      <formula>NOT(ISERROR(SEARCH("No se pudo ejecutar",Q279)))</formula>
    </cfRule>
    <cfRule type="containsText" dxfId="969" priority="1258" operator="containsText" text="Pendiente">
      <formula>NOT(ISERROR(SEARCH("Pendiente",Q279)))</formula>
    </cfRule>
    <cfRule type="containsText" dxfId="968" priority="1259" operator="containsText" text="No Aplica">
      <formula>NOT(ISERROR(SEARCH("No Aplica",Q279)))</formula>
    </cfRule>
    <cfRule type="containsText" dxfId="967" priority="1260" operator="containsText" text="Fallido">
      <formula>NOT(ISERROR(SEARCH("Fallido",Q279)))</formula>
    </cfRule>
    <cfRule type="containsText" dxfId="966" priority="1261" operator="containsText" text="Éxitoso">
      <formula>NOT(ISERROR(SEARCH("Éxitoso",Q279)))</formula>
    </cfRule>
  </conditionalFormatting>
  <conditionalFormatting sqref="R279">
    <cfRule type="containsText" dxfId="965" priority="1252" operator="containsText" text="No se pudo ejecutar">
      <formula>NOT(ISERROR(SEARCH("No se pudo ejecutar",R279)))</formula>
    </cfRule>
    <cfRule type="containsText" dxfId="964" priority="1253" operator="containsText" text="Pendiente">
      <formula>NOT(ISERROR(SEARCH("Pendiente",R279)))</formula>
    </cfRule>
    <cfRule type="containsText" dxfId="963" priority="1254" operator="containsText" text="No Aplica">
      <formula>NOT(ISERROR(SEARCH("No Aplica",R279)))</formula>
    </cfRule>
    <cfRule type="containsText" dxfId="962" priority="1255" operator="containsText" text="Fallido">
      <formula>NOT(ISERROR(SEARCH("Fallido",R279)))</formula>
    </cfRule>
    <cfRule type="containsText" dxfId="961" priority="1256" operator="containsText" text="Éxitoso">
      <formula>NOT(ISERROR(SEARCH("Éxitoso",R279)))</formula>
    </cfRule>
  </conditionalFormatting>
  <conditionalFormatting sqref="S279">
    <cfRule type="containsText" dxfId="960" priority="1247" operator="containsText" text="No se pudo ejecutar">
      <formula>NOT(ISERROR(SEARCH("No se pudo ejecutar",S279)))</formula>
    </cfRule>
    <cfRule type="containsText" dxfId="959" priority="1248" operator="containsText" text="Pendiente">
      <formula>NOT(ISERROR(SEARCH("Pendiente",S279)))</formula>
    </cfRule>
    <cfRule type="containsText" dxfId="958" priority="1249" operator="containsText" text="No Aplica">
      <formula>NOT(ISERROR(SEARCH("No Aplica",S279)))</formula>
    </cfRule>
    <cfRule type="containsText" dxfId="957" priority="1250" operator="containsText" text="Fallido">
      <formula>NOT(ISERROR(SEARCH("Fallido",S279)))</formula>
    </cfRule>
    <cfRule type="containsText" dxfId="956" priority="1251" operator="containsText" text="Éxitoso">
      <formula>NOT(ISERROR(SEARCH("Éxitoso",S279)))</formula>
    </cfRule>
  </conditionalFormatting>
  <conditionalFormatting sqref="T279">
    <cfRule type="containsText" dxfId="955" priority="1242" operator="containsText" text="No se pudo ejecutar">
      <formula>NOT(ISERROR(SEARCH("No se pudo ejecutar",T279)))</formula>
    </cfRule>
    <cfRule type="containsText" dxfId="954" priority="1243" operator="containsText" text="Pendiente">
      <formula>NOT(ISERROR(SEARCH("Pendiente",T279)))</formula>
    </cfRule>
    <cfRule type="containsText" dxfId="953" priority="1244" operator="containsText" text="No Aplica">
      <formula>NOT(ISERROR(SEARCH("No Aplica",T279)))</formula>
    </cfRule>
    <cfRule type="containsText" dxfId="952" priority="1245" operator="containsText" text="Fallido">
      <formula>NOT(ISERROR(SEARCH("Fallido",T279)))</formula>
    </cfRule>
    <cfRule type="containsText" dxfId="951" priority="1246" operator="containsText" text="Éxitoso">
      <formula>NOT(ISERROR(SEARCH("Éxitoso",T279)))</formula>
    </cfRule>
  </conditionalFormatting>
  <conditionalFormatting sqref="U279">
    <cfRule type="containsText" dxfId="950" priority="1237" operator="containsText" text="No se pudo ejecutar">
      <formula>NOT(ISERROR(SEARCH("No se pudo ejecutar",U279)))</formula>
    </cfRule>
    <cfRule type="containsText" dxfId="949" priority="1238" operator="containsText" text="Pendiente">
      <formula>NOT(ISERROR(SEARCH("Pendiente",U279)))</formula>
    </cfRule>
    <cfRule type="containsText" dxfId="948" priority="1239" operator="containsText" text="No Aplica">
      <formula>NOT(ISERROR(SEARCH("No Aplica",U279)))</formula>
    </cfRule>
    <cfRule type="containsText" dxfId="947" priority="1240" operator="containsText" text="Fallido">
      <formula>NOT(ISERROR(SEARCH("Fallido",U279)))</formula>
    </cfRule>
    <cfRule type="containsText" dxfId="946" priority="1241" operator="containsText" text="Éxitoso">
      <formula>NOT(ISERROR(SEARCH("Éxitoso",U279)))</formula>
    </cfRule>
  </conditionalFormatting>
  <conditionalFormatting sqref="V279">
    <cfRule type="containsText" dxfId="945" priority="1232" operator="containsText" text="No se pudo ejecutar">
      <formula>NOT(ISERROR(SEARCH("No se pudo ejecutar",V279)))</formula>
    </cfRule>
    <cfRule type="containsText" dxfId="944" priority="1233" operator="containsText" text="Pendiente">
      <formula>NOT(ISERROR(SEARCH("Pendiente",V279)))</formula>
    </cfRule>
    <cfRule type="containsText" dxfId="943" priority="1234" operator="containsText" text="No Aplica">
      <formula>NOT(ISERROR(SEARCH("No Aplica",V279)))</formula>
    </cfRule>
    <cfRule type="containsText" dxfId="942" priority="1235" operator="containsText" text="Fallido">
      <formula>NOT(ISERROR(SEARCH("Fallido",V279)))</formula>
    </cfRule>
    <cfRule type="containsText" dxfId="941" priority="1236" operator="containsText" text="Éxitoso">
      <formula>NOT(ISERROR(SEARCH("Éxitoso",V279)))</formula>
    </cfRule>
  </conditionalFormatting>
  <conditionalFormatting sqref="W279">
    <cfRule type="containsText" dxfId="940" priority="1227" operator="containsText" text="No se pudo ejecutar">
      <formula>NOT(ISERROR(SEARCH("No se pudo ejecutar",W279)))</formula>
    </cfRule>
    <cfRule type="containsText" dxfId="939" priority="1228" operator="containsText" text="Pendiente">
      <formula>NOT(ISERROR(SEARCH("Pendiente",W279)))</formula>
    </cfRule>
    <cfRule type="containsText" dxfId="938" priority="1229" operator="containsText" text="No Aplica">
      <formula>NOT(ISERROR(SEARCH("No Aplica",W279)))</formula>
    </cfRule>
    <cfRule type="containsText" dxfId="937" priority="1230" operator="containsText" text="Fallido">
      <formula>NOT(ISERROR(SEARCH("Fallido",W279)))</formula>
    </cfRule>
    <cfRule type="containsText" dxfId="936" priority="1231" operator="containsText" text="Éxitoso">
      <formula>NOT(ISERROR(SEARCH("Éxitoso",W279)))</formula>
    </cfRule>
  </conditionalFormatting>
  <conditionalFormatting sqref="M279">
    <cfRule type="containsText" dxfId="935" priority="1222" operator="containsText" text="No se pudo ejecutar">
      <formula>NOT(ISERROR(SEARCH("No se pudo ejecutar",M279)))</formula>
    </cfRule>
    <cfRule type="containsText" dxfId="934" priority="1223" operator="containsText" text="Pendiente">
      <formula>NOT(ISERROR(SEARCH("Pendiente",M279)))</formula>
    </cfRule>
    <cfRule type="containsText" dxfId="933" priority="1224" operator="containsText" text="No Aplica">
      <formula>NOT(ISERROR(SEARCH("No Aplica",M279)))</formula>
    </cfRule>
    <cfRule type="containsText" dxfId="932" priority="1225" operator="containsText" text="Fallido">
      <formula>NOT(ISERROR(SEARCH("Fallido",M279)))</formula>
    </cfRule>
    <cfRule type="containsText" dxfId="931" priority="1226" operator="containsText" text="Éxitoso">
      <formula>NOT(ISERROR(SEARCH("Éxitoso",M279)))</formula>
    </cfRule>
  </conditionalFormatting>
  <conditionalFormatting sqref="G279">
    <cfRule type="containsText" dxfId="930" priority="1219" operator="containsText" text="Bajo">
      <formula>NOT(ISERROR(SEARCH("Bajo",G279)))</formula>
    </cfRule>
    <cfRule type="containsText" dxfId="929" priority="1220" operator="containsText" text="Medio">
      <formula>NOT(ISERROR(SEARCH("Medio",G279)))</formula>
    </cfRule>
    <cfRule type="containsText" dxfId="928" priority="1221" operator="containsText" text="Alto">
      <formula>NOT(ISERROR(SEARCH("Alto",G279)))</formula>
    </cfRule>
  </conditionalFormatting>
  <conditionalFormatting sqref="N280">
    <cfRule type="containsText" dxfId="927" priority="1214" operator="containsText" text="No se pudo ejecutar">
      <formula>NOT(ISERROR(SEARCH("No se pudo ejecutar",N280)))</formula>
    </cfRule>
    <cfRule type="containsText" dxfId="926" priority="1215" operator="containsText" text="Pendiente">
      <formula>NOT(ISERROR(SEARCH("Pendiente",N280)))</formula>
    </cfRule>
    <cfRule type="containsText" dxfId="925" priority="1216" operator="containsText" text="No Aplica">
      <formula>NOT(ISERROR(SEARCH("No Aplica",N280)))</formula>
    </cfRule>
    <cfRule type="containsText" dxfId="924" priority="1217" operator="containsText" text="Fallido">
      <formula>NOT(ISERROR(SEARCH("Fallido",N280)))</formula>
    </cfRule>
    <cfRule type="containsText" dxfId="923" priority="1218" operator="containsText" text="Éxitoso">
      <formula>NOT(ISERROR(SEARCH("Éxitoso",N280)))</formula>
    </cfRule>
  </conditionalFormatting>
  <conditionalFormatting sqref="O280">
    <cfRule type="containsText" dxfId="922" priority="1209" operator="containsText" text="No se pudo ejecutar">
      <formula>NOT(ISERROR(SEARCH("No se pudo ejecutar",O280)))</formula>
    </cfRule>
    <cfRule type="containsText" dxfId="921" priority="1210" operator="containsText" text="Pendiente">
      <formula>NOT(ISERROR(SEARCH("Pendiente",O280)))</formula>
    </cfRule>
    <cfRule type="containsText" dxfId="920" priority="1211" operator="containsText" text="No Aplica">
      <formula>NOT(ISERROR(SEARCH("No Aplica",O280)))</formula>
    </cfRule>
    <cfRule type="containsText" dxfId="919" priority="1212" operator="containsText" text="Fallido">
      <formula>NOT(ISERROR(SEARCH("Fallido",O280)))</formula>
    </cfRule>
    <cfRule type="containsText" dxfId="918" priority="1213" operator="containsText" text="Éxitoso">
      <formula>NOT(ISERROR(SEARCH("Éxitoso",O280)))</formula>
    </cfRule>
  </conditionalFormatting>
  <conditionalFormatting sqref="P280">
    <cfRule type="containsText" dxfId="917" priority="1204" operator="containsText" text="No se pudo ejecutar">
      <formula>NOT(ISERROR(SEARCH("No se pudo ejecutar",P280)))</formula>
    </cfRule>
    <cfRule type="containsText" dxfId="916" priority="1205" operator="containsText" text="Pendiente">
      <formula>NOT(ISERROR(SEARCH("Pendiente",P280)))</formula>
    </cfRule>
    <cfRule type="containsText" dxfId="915" priority="1206" operator="containsText" text="No Aplica">
      <formula>NOT(ISERROR(SEARCH("No Aplica",P280)))</formula>
    </cfRule>
    <cfRule type="containsText" dxfId="914" priority="1207" operator="containsText" text="Fallido">
      <formula>NOT(ISERROR(SEARCH("Fallido",P280)))</formula>
    </cfRule>
    <cfRule type="containsText" dxfId="913" priority="1208" operator="containsText" text="Éxitoso">
      <formula>NOT(ISERROR(SEARCH("Éxitoso",P280)))</formula>
    </cfRule>
  </conditionalFormatting>
  <conditionalFormatting sqref="Q280">
    <cfRule type="containsText" dxfId="912" priority="1199" operator="containsText" text="No se pudo ejecutar">
      <formula>NOT(ISERROR(SEARCH("No se pudo ejecutar",Q280)))</formula>
    </cfRule>
    <cfRule type="containsText" dxfId="911" priority="1200" operator="containsText" text="Pendiente">
      <formula>NOT(ISERROR(SEARCH("Pendiente",Q280)))</formula>
    </cfRule>
    <cfRule type="containsText" dxfId="910" priority="1201" operator="containsText" text="No Aplica">
      <formula>NOT(ISERROR(SEARCH("No Aplica",Q280)))</formula>
    </cfRule>
    <cfRule type="containsText" dxfId="909" priority="1202" operator="containsText" text="Fallido">
      <formula>NOT(ISERROR(SEARCH("Fallido",Q280)))</formula>
    </cfRule>
    <cfRule type="containsText" dxfId="908" priority="1203" operator="containsText" text="Éxitoso">
      <formula>NOT(ISERROR(SEARCH("Éxitoso",Q280)))</formula>
    </cfRule>
  </conditionalFormatting>
  <conditionalFormatting sqref="R280">
    <cfRule type="containsText" dxfId="907" priority="1194" operator="containsText" text="No se pudo ejecutar">
      <formula>NOT(ISERROR(SEARCH("No se pudo ejecutar",R280)))</formula>
    </cfRule>
    <cfRule type="containsText" dxfId="906" priority="1195" operator="containsText" text="Pendiente">
      <formula>NOT(ISERROR(SEARCH("Pendiente",R280)))</formula>
    </cfRule>
    <cfRule type="containsText" dxfId="905" priority="1196" operator="containsText" text="No Aplica">
      <formula>NOT(ISERROR(SEARCH("No Aplica",R280)))</formula>
    </cfRule>
    <cfRule type="containsText" dxfId="904" priority="1197" operator="containsText" text="Fallido">
      <formula>NOT(ISERROR(SEARCH("Fallido",R280)))</formula>
    </cfRule>
    <cfRule type="containsText" dxfId="903" priority="1198" operator="containsText" text="Éxitoso">
      <formula>NOT(ISERROR(SEARCH("Éxitoso",R280)))</formula>
    </cfRule>
  </conditionalFormatting>
  <conditionalFormatting sqref="S280">
    <cfRule type="containsText" dxfId="902" priority="1189" operator="containsText" text="No se pudo ejecutar">
      <formula>NOT(ISERROR(SEARCH("No se pudo ejecutar",S280)))</formula>
    </cfRule>
    <cfRule type="containsText" dxfId="901" priority="1190" operator="containsText" text="Pendiente">
      <formula>NOT(ISERROR(SEARCH("Pendiente",S280)))</formula>
    </cfRule>
    <cfRule type="containsText" dxfId="900" priority="1191" operator="containsText" text="No Aplica">
      <formula>NOT(ISERROR(SEARCH("No Aplica",S280)))</formula>
    </cfRule>
    <cfRule type="containsText" dxfId="899" priority="1192" operator="containsText" text="Fallido">
      <formula>NOT(ISERROR(SEARCH("Fallido",S280)))</formula>
    </cfRule>
    <cfRule type="containsText" dxfId="898" priority="1193" operator="containsText" text="Éxitoso">
      <formula>NOT(ISERROR(SEARCH("Éxitoso",S280)))</formula>
    </cfRule>
  </conditionalFormatting>
  <conditionalFormatting sqref="T280">
    <cfRule type="containsText" dxfId="897" priority="1184" operator="containsText" text="No se pudo ejecutar">
      <formula>NOT(ISERROR(SEARCH("No se pudo ejecutar",T280)))</formula>
    </cfRule>
    <cfRule type="containsText" dxfId="896" priority="1185" operator="containsText" text="Pendiente">
      <formula>NOT(ISERROR(SEARCH("Pendiente",T280)))</formula>
    </cfRule>
    <cfRule type="containsText" dxfId="895" priority="1186" operator="containsText" text="No Aplica">
      <formula>NOT(ISERROR(SEARCH("No Aplica",T280)))</formula>
    </cfRule>
    <cfRule type="containsText" dxfId="894" priority="1187" operator="containsText" text="Fallido">
      <formula>NOT(ISERROR(SEARCH("Fallido",T280)))</formula>
    </cfRule>
    <cfRule type="containsText" dxfId="893" priority="1188" operator="containsText" text="Éxitoso">
      <formula>NOT(ISERROR(SEARCH("Éxitoso",T280)))</formula>
    </cfRule>
  </conditionalFormatting>
  <conditionalFormatting sqref="U280">
    <cfRule type="containsText" dxfId="892" priority="1179" operator="containsText" text="No se pudo ejecutar">
      <formula>NOT(ISERROR(SEARCH("No se pudo ejecutar",U280)))</formula>
    </cfRule>
    <cfRule type="containsText" dxfId="891" priority="1180" operator="containsText" text="Pendiente">
      <formula>NOT(ISERROR(SEARCH("Pendiente",U280)))</formula>
    </cfRule>
    <cfRule type="containsText" dxfId="890" priority="1181" operator="containsText" text="No Aplica">
      <formula>NOT(ISERROR(SEARCH("No Aplica",U280)))</formula>
    </cfRule>
    <cfRule type="containsText" dxfId="889" priority="1182" operator="containsText" text="Fallido">
      <formula>NOT(ISERROR(SEARCH("Fallido",U280)))</formula>
    </cfRule>
    <cfRule type="containsText" dxfId="888" priority="1183" operator="containsText" text="Éxitoso">
      <formula>NOT(ISERROR(SEARCH("Éxitoso",U280)))</formula>
    </cfRule>
  </conditionalFormatting>
  <conditionalFormatting sqref="V280">
    <cfRule type="containsText" dxfId="887" priority="1174" operator="containsText" text="No se pudo ejecutar">
      <formula>NOT(ISERROR(SEARCH("No se pudo ejecutar",V280)))</formula>
    </cfRule>
    <cfRule type="containsText" dxfId="886" priority="1175" operator="containsText" text="Pendiente">
      <formula>NOT(ISERROR(SEARCH("Pendiente",V280)))</formula>
    </cfRule>
    <cfRule type="containsText" dxfId="885" priority="1176" operator="containsText" text="No Aplica">
      <formula>NOT(ISERROR(SEARCH("No Aplica",V280)))</formula>
    </cfRule>
    <cfRule type="containsText" dxfId="884" priority="1177" operator="containsText" text="Fallido">
      <formula>NOT(ISERROR(SEARCH("Fallido",V280)))</formula>
    </cfRule>
    <cfRule type="containsText" dxfId="883" priority="1178" operator="containsText" text="Éxitoso">
      <formula>NOT(ISERROR(SEARCH("Éxitoso",V280)))</formula>
    </cfRule>
  </conditionalFormatting>
  <conditionalFormatting sqref="W280">
    <cfRule type="containsText" dxfId="882" priority="1169" operator="containsText" text="No se pudo ejecutar">
      <formula>NOT(ISERROR(SEARCH("No se pudo ejecutar",W280)))</formula>
    </cfRule>
    <cfRule type="containsText" dxfId="881" priority="1170" operator="containsText" text="Pendiente">
      <formula>NOT(ISERROR(SEARCH("Pendiente",W280)))</formula>
    </cfRule>
    <cfRule type="containsText" dxfId="880" priority="1171" operator="containsText" text="No Aplica">
      <formula>NOT(ISERROR(SEARCH("No Aplica",W280)))</formula>
    </cfRule>
    <cfRule type="containsText" dxfId="879" priority="1172" operator="containsText" text="Fallido">
      <formula>NOT(ISERROR(SEARCH("Fallido",W280)))</formula>
    </cfRule>
    <cfRule type="containsText" dxfId="878" priority="1173" operator="containsText" text="Éxitoso">
      <formula>NOT(ISERROR(SEARCH("Éxitoso",W280)))</formula>
    </cfRule>
  </conditionalFormatting>
  <conditionalFormatting sqref="M280">
    <cfRule type="containsText" dxfId="877" priority="1164" operator="containsText" text="No se pudo ejecutar">
      <formula>NOT(ISERROR(SEARCH("No se pudo ejecutar",M280)))</formula>
    </cfRule>
    <cfRule type="containsText" dxfId="876" priority="1165" operator="containsText" text="Pendiente">
      <formula>NOT(ISERROR(SEARCH("Pendiente",M280)))</formula>
    </cfRule>
    <cfRule type="containsText" dxfId="875" priority="1166" operator="containsText" text="No Aplica">
      <formula>NOT(ISERROR(SEARCH("No Aplica",M280)))</formula>
    </cfRule>
    <cfRule type="containsText" dxfId="874" priority="1167" operator="containsText" text="Fallido">
      <formula>NOT(ISERROR(SEARCH("Fallido",M280)))</formula>
    </cfRule>
    <cfRule type="containsText" dxfId="873" priority="1168" operator="containsText" text="Éxitoso">
      <formula>NOT(ISERROR(SEARCH("Éxitoso",M280)))</formula>
    </cfRule>
  </conditionalFormatting>
  <conditionalFormatting sqref="G280">
    <cfRule type="containsText" dxfId="872" priority="1161" operator="containsText" text="Bajo">
      <formula>NOT(ISERROR(SEARCH("Bajo",G280)))</formula>
    </cfRule>
    <cfRule type="containsText" dxfId="871" priority="1162" operator="containsText" text="Medio">
      <formula>NOT(ISERROR(SEARCH("Medio",G280)))</formula>
    </cfRule>
    <cfRule type="containsText" dxfId="870" priority="1163" operator="containsText" text="Alto">
      <formula>NOT(ISERROR(SEARCH("Alto",G280)))</formula>
    </cfRule>
  </conditionalFormatting>
  <conditionalFormatting sqref="N281">
    <cfRule type="containsText" dxfId="869" priority="1156" operator="containsText" text="No se pudo ejecutar">
      <formula>NOT(ISERROR(SEARCH("No se pudo ejecutar",N281)))</formula>
    </cfRule>
    <cfRule type="containsText" dxfId="868" priority="1157" operator="containsText" text="Pendiente">
      <formula>NOT(ISERROR(SEARCH("Pendiente",N281)))</formula>
    </cfRule>
    <cfRule type="containsText" dxfId="867" priority="1158" operator="containsText" text="No Aplica">
      <formula>NOT(ISERROR(SEARCH("No Aplica",N281)))</formula>
    </cfRule>
    <cfRule type="containsText" dxfId="866" priority="1159" operator="containsText" text="Fallido">
      <formula>NOT(ISERROR(SEARCH("Fallido",N281)))</formula>
    </cfRule>
    <cfRule type="containsText" dxfId="865" priority="1160" operator="containsText" text="Éxitoso">
      <formula>NOT(ISERROR(SEARCH("Éxitoso",N281)))</formula>
    </cfRule>
  </conditionalFormatting>
  <conditionalFormatting sqref="O281">
    <cfRule type="containsText" dxfId="864" priority="1151" operator="containsText" text="No se pudo ejecutar">
      <formula>NOT(ISERROR(SEARCH("No se pudo ejecutar",O281)))</formula>
    </cfRule>
    <cfRule type="containsText" dxfId="863" priority="1152" operator="containsText" text="Pendiente">
      <formula>NOT(ISERROR(SEARCH("Pendiente",O281)))</formula>
    </cfRule>
    <cfRule type="containsText" dxfId="862" priority="1153" operator="containsText" text="No Aplica">
      <formula>NOT(ISERROR(SEARCH("No Aplica",O281)))</formula>
    </cfRule>
    <cfRule type="containsText" dxfId="861" priority="1154" operator="containsText" text="Fallido">
      <formula>NOT(ISERROR(SEARCH("Fallido",O281)))</formula>
    </cfRule>
    <cfRule type="containsText" dxfId="860" priority="1155" operator="containsText" text="Éxitoso">
      <formula>NOT(ISERROR(SEARCH("Éxitoso",O281)))</formula>
    </cfRule>
  </conditionalFormatting>
  <conditionalFormatting sqref="P281">
    <cfRule type="containsText" dxfId="859" priority="1146" operator="containsText" text="No se pudo ejecutar">
      <formula>NOT(ISERROR(SEARCH("No se pudo ejecutar",P281)))</formula>
    </cfRule>
    <cfRule type="containsText" dxfId="858" priority="1147" operator="containsText" text="Pendiente">
      <formula>NOT(ISERROR(SEARCH("Pendiente",P281)))</formula>
    </cfRule>
    <cfRule type="containsText" dxfId="857" priority="1148" operator="containsText" text="No Aplica">
      <formula>NOT(ISERROR(SEARCH("No Aplica",P281)))</formula>
    </cfRule>
    <cfRule type="containsText" dxfId="856" priority="1149" operator="containsText" text="Fallido">
      <formula>NOT(ISERROR(SEARCH("Fallido",P281)))</formula>
    </cfRule>
    <cfRule type="containsText" dxfId="855" priority="1150" operator="containsText" text="Éxitoso">
      <formula>NOT(ISERROR(SEARCH("Éxitoso",P281)))</formula>
    </cfRule>
  </conditionalFormatting>
  <conditionalFormatting sqref="Q281">
    <cfRule type="containsText" dxfId="854" priority="1141" operator="containsText" text="No se pudo ejecutar">
      <formula>NOT(ISERROR(SEARCH("No se pudo ejecutar",Q281)))</formula>
    </cfRule>
    <cfRule type="containsText" dxfId="853" priority="1142" operator="containsText" text="Pendiente">
      <formula>NOT(ISERROR(SEARCH("Pendiente",Q281)))</formula>
    </cfRule>
    <cfRule type="containsText" dxfId="852" priority="1143" operator="containsText" text="No Aplica">
      <formula>NOT(ISERROR(SEARCH("No Aplica",Q281)))</formula>
    </cfRule>
    <cfRule type="containsText" dxfId="851" priority="1144" operator="containsText" text="Fallido">
      <formula>NOT(ISERROR(SEARCH("Fallido",Q281)))</formula>
    </cfRule>
    <cfRule type="containsText" dxfId="850" priority="1145" operator="containsText" text="Éxitoso">
      <formula>NOT(ISERROR(SEARCH("Éxitoso",Q281)))</formula>
    </cfRule>
  </conditionalFormatting>
  <conditionalFormatting sqref="R281">
    <cfRule type="containsText" dxfId="849" priority="1136" operator="containsText" text="No se pudo ejecutar">
      <formula>NOT(ISERROR(SEARCH("No se pudo ejecutar",R281)))</formula>
    </cfRule>
    <cfRule type="containsText" dxfId="848" priority="1137" operator="containsText" text="Pendiente">
      <formula>NOT(ISERROR(SEARCH("Pendiente",R281)))</formula>
    </cfRule>
    <cfRule type="containsText" dxfId="847" priority="1138" operator="containsText" text="No Aplica">
      <formula>NOT(ISERROR(SEARCH("No Aplica",R281)))</formula>
    </cfRule>
    <cfRule type="containsText" dxfId="846" priority="1139" operator="containsText" text="Fallido">
      <formula>NOT(ISERROR(SEARCH("Fallido",R281)))</formula>
    </cfRule>
    <cfRule type="containsText" dxfId="845" priority="1140" operator="containsText" text="Éxitoso">
      <formula>NOT(ISERROR(SEARCH("Éxitoso",R281)))</formula>
    </cfRule>
  </conditionalFormatting>
  <conditionalFormatting sqref="S281">
    <cfRule type="containsText" dxfId="844" priority="1131" operator="containsText" text="No se pudo ejecutar">
      <formula>NOT(ISERROR(SEARCH("No se pudo ejecutar",S281)))</formula>
    </cfRule>
    <cfRule type="containsText" dxfId="843" priority="1132" operator="containsText" text="Pendiente">
      <formula>NOT(ISERROR(SEARCH("Pendiente",S281)))</formula>
    </cfRule>
    <cfRule type="containsText" dxfId="842" priority="1133" operator="containsText" text="No Aplica">
      <formula>NOT(ISERROR(SEARCH("No Aplica",S281)))</formula>
    </cfRule>
    <cfRule type="containsText" dxfId="841" priority="1134" operator="containsText" text="Fallido">
      <formula>NOT(ISERROR(SEARCH("Fallido",S281)))</formula>
    </cfRule>
    <cfRule type="containsText" dxfId="840" priority="1135" operator="containsText" text="Éxitoso">
      <formula>NOT(ISERROR(SEARCH("Éxitoso",S281)))</formula>
    </cfRule>
  </conditionalFormatting>
  <conditionalFormatting sqref="T281">
    <cfRule type="containsText" dxfId="839" priority="1126" operator="containsText" text="No se pudo ejecutar">
      <formula>NOT(ISERROR(SEARCH("No se pudo ejecutar",T281)))</formula>
    </cfRule>
    <cfRule type="containsText" dxfId="838" priority="1127" operator="containsText" text="Pendiente">
      <formula>NOT(ISERROR(SEARCH("Pendiente",T281)))</formula>
    </cfRule>
    <cfRule type="containsText" dxfId="837" priority="1128" operator="containsText" text="No Aplica">
      <formula>NOT(ISERROR(SEARCH("No Aplica",T281)))</formula>
    </cfRule>
    <cfRule type="containsText" dxfId="836" priority="1129" operator="containsText" text="Fallido">
      <formula>NOT(ISERROR(SEARCH("Fallido",T281)))</formula>
    </cfRule>
    <cfRule type="containsText" dxfId="835" priority="1130" operator="containsText" text="Éxitoso">
      <formula>NOT(ISERROR(SEARCH("Éxitoso",T281)))</formula>
    </cfRule>
  </conditionalFormatting>
  <conditionalFormatting sqref="U281">
    <cfRule type="containsText" dxfId="834" priority="1121" operator="containsText" text="No se pudo ejecutar">
      <formula>NOT(ISERROR(SEARCH("No se pudo ejecutar",U281)))</formula>
    </cfRule>
    <cfRule type="containsText" dxfId="833" priority="1122" operator="containsText" text="Pendiente">
      <formula>NOT(ISERROR(SEARCH("Pendiente",U281)))</formula>
    </cfRule>
    <cfRule type="containsText" dxfId="832" priority="1123" operator="containsText" text="No Aplica">
      <formula>NOT(ISERROR(SEARCH("No Aplica",U281)))</formula>
    </cfRule>
    <cfRule type="containsText" dxfId="831" priority="1124" operator="containsText" text="Fallido">
      <formula>NOT(ISERROR(SEARCH("Fallido",U281)))</formula>
    </cfRule>
    <cfRule type="containsText" dxfId="830" priority="1125" operator="containsText" text="Éxitoso">
      <formula>NOT(ISERROR(SEARCH("Éxitoso",U281)))</formula>
    </cfRule>
  </conditionalFormatting>
  <conditionalFormatting sqref="V281">
    <cfRule type="containsText" dxfId="829" priority="1116" operator="containsText" text="No se pudo ejecutar">
      <formula>NOT(ISERROR(SEARCH("No se pudo ejecutar",V281)))</formula>
    </cfRule>
    <cfRule type="containsText" dxfId="828" priority="1117" operator="containsText" text="Pendiente">
      <formula>NOT(ISERROR(SEARCH("Pendiente",V281)))</formula>
    </cfRule>
    <cfRule type="containsText" dxfId="827" priority="1118" operator="containsText" text="No Aplica">
      <formula>NOT(ISERROR(SEARCH("No Aplica",V281)))</formula>
    </cfRule>
    <cfRule type="containsText" dxfId="826" priority="1119" operator="containsText" text="Fallido">
      <formula>NOT(ISERROR(SEARCH("Fallido",V281)))</formula>
    </cfRule>
    <cfRule type="containsText" dxfId="825" priority="1120" operator="containsText" text="Éxitoso">
      <formula>NOT(ISERROR(SEARCH("Éxitoso",V281)))</formula>
    </cfRule>
  </conditionalFormatting>
  <conditionalFormatting sqref="W281">
    <cfRule type="containsText" dxfId="824" priority="1111" operator="containsText" text="No se pudo ejecutar">
      <formula>NOT(ISERROR(SEARCH("No se pudo ejecutar",W281)))</formula>
    </cfRule>
    <cfRule type="containsText" dxfId="823" priority="1112" operator="containsText" text="Pendiente">
      <formula>NOT(ISERROR(SEARCH("Pendiente",W281)))</formula>
    </cfRule>
    <cfRule type="containsText" dxfId="822" priority="1113" operator="containsText" text="No Aplica">
      <formula>NOT(ISERROR(SEARCH("No Aplica",W281)))</formula>
    </cfRule>
    <cfRule type="containsText" dxfId="821" priority="1114" operator="containsText" text="Fallido">
      <formula>NOT(ISERROR(SEARCH("Fallido",W281)))</formula>
    </cfRule>
    <cfRule type="containsText" dxfId="820" priority="1115" operator="containsText" text="Éxitoso">
      <formula>NOT(ISERROR(SEARCH("Éxitoso",W281)))</formula>
    </cfRule>
  </conditionalFormatting>
  <conditionalFormatting sqref="M281">
    <cfRule type="containsText" dxfId="819" priority="1106" operator="containsText" text="No se pudo ejecutar">
      <formula>NOT(ISERROR(SEARCH("No se pudo ejecutar",M281)))</formula>
    </cfRule>
    <cfRule type="containsText" dxfId="818" priority="1107" operator="containsText" text="Pendiente">
      <formula>NOT(ISERROR(SEARCH("Pendiente",M281)))</formula>
    </cfRule>
    <cfRule type="containsText" dxfId="817" priority="1108" operator="containsText" text="No Aplica">
      <formula>NOT(ISERROR(SEARCH("No Aplica",M281)))</formula>
    </cfRule>
    <cfRule type="containsText" dxfId="816" priority="1109" operator="containsText" text="Fallido">
      <formula>NOT(ISERROR(SEARCH("Fallido",M281)))</formula>
    </cfRule>
    <cfRule type="containsText" dxfId="815" priority="1110" operator="containsText" text="Éxitoso">
      <formula>NOT(ISERROR(SEARCH("Éxitoso",M281)))</formula>
    </cfRule>
  </conditionalFormatting>
  <conditionalFormatting sqref="G281">
    <cfRule type="containsText" dxfId="814" priority="1103" operator="containsText" text="Bajo">
      <formula>NOT(ISERROR(SEARCH("Bajo",G281)))</formula>
    </cfRule>
    <cfRule type="containsText" dxfId="813" priority="1104" operator="containsText" text="Medio">
      <formula>NOT(ISERROR(SEARCH("Medio",G281)))</formula>
    </cfRule>
    <cfRule type="containsText" dxfId="812" priority="1105" operator="containsText" text="Alto">
      <formula>NOT(ISERROR(SEARCH("Alto",G281)))</formula>
    </cfRule>
  </conditionalFormatting>
  <conditionalFormatting sqref="N282">
    <cfRule type="containsText" dxfId="811" priority="1098" operator="containsText" text="No se pudo ejecutar">
      <formula>NOT(ISERROR(SEARCH("No se pudo ejecutar",N282)))</formula>
    </cfRule>
    <cfRule type="containsText" dxfId="810" priority="1099" operator="containsText" text="Pendiente">
      <formula>NOT(ISERROR(SEARCH("Pendiente",N282)))</formula>
    </cfRule>
    <cfRule type="containsText" dxfId="809" priority="1100" operator="containsText" text="No Aplica">
      <formula>NOT(ISERROR(SEARCH("No Aplica",N282)))</formula>
    </cfRule>
    <cfRule type="containsText" dxfId="808" priority="1101" operator="containsText" text="Fallido">
      <formula>NOT(ISERROR(SEARCH("Fallido",N282)))</formula>
    </cfRule>
    <cfRule type="containsText" dxfId="807" priority="1102" operator="containsText" text="Éxitoso">
      <formula>NOT(ISERROR(SEARCH("Éxitoso",N282)))</formula>
    </cfRule>
  </conditionalFormatting>
  <conditionalFormatting sqref="O282">
    <cfRule type="containsText" dxfId="806" priority="1093" operator="containsText" text="No se pudo ejecutar">
      <formula>NOT(ISERROR(SEARCH("No se pudo ejecutar",O282)))</formula>
    </cfRule>
    <cfRule type="containsText" dxfId="805" priority="1094" operator="containsText" text="Pendiente">
      <formula>NOT(ISERROR(SEARCH("Pendiente",O282)))</formula>
    </cfRule>
    <cfRule type="containsText" dxfId="804" priority="1095" operator="containsText" text="No Aplica">
      <formula>NOT(ISERROR(SEARCH("No Aplica",O282)))</formula>
    </cfRule>
    <cfRule type="containsText" dxfId="803" priority="1096" operator="containsText" text="Fallido">
      <formula>NOT(ISERROR(SEARCH("Fallido",O282)))</formula>
    </cfRule>
    <cfRule type="containsText" dxfId="802" priority="1097" operator="containsText" text="Éxitoso">
      <formula>NOT(ISERROR(SEARCH("Éxitoso",O282)))</formula>
    </cfRule>
  </conditionalFormatting>
  <conditionalFormatting sqref="P282">
    <cfRule type="containsText" dxfId="801" priority="1088" operator="containsText" text="No se pudo ejecutar">
      <formula>NOT(ISERROR(SEARCH("No se pudo ejecutar",P282)))</formula>
    </cfRule>
    <cfRule type="containsText" dxfId="800" priority="1089" operator="containsText" text="Pendiente">
      <formula>NOT(ISERROR(SEARCH("Pendiente",P282)))</formula>
    </cfRule>
    <cfRule type="containsText" dxfId="799" priority="1090" operator="containsText" text="No Aplica">
      <formula>NOT(ISERROR(SEARCH("No Aplica",P282)))</formula>
    </cfRule>
    <cfRule type="containsText" dxfId="798" priority="1091" operator="containsText" text="Fallido">
      <formula>NOT(ISERROR(SEARCH("Fallido",P282)))</formula>
    </cfRule>
    <cfRule type="containsText" dxfId="797" priority="1092" operator="containsText" text="Éxitoso">
      <formula>NOT(ISERROR(SEARCH("Éxitoso",P282)))</formula>
    </cfRule>
  </conditionalFormatting>
  <conditionalFormatting sqref="Q282">
    <cfRule type="containsText" dxfId="796" priority="1083" operator="containsText" text="No se pudo ejecutar">
      <formula>NOT(ISERROR(SEARCH("No se pudo ejecutar",Q282)))</formula>
    </cfRule>
    <cfRule type="containsText" dxfId="795" priority="1084" operator="containsText" text="Pendiente">
      <formula>NOT(ISERROR(SEARCH("Pendiente",Q282)))</formula>
    </cfRule>
    <cfRule type="containsText" dxfId="794" priority="1085" operator="containsText" text="No Aplica">
      <formula>NOT(ISERROR(SEARCH("No Aplica",Q282)))</formula>
    </cfRule>
    <cfRule type="containsText" dxfId="793" priority="1086" operator="containsText" text="Fallido">
      <formula>NOT(ISERROR(SEARCH("Fallido",Q282)))</formula>
    </cfRule>
    <cfRule type="containsText" dxfId="792" priority="1087" operator="containsText" text="Éxitoso">
      <formula>NOT(ISERROR(SEARCH("Éxitoso",Q282)))</formula>
    </cfRule>
  </conditionalFormatting>
  <conditionalFormatting sqref="R282">
    <cfRule type="containsText" dxfId="791" priority="1078" operator="containsText" text="No se pudo ejecutar">
      <formula>NOT(ISERROR(SEARCH("No se pudo ejecutar",R282)))</formula>
    </cfRule>
    <cfRule type="containsText" dxfId="790" priority="1079" operator="containsText" text="Pendiente">
      <formula>NOT(ISERROR(SEARCH("Pendiente",R282)))</formula>
    </cfRule>
    <cfRule type="containsText" dxfId="789" priority="1080" operator="containsText" text="No Aplica">
      <formula>NOT(ISERROR(SEARCH("No Aplica",R282)))</formula>
    </cfRule>
    <cfRule type="containsText" dxfId="788" priority="1081" operator="containsText" text="Fallido">
      <formula>NOT(ISERROR(SEARCH("Fallido",R282)))</formula>
    </cfRule>
    <cfRule type="containsText" dxfId="787" priority="1082" operator="containsText" text="Éxitoso">
      <formula>NOT(ISERROR(SEARCH("Éxitoso",R282)))</formula>
    </cfRule>
  </conditionalFormatting>
  <conditionalFormatting sqref="S282">
    <cfRule type="containsText" dxfId="786" priority="1073" operator="containsText" text="No se pudo ejecutar">
      <formula>NOT(ISERROR(SEARCH("No se pudo ejecutar",S282)))</formula>
    </cfRule>
    <cfRule type="containsText" dxfId="785" priority="1074" operator="containsText" text="Pendiente">
      <formula>NOT(ISERROR(SEARCH("Pendiente",S282)))</formula>
    </cfRule>
    <cfRule type="containsText" dxfId="784" priority="1075" operator="containsText" text="No Aplica">
      <formula>NOT(ISERROR(SEARCH("No Aplica",S282)))</formula>
    </cfRule>
    <cfRule type="containsText" dxfId="783" priority="1076" operator="containsText" text="Fallido">
      <formula>NOT(ISERROR(SEARCH("Fallido",S282)))</formula>
    </cfRule>
    <cfRule type="containsText" dxfId="782" priority="1077" operator="containsText" text="Éxitoso">
      <formula>NOT(ISERROR(SEARCH("Éxitoso",S282)))</formula>
    </cfRule>
  </conditionalFormatting>
  <conditionalFormatting sqref="T282">
    <cfRule type="containsText" dxfId="781" priority="1068" operator="containsText" text="No se pudo ejecutar">
      <formula>NOT(ISERROR(SEARCH("No se pudo ejecutar",T282)))</formula>
    </cfRule>
    <cfRule type="containsText" dxfId="780" priority="1069" operator="containsText" text="Pendiente">
      <formula>NOT(ISERROR(SEARCH("Pendiente",T282)))</formula>
    </cfRule>
    <cfRule type="containsText" dxfId="779" priority="1070" operator="containsText" text="No Aplica">
      <formula>NOT(ISERROR(SEARCH("No Aplica",T282)))</formula>
    </cfRule>
    <cfRule type="containsText" dxfId="778" priority="1071" operator="containsText" text="Fallido">
      <formula>NOT(ISERROR(SEARCH("Fallido",T282)))</formula>
    </cfRule>
    <cfRule type="containsText" dxfId="777" priority="1072" operator="containsText" text="Éxitoso">
      <formula>NOT(ISERROR(SEARCH("Éxitoso",T282)))</formula>
    </cfRule>
  </conditionalFormatting>
  <conditionalFormatting sqref="U282">
    <cfRule type="containsText" dxfId="776" priority="1063" operator="containsText" text="No se pudo ejecutar">
      <formula>NOT(ISERROR(SEARCH("No se pudo ejecutar",U282)))</formula>
    </cfRule>
    <cfRule type="containsText" dxfId="775" priority="1064" operator="containsText" text="Pendiente">
      <formula>NOT(ISERROR(SEARCH("Pendiente",U282)))</formula>
    </cfRule>
    <cfRule type="containsText" dxfId="774" priority="1065" operator="containsText" text="No Aplica">
      <formula>NOT(ISERROR(SEARCH("No Aplica",U282)))</formula>
    </cfRule>
    <cfRule type="containsText" dxfId="773" priority="1066" operator="containsText" text="Fallido">
      <formula>NOT(ISERROR(SEARCH("Fallido",U282)))</formula>
    </cfRule>
    <cfRule type="containsText" dxfId="772" priority="1067" operator="containsText" text="Éxitoso">
      <formula>NOT(ISERROR(SEARCH("Éxitoso",U282)))</formula>
    </cfRule>
  </conditionalFormatting>
  <conditionalFormatting sqref="V282">
    <cfRule type="containsText" dxfId="771" priority="1058" operator="containsText" text="No se pudo ejecutar">
      <formula>NOT(ISERROR(SEARCH("No se pudo ejecutar",V282)))</formula>
    </cfRule>
    <cfRule type="containsText" dxfId="770" priority="1059" operator="containsText" text="Pendiente">
      <formula>NOT(ISERROR(SEARCH("Pendiente",V282)))</formula>
    </cfRule>
    <cfRule type="containsText" dxfId="769" priority="1060" operator="containsText" text="No Aplica">
      <formula>NOT(ISERROR(SEARCH("No Aplica",V282)))</formula>
    </cfRule>
    <cfRule type="containsText" dxfId="768" priority="1061" operator="containsText" text="Fallido">
      <formula>NOT(ISERROR(SEARCH("Fallido",V282)))</formula>
    </cfRule>
    <cfRule type="containsText" dxfId="767" priority="1062" operator="containsText" text="Éxitoso">
      <formula>NOT(ISERROR(SEARCH("Éxitoso",V282)))</formula>
    </cfRule>
  </conditionalFormatting>
  <conditionalFormatting sqref="W282">
    <cfRule type="containsText" dxfId="766" priority="1053" operator="containsText" text="No se pudo ejecutar">
      <formula>NOT(ISERROR(SEARCH("No se pudo ejecutar",W282)))</formula>
    </cfRule>
    <cfRule type="containsText" dxfId="765" priority="1054" operator="containsText" text="Pendiente">
      <formula>NOT(ISERROR(SEARCH("Pendiente",W282)))</formula>
    </cfRule>
    <cfRule type="containsText" dxfId="764" priority="1055" operator="containsText" text="No Aplica">
      <formula>NOT(ISERROR(SEARCH("No Aplica",W282)))</formula>
    </cfRule>
    <cfRule type="containsText" dxfId="763" priority="1056" operator="containsText" text="Fallido">
      <formula>NOT(ISERROR(SEARCH("Fallido",W282)))</formula>
    </cfRule>
    <cfRule type="containsText" dxfId="762" priority="1057" operator="containsText" text="Éxitoso">
      <formula>NOT(ISERROR(SEARCH("Éxitoso",W282)))</formula>
    </cfRule>
  </conditionalFormatting>
  <conditionalFormatting sqref="M282">
    <cfRule type="containsText" dxfId="761" priority="1048" operator="containsText" text="No se pudo ejecutar">
      <formula>NOT(ISERROR(SEARCH("No se pudo ejecutar",M282)))</formula>
    </cfRule>
    <cfRule type="containsText" dxfId="760" priority="1049" operator="containsText" text="Pendiente">
      <formula>NOT(ISERROR(SEARCH("Pendiente",M282)))</formula>
    </cfRule>
    <cfRule type="containsText" dxfId="759" priority="1050" operator="containsText" text="No Aplica">
      <formula>NOT(ISERROR(SEARCH("No Aplica",M282)))</formula>
    </cfRule>
    <cfRule type="containsText" dxfId="758" priority="1051" operator="containsText" text="Fallido">
      <formula>NOT(ISERROR(SEARCH("Fallido",M282)))</formula>
    </cfRule>
    <cfRule type="containsText" dxfId="757" priority="1052" operator="containsText" text="Éxitoso">
      <formula>NOT(ISERROR(SEARCH("Éxitoso",M282)))</formula>
    </cfRule>
  </conditionalFormatting>
  <conditionalFormatting sqref="G282">
    <cfRule type="containsText" dxfId="756" priority="1045" operator="containsText" text="Bajo">
      <formula>NOT(ISERROR(SEARCH("Bajo",G282)))</formula>
    </cfRule>
    <cfRule type="containsText" dxfId="755" priority="1046" operator="containsText" text="Medio">
      <formula>NOT(ISERROR(SEARCH("Medio",G282)))</formula>
    </cfRule>
    <cfRule type="containsText" dxfId="754" priority="1047" operator="containsText" text="Alto">
      <formula>NOT(ISERROR(SEARCH("Alto",G282)))</formula>
    </cfRule>
  </conditionalFormatting>
  <conditionalFormatting sqref="N283">
    <cfRule type="containsText" dxfId="753" priority="1040" operator="containsText" text="No se pudo ejecutar">
      <formula>NOT(ISERROR(SEARCH("No se pudo ejecutar",N283)))</formula>
    </cfRule>
    <cfRule type="containsText" dxfId="752" priority="1041" operator="containsText" text="Pendiente">
      <formula>NOT(ISERROR(SEARCH("Pendiente",N283)))</formula>
    </cfRule>
    <cfRule type="containsText" dxfId="751" priority="1042" operator="containsText" text="No Aplica">
      <formula>NOT(ISERROR(SEARCH("No Aplica",N283)))</formula>
    </cfRule>
    <cfRule type="containsText" dxfId="750" priority="1043" operator="containsText" text="Fallido">
      <formula>NOT(ISERROR(SEARCH("Fallido",N283)))</formula>
    </cfRule>
    <cfRule type="containsText" dxfId="749" priority="1044" operator="containsText" text="Éxitoso">
      <formula>NOT(ISERROR(SEARCH("Éxitoso",N283)))</formula>
    </cfRule>
  </conditionalFormatting>
  <conditionalFormatting sqref="O283">
    <cfRule type="containsText" dxfId="748" priority="1035" operator="containsText" text="No se pudo ejecutar">
      <formula>NOT(ISERROR(SEARCH("No se pudo ejecutar",O283)))</formula>
    </cfRule>
    <cfRule type="containsText" dxfId="747" priority="1036" operator="containsText" text="Pendiente">
      <formula>NOT(ISERROR(SEARCH("Pendiente",O283)))</formula>
    </cfRule>
    <cfRule type="containsText" dxfId="746" priority="1037" operator="containsText" text="No Aplica">
      <formula>NOT(ISERROR(SEARCH("No Aplica",O283)))</formula>
    </cfRule>
    <cfRule type="containsText" dxfId="745" priority="1038" operator="containsText" text="Fallido">
      <formula>NOT(ISERROR(SEARCH("Fallido",O283)))</formula>
    </cfRule>
    <cfRule type="containsText" dxfId="744" priority="1039" operator="containsText" text="Éxitoso">
      <formula>NOT(ISERROR(SEARCH("Éxitoso",O283)))</formula>
    </cfRule>
  </conditionalFormatting>
  <conditionalFormatting sqref="P283">
    <cfRule type="containsText" dxfId="743" priority="1030" operator="containsText" text="No se pudo ejecutar">
      <formula>NOT(ISERROR(SEARCH("No se pudo ejecutar",P283)))</formula>
    </cfRule>
    <cfRule type="containsText" dxfId="742" priority="1031" operator="containsText" text="Pendiente">
      <formula>NOT(ISERROR(SEARCH("Pendiente",P283)))</formula>
    </cfRule>
    <cfRule type="containsText" dxfId="741" priority="1032" operator="containsText" text="No Aplica">
      <formula>NOT(ISERROR(SEARCH("No Aplica",P283)))</formula>
    </cfRule>
    <cfRule type="containsText" dxfId="740" priority="1033" operator="containsText" text="Fallido">
      <formula>NOT(ISERROR(SEARCH("Fallido",P283)))</formula>
    </cfRule>
    <cfRule type="containsText" dxfId="739" priority="1034" operator="containsText" text="Éxitoso">
      <formula>NOT(ISERROR(SEARCH("Éxitoso",P283)))</formula>
    </cfRule>
  </conditionalFormatting>
  <conditionalFormatting sqref="Q283">
    <cfRule type="containsText" dxfId="738" priority="1025" operator="containsText" text="No se pudo ejecutar">
      <formula>NOT(ISERROR(SEARCH("No se pudo ejecutar",Q283)))</formula>
    </cfRule>
    <cfRule type="containsText" dxfId="737" priority="1026" operator="containsText" text="Pendiente">
      <formula>NOT(ISERROR(SEARCH("Pendiente",Q283)))</formula>
    </cfRule>
    <cfRule type="containsText" dxfId="736" priority="1027" operator="containsText" text="No Aplica">
      <formula>NOT(ISERROR(SEARCH("No Aplica",Q283)))</formula>
    </cfRule>
    <cfRule type="containsText" dxfId="735" priority="1028" operator="containsText" text="Fallido">
      <formula>NOT(ISERROR(SEARCH("Fallido",Q283)))</formula>
    </cfRule>
    <cfRule type="containsText" dxfId="734" priority="1029" operator="containsText" text="Éxitoso">
      <formula>NOT(ISERROR(SEARCH("Éxitoso",Q283)))</formula>
    </cfRule>
  </conditionalFormatting>
  <conditionalFormatting sqref="R283">
    <cfRule type="containsText" dxfId="733" priority="1020" operator="containsText" text="No se pudo ejecutar">
      <formula>NOT(ISERROR(SEARCH("No se pudo ejecutar",R283)))</formula>
    </cfRule>
    <cfRule type="containsText" dxfId="732" priority="1021" operator="containsText" text="Pendiente">
      <formula>NOT(ISERROR(SEARCH("Pendiente",R283)))</formula>
    </cfRule>
    <cfRule type="containsText" dxfId="731" priority="1022" operator="containsText" text="No Aplica">
      <formula>NOT(ISERROR(SEARCH("No Aplica",R283)))</formula>
    </cfRule>
    <cfRule type="containsText" dxfId="730" priority="1023" operator="containsText" text="Fallido">
      <formula>NOT(ISERROR(SEARCH("Fallido",R283)))</formula>
    </cfRule>
    <cfRule type="containsText" dxfId="729" priority="1024" operator="containsText" text="Éxitoso">
      <formula>NOT(ISERROR(SEARCH("Éxitoso",R283)))</formula>
    </cfRule>
  </conditionalFormatting>
  <conditionalFormatting sqref="S283">
    <cfRule type="containsText" dxfId="728" priority="1015" operator="containsText" text="No se pudo ejecutar">
      <formula>NOT(ISERROR(SEARCH("No se pudo ejecutar",S283)))</formula>
    </cfRule>
    <cfRule type="containsText" dxfId="727" priority="1016" operator="containsText" text="Pendiente">
      <formula>NOT(ISERROR(SEARCH("Pendiente",S283)))</formula>
    </cfRule>
    <cfRule type="containsText" dxfId="726" priority="1017" operator="containsText" text="No Aplica">
      <formula>NOT(ISERROR(SEARCH("No Aplica",S283)))</formula>
    </cfRule>
    <cfRule type="containsText" dxfId="725" priority="1018" operator="containsText" text="Fallido">
      <formula>NOT(ISERROR(SEARCH("Fallido",S283)))</formula>
    </cfRule>
    <cfRule type="containsText" dxfId="724" priority="1019" operator="containsText" text="Éxitoso">
      <formula>NOT(ISERROR(SEARCH("Éxitoso",S283)))</formula>
    </cfRule>
  </conditionalFormatting>
  <conditionalFormatting sqref="T283">
    <cfRule type="containsText" dxfId="723" priority="1010" operator="containsText" text="No se pudo ejecutar">
      <formula>NOT(ISERROR(SEARCH("No se pudo ejecutar",T283)))</formula>
    </cfRule>
    <cfRule type="containsText" dxfId="722" priority="1011" operator="containsText" text="Pendiente">
      <formula>NOT(ISERROR(SEARCH("Pendiente",T283)))</formula>
    </cfRule>
    <cfRule type="containsText" dxfId="721" priority="1012" operator="containsText" text="No Aplica">
      <formula>NOT(ISERROR(SEARCH("No Aplica",T283)))</formula>
    </cfRule>
    <cfRule type="containsText" dxfId="720" priority="1013" operator="containsText" text="Fallido">
      <formula>NOT(ISERROR(SEARCH("Fallido",T283)))</formula>
    </cfRule>
    <cfRule type="containsText" dxfId="719" priority="1014" operator="containsText" text="Éxitoso">
      <formula>NOT(ISERROR(SEARCH("Éxitoso",T283)))</formula>
    </cfRule>
  </conditionalFormatting>
  <conditionalFormatting sqref="U283">
    <cfRule type="containsText" dxfId="718" priority="1005" operator="containsText" text="No se pudo ejecutar">
      <formula>NOT(ISERROR(SEARCH("No se pudo ejecutar",U283)))</formula>
    </cfRule>
    <cfRule type="containsText" dxfId="717" priority="1006" operator="containsText" text="Pendiente">
      <formula>NOT(ISERROR(SEARCH("Pendiente",U283)))</formula>
    </cfRule>
    <cfRule type="containsText" dxfId="716" priority="1007" operator="containsText" text="No Aplica">
      <formula>NOT(ISERROR(SEARCH("No Aplica",U283)))</formula>
    </cfRule>
    <cfRule type="containsText" dxfId="715" priority="1008" operator="containsText" text="Fallido">
      <formula>NOT(ISERROR(SEARCH("Fallido",U283)))</formula>
    </cfRule>
    <cfRule type="containsText" dxfId="714" priority="1009" operator="containsText" text="Éxitoso">
      <formula>NOT(ISERROR(SEARCH("Éxitoso",U283)))</formula>
    </cfRule>
  </conditionalFormatting>
  <conditionalFormatting sqref="V283">
    <cfRule type="containsText" dxfId="713" priority="1000" operator="containsText" text="No se pudo ejecutar">
      <formula>NOT(ISERROR(SEARCH("No se pudo ejecutar",V283)))</formula>
    </cfRule>
    <cfRule type="containsText" dxfId="712" priority="1001" operator="containsText" text="Pendiente">
      <formula>NOT(ISERROR(SEARCH("Pendiente",V283)))</formula>
    </cfRule>
    <cfRule type="containsText" dxfId="711" priority="1002" operator="containsText" text="No Aplica">
      <formula>NOT(ISERROR(SEARCH("No Aplica",V283)))</formula>
    </cfRule>
    <cfRule type="containsText" dxfId="710" priority="1003" operator="containsText" text="Fallido">
      <formula>NOT(ISERROR(SEARCH("Fallido",V283)))</formula>
    </cfRule>
    <cfRule type="containsText" dxfId="709" priority="1004" operator="containsText" text="Éxitoso">
      <formula>NOT(ISERROR(SEARCH("Éxitoso",V283)))</formula>
    </cfRule>
  </conditionalFormatting>
  <conditionalFormatting sqref="W283">
    <cfRule type="containsText" dxfId="708" priority="995" operator="containsText" text="No se pudo ejecutar">
      <formula>NOT(ISERROR(SEARCH("No se pudo ejecutar",W283)))</formula>
    </cfRule>
    <cfRule type="containsText" dxfId="707" priority="996" operator="containsText" text="Pendiente">
      <formula>NOT(ISERROR(SEARCH("Pendiente",W283)))</formula>
    </cfRule>
    <cfRule type="containsText" dxfId="706" priority="997" operator="containsText" text="No Aplica">
      <formula>NOT(ISERROR(SEARCH("No Aplica",W283)))</formula>
    </cfRule>
    <cfRule type="containsText" dxfId="705" priority="998" operator="containsText" text="Fallido">
      <formula>NOT(ISERROR(SEARCH("Fallido",W283)))</formula>
    </cfRule>
    <cfRule type="containsText" dxfId="704" priority="999" operator="containsText" text="Éxitoso">
      <formula>NOT(ISERROR(SEARCH("Éxitoso",W283)))</formula>
    </cfRule>
  </conditionalFormatting>
  <conditionalFormatting sqref="M283">
    <cfRule type="containsText" dxfId="703" priority="990" operator="containsText" text="No se pudo ejecutar">
      <formula>NOT(ISERROR(SEARCH("No se pudo ejecutar",M283)))</formula>
    </cfRule>
    <cfRule type="containsText" dxfId="702" priority="991" operator="containsText" text="Pendiente">
      <formula>NOT(ISERROR(SEARCH("Pendiente",M283)))</formula>
    </cfRule>
    <cfRule type="containsText" dxfId="701" priority="992" operator="containsText" text="No Aplica">
      <formula>NOT(ISERROR(SEARCH("No Aplica",M283)))</formula>
    </cfRule>
    <cfRule type="containsText" dxfId="700" priority="993" operator="containsText" text="Fallido">
      <formula>NOT(ISERROR(SEARCH("Fallido",M283)))</formula>
    </cfRule>
    <cfRule type="containsText" dxfId="699" priority="994" operator="containsText" text="Éxitoso">
      <formula>NOT(ISERROR(SEARCH("Éxitoso",M283)))</formula>
    </cfRule>
  </conditionalFormatting>
  <conditionalFormatting sqref="G283">
    <cfRule type="containsText" dxfId="698" priority="987" operator="containsText" text="Bajo">
      <formula>NOT(ISERROR(SEARCH("Bajo",G283)))</formula>
    </cfRule>
    <cfRule type="containsText" dxfId="697" priority="988" operator="containsText" text="Medio">
      <formula>NOT(ISERROR(SEARCH("Medio",G283)))</formula>
    </cfRule>
    <cfRule type="containsText" dxfId="696" priority="989" operator="containsText" text="Alto">
      <formula>NOT(ISERROR(SEARCH("Alto",G283)))</formula>
    </cfRule>
  </conditionalFormatting>
  <conditionalFormatting sqref="N284">
    <cfRule type="containsText" dxfId="695" priority="982" operator="containsText" text="No se pudo ejecutar">
      <formula>NOT(ISERROR(SEARCH("No se pudo ejecutar",N284)))</formula>
    </cfRule>
    <cfRule type="containsText" dxfId="694" priority="983" operator="containsText" text="Pendiente">
      <formula>NOT(ISERROR(SEARCH("Pendiente",N284)))</formula>
    </cfRule>
    <cfRule type="containsText" dxfId="693" priority="984" operator="containsText" text="No Aplica">
      <formula>NOT(ISERROR(SEARCH("No Aplica",N284)))</formula>
    </cfRule>
    <cfRule type="containsText" dxfId="692" priority="985" operator="containsText" text="Fallido">
      <formula>NOT(ISERROR(SEARCH("Fallido",N284)))</formula>
    </cfRule>
    <cfRule type="containsText" dxfId="691" priority="986" operator="containsText" text="Éxitoso">
      <formula>NOT(ISERROR(SEARCH("Éxitoso",N284)))</formula>
    </cfRule>
  </conditionalFormatting>
  <conditionalFormatting sqref="O284">
    <cfRule type="containsText" dxfId="690" priority="977" operator="containsText" text="No se pudo ejecutar">
      <formula>NOT(ISERROR(SEARCH("No se pudo ejecutar",O284)))</formula>
    </cfRule>
    <cfRule type="containsText" dxfId="689" priority="978" operator="containsText" text="Pendiente">
      <formula>NOT(ISERROR(SEARCH("Pendiente",O284)))</formula>
    </cfRule>
    <cfRule type="containsText" dxfId="688" priority="979" operator="containsText" text="No Aplica">
      <formula>NOT(ISERROR(SEARCH("No Aplica",O284)))</formula>
    </cfRule>
    <cfRule type="containsText" dxfId="687" priority="980" operator="containsText" text="Fallido">
      <formula>NOT(ISERROR(SEARCH("Fallido",O284)))</formula>
    </cfRule>
    <cfRule type="containsText" dxfId="686" priority="981" operator="containsText" text="Éxitoso">
      <formula>NOT(ISERROR(SEARCH("Éxitoso",O284)))</formula>
    </cfRule>
  </conditionalFormatting>
  <conditionalFormatting sqref="P284">
    <cfRule type="containsText" dxfId="685" priority="972" operator="containsText" text="No se pudo ejecutar">
      <formula>NOT(ISERROR(SEARCH("No se pudo ejecutar",P284)))</formula>
    </cfRule>
    <cfRule type="containsText" dxfId="684" priority="973" operator="containsText" text="Pendiente">
      <formula>NOT(ISERROR(SEARCH("Pendiente",P284)))</formula>
    </cfRule>
    <cfRule type="containsText" dxfId="683" priority="974" operator="containsText" text="No Aplica">
      <formula>NOT(ISERROR(SEARCH("No Aplica",P284)))</formula>
    </cfRule>
    <cfRule type="containsText" dxfId="682" priority="975" operator="containsText" text="Fallido">
      <formula>NOT(ISERROR(SEARCH("Fallido",P284)))</formula>
    </cfRule>
    <cfRule type="containsText" dxfId="681" priority="976" operator="containsText" text="Éxitoso">
      <formula>NOT(ISERROR(SEARCH("Éxitoso",P284)))</formula>
    </cfRule>
  </conditionalFormatting>
  <conditionalFormatting sqref="Q284">
    <cfRule type="containsText" dxfId="680" priority="967" operator="containsText" text="No se pudo ejecutar">
      <formula>NOT(ISERROR(SEARCH("No se pudo ejecutar",Q284)))</formula>
    </cfRule>
    <cfRule type="containsText" dxfId="679" priority="968" operator="containsText" text="Pendiente">
      <formula>NOT(ISERROR(SEARCH("Pendiente",Q284)))</formula>
    </cfRule>
    <cfRule type="containsText" dxfId="678" priority="969" operator="containsText" text="No Aplica">
      <formula>NOT(ISERROR(SEARCH("No Aplica",Q284)))</formula>
    </cfRule>
    <cfRule type="containsText" dxfId="677" priority="970" operator="containsText" text="Fallido">
      <formula>NOT(ISERROR(SEARCH("Fallido",Q284)))</formula>
    </cfRule>
    <cfRule type="containsText" dxfId="676" priority="971" operator="containsText" text="Éxitoso">
      <formula>NOT(ISERROR(SEARCH("Éxitoso",Q284)))</formula>
    </cfRule>
  </conditionalFormatting>
  <conditionalFormatting sqref="R284">
    <cfRule type="containsText" dxfId="675" priority="962" operator="containsText" text="No se pudo ejecutar">
      <formula>NOT(ISERROR(SEARCH("No se pudo ejecutar",R284)))</formula>
    </cfRule>
    <cfRule type="containsText" dxfId="674" priority="963" operator="containsText" text="Pendiente">
      <formula>NOT(ISERROR(SEARCH("Pendiente",R284)))</formula>
    </cfRule>
    <cfRule type="containsText" dxfId="673" priority="964" operator="containsText" text="No Aplica">
      <formula>NOT(ISERROR(SEARCH("No Aplica",R284)))</formula>
    </cfRule>
    <cfRule type="containsText" dxfId="672" priority="965" operator="containsText" text="Fallido">
      <formula>NOT(ISERROR(SEARCH("Fallido",R284)))</formula>
    </cfRule>
    <cfRule type="containsText" dxfId="671" priority="966" operator="containsText" text="Éxitoso">
      <formula>NOT(ISERROR(SEARCH("Éxitoso",R284)))</formula>
    </cfRule>
  </conditionalFormatting>
  <conditionalFormatting sqref="S284">
    <cfRule type="containsText" dxfId="670" priority="957" operator="containsText" text="No se pudo ejecutar">
      <formula>NOT(ISERROR(SEARCH("No se pudo ejecutar",S284)))</formula>
    </cfRule>
    <cfRule type="containsText" dxfId="669" priority="958" operator="containsText" text="Pendiente">
      <formula>NOT(ISERROR(SEARCH("Pendiente",S284)))</formula>
    </cfRule>
    <cfRule type="containsText" dxfId="668" priority="959" operator="containsText" text="No Aplica">
      <formula>NOT(ISERROR(SEARCH("No Aplica",S284)))</formula>
    </cfRule>
    <cfRule type="containsText" dxfId="667" priority="960" operator="containsText" text="Fallido">
      <formula>NOT(ISERROR(SEARCH("Fallido",S284)))</formula>
    </cfRule>
    <cfRule type="containsText" dxfId="666" priority="961" operator="containsText" text="Éxitoso">
      <formula>NOT(ISERROR(SEARCH("Éxitoso",S284)))</formula>
    </cfRule>
  </conditionalFormatting>
  <conditionalFormatting sqref="T284">
    <cfRule type="containsText" dxfId="665" priority="952" operator="containsText" text="No se pudo ejecutar">
      <formula>NOT(ISERROR(SEARCH("No se pudo ejecutar",T284)))</formula>
    </cfRule>
    <cfRule type="containsText" dxfId="664" priority="953" operator="containsText" text="Pendiente">
      <formula>NOT(ISERROR(SEARCH("Pendiente",T284)))</formula>
    </cfRule>
    <cfRule type="containsText" dxfId="663" priority="954" operator="containsText" text="No Aplica">
      <formula>NOT(ISERROR(SEARCH("No Aplica",T284)))</formula>
    </cfRule>
    <cfRule type="containsText" dxfId="662" priority="955" operator="containsText" text="Fallido">
      <formula>NOT(ISERROR(SEARCH("Fallido",T284)))</formula>
    </cfRule>
    <cfRule type="containsText" dxfId="661" priority="956" operator="containsText" text="Éxitoso">
      <formula>NOT(ISERROR(SEARCH("Éxitoso",T284)))</formula>
    </cfRule>
  </conditionalFormatting>
  <conditionalFormatting sqref="U284">
    <cfRule type="containsText" dxfId="660" priority="947" operator="containsText" text="No se pudo ejecutar">
      <formula>NOT(ISERROR(SEARCH("No se pudo ejecutar",U284)))</formula>
    </cfRule>
    <cfRule type="containsText" dxfId="659" priority="948" operator="containsText" text="Pendiente">
      <formula>NOT(ISERROR(SEARCH("Pendiente",U284)))</formula>
    </cfRule>
    <cfRule type="containsText" dxfId="658" priority="949" operator="containsText" text="No Aplica">
      <formula>NOT(ISERROR(SEARCH("No Aplica",U284)))</formula>
    </cfRule>
    <cfRule type="containsText" dxfId="657" priority="950" operator="containsText" text="Fallido">
      <formula>NOT(ISERROR(SEARCH("Fallido",U284)))</formula>
    </cfRule>
    <cfRule type="containsText" dxfId="656" priority="951" operator="containsText" text="Éxitoso">
      <formula>NOT(ISERROR(SEARCH("Éxitoso",U284)))</formula>
    </cfRule>
  </conditionalFormatting>
  <conditionalFormatting sqref="V284">
    <cfRule type="containsText" dxfId="655" priority="942" operator="containsText" text="No se pudo ejecutar">
      <formula>NOT(ISERROR(SEARCH("No se pudo ejecutar",V284)))</formula>
    </cfRule>
    <cfRule type="containsText" dxfId="654" priority="943" operator="containsText" text="Pendiente">
      <formula>NOT(ISERROR(SEARCH("Pendiente",V284)))</formula>
    </cfRule>
    <cfRule type="containsText" dxfId="653" priority="944" operator="containsText" text="No Aplica">
      <formula>NOT(ISERROR(SEARCH("No Aplica",V284)))</formula>
    </cfRule>
    <cfRule type="containsText" dxfId="652" priority="945" operator="containsText" text="Fallido">
      <formula>NOT(ISERROR(SEARCH("Fallido",V284)))</formula>
    </cfRule>
    <cfRule type="containsText" dxfId="651" priority="946" operator="containsText" text="Éxitoso">
      <formula>NOT(ISERROR(SEARCH("Éxitoso",V284)))</formula>
    </cfRule>
  </conditionalFormatting>
  <conditionalFormatting sqref="W284">
    <cfRule type="containsText" dxfId="650" priority="937" operator="containsText" text="No se pudo ejecutar">
      <formula>NOT(ISERROR(SEARCH("No se pudo ejecutar",W284)))</formula>
    </cfRule>
    <cfRule type="containsText" dxfId="649" priority="938" operator="containsText" text="Pendiente">
      <formula>NOT(ISERROR(SEARCH("Pendiente",W284)))</formula>
    </cfRule>
    <cfRule type="containsText" dxfId="648" priority="939" operator="containsText" text="No Aplica">
      <formula>NOT(ISERROR(SEARCH("No Aplica",W284)))</formula>
    </cfRule>
    <cfRule type="containsText" dxfId="647" priority="940" operator="containsText" text="Fallido">
      <formula>NOT(ISERROR(SEARCH("Fallido",W284)))</formula>
    </cfRule>
    <cfRule type="containsText" dxfId="646" priority="941" operator="containsText" text="Éxitoso">
      <formula>NOT(ISERROR(SEARCH("Éxitoso",W284)))</formula>
    </cfRule>
  </conditionalFormatting>
  <conditionalFormatting sqref="M284">
    <cfRule type="containsText" dxfId="645" priority="932" operator="containsText" text="No se pudo ejecutar">
      <formula>NOT(ISERROR(SEARCH("No se pudo ejecutar",M284)))</formula>
    </cfRule>
    <cfRule type="containsText" dxfId="644" priority="933" operator="containsText" text="Pendiente">
      <formula>NOT(ISERROR(SEARCH("Pendiente",M284)))</formula>
    </cfRule>
    <cfRule type="containsText" dxfId="643" priority="934" operator="containsText" text="No Aplica">
      <formula>NOT(ISERROR(SEARCH("No Aplica",M284)))</formula>
    </cfRule>
    <cfRule type="containsText" dxfId="642" priority="935" operator="containsText" text="Fallido">
      <formula>NOT(ISERROR(SEARCH("Fallido",M284)))</formula>
    </cfRule>
    <cfRule type="containsText" dxfId="641" priority="936" operator="containsText" text="Éxitoso">
      <formula>NOT(ISERROR(SEARCH("Éxitoso",M284)))</formula>
    </cfRule>
  </conditionalFormatting>
  <conditionalFormatting sqref="G284">
    <cfRule type="containsText" dxfId="640" priority="929" operator="containsText" text="Bajo">
      <formula>NOT(ISERROR(SEARCH("Bajo",G284)))</formula>
    </cfRule>
    <cfRule type="containsText" dxfId="639" priority="930" operator="containsText" text="Medio">
      <formula>NOT(ISERROR(SEARCH("Medio",G284)))</formula>
    </cfRule>
    <cfRule type="containsText" dxfId="638" priority="931" operator="containsText" text="Alto">
      <formula>NOT(ISERROR(SEARCH("Alto",G284)))</formula>
    </cfRule>
  </conditionalFormatting>
  <conditionalFormatting sqref="N285">
    <cfRule type="containsText" dxfId="637" priority="924" operator="containsText" text="No se pudo ejecutar">
      <formula>NOT(ISERROR(SEARCH("No se pudo ejecutar",N285)))</formula>
    </cfRule>
    <cfRule type="containsText" dxfId="636" priority="925" operator="containsText" text="Pendiente">
      <formula>NOT(ISERROR(SEARCH("Pendiente",N285)))</formula>
    </cfRule>
    <cfRule type="containsText" dxfId="635" priority="926" operator="containsText" text="No Aplica">
      <formula>NOT(ISERROR(SEARCH("No Aplica",N285)))</formula>
    </cfRule>
    <cfRule type="containsText" dxfId="634" priority="927" operator="containsText" text="Fallido">
      <formula>NOT(ISERROR(SEARCH("Fallido",N285)))</formula>
    </cfRule>
    <cfRule type="containsText" dxfId="633" priority="928" operator="containsText" text="Éxitoso">
      <formula>NOT(ISERROR(SEARCH("Éxitoso",N285)))</formula>
    </cfRule>
  </conditionalFormatting>
  <conditionalFormatting sqref="O285">
    <cfRule type="containsText" dxfId="632" priority="919" operator="containsText" text="No se pudo ejecutar">
      <formula>NOT(ISERROR(SEARCH("No se pudo ejecutar",O285)))</formula>
    </cfRule>
    <cfRule type="containsText" dxfId="631" priority="920" operator="containsText" text="Pendiente">
      <formula>NOT(ISERROR(SEARCH("Pendiente",O285)))</formula>
    </cfRule>
    <cfRule type="containsText" dxfId="630" priority="921" operator="containsText" text="No Aplica">
      <formula>NOT(ISERROR(SEARCH("No Aplica",O285)))</formula>
    </cfRule>
    <cfRule type="containsText" dxfId="629" priority="922" operator="containsText" text="Fallido">
      <formula>NOT(ISERROR(SEARCH("Fallido",O285)))</formula>
    </cfRule>
    <cfRule type="containsText" dxfId="628" priority="923" operator="containsText" text="Éxitoso">
      <formula>NOT(ISERROR(SEARCH("Éxitoso",O285)))</formula>
    </cfRule>
  </conditionalFormatting>
  <conditionalFormatting sqref="P285">
    <cfRule type="containsText" dxfId="627" priority="914" operator="containsText" text="No se pudo ejecutar">
      <formula>NOT(ISERROR(SEARCH("No se pudo ejecutar",P285)))</formula>
    </cfRule>
    <cfRule type="containsText" dxfId="626" priority="915" operator="containsText" text="Pendiente">
      <formula>NOT(ISERROR(SEARCH("Pendiente",P285)))</formula>
    </cfRule>
    <cfRule type="containsText" dxfId="625" priority="916" operator="containsText" text="No Aplica">
      <formula>NOT(ISERROR(SEARCH("No Aplica",P285)))</formula>
    </cfRule>
    <cfRule type="containsText" dxfId="624" priority="917" operator="containsText" text="Fallido">
      <formula>NOT(ISERROR(SEARCH("Fallido",P285)))</formula>
    </cfRule>
    <cfRule type="containsText" dxfId="623" priority="918" operator="containsText" text="Éxitoso">
      <formula>NOT(ISERROR(SEARCH("Éxitoso",P285)))</formula>
    </cfRule>
  </conditionalFormatting>
  <conditionalFormatting sqref="Q285">
    <cfRule type="containsText" dxfId="622" priority="909" operator="containsText" text="No se pudo ejecutar">
      <formula>NOT(ISERROR(SEARCH("No se pudo ejecutar",Q285)))</formula>
    </cfRule>
    <cfRule type="containsText" dxfId="621" priority="910" operator="containsText" text="Pendiente">
      <formula>NOT(ISERROR(SEARCH("Pendiente",Q285)))</formula>
    </cfRule>
    <cfRule type="containsText" dxfId="620" priority="911" operator="containsText" text="No Aplica">
      <formula>NOT(ISERROR(SEARCH("No Aplica",Q285)))</formula>
    </cfRule>
    <cfRule type="containsText" dxfId="619" priority="912" operator="containsText" text="Fallido">
      <formula>NOT(ISERROR(SEARCH("Fallido",Q285)))</formula>
    </cfRule>
    <cfRule type="containsText" dxfId="618" priority="913" operator="containsText" text="Éxitoso">
      <formula>NOT(ISERROR(SEARCH("Éxitoso",Q285)))</formula>
    </cfRule>
  </conditionalFormatting>
  <conditionalFormatting sqref="R285">
    <cfRule type="containsText" dxfId="617" priority="904" operator="containsText" text="No se pudo ejecutar">
      <formula>NOT(ISERROR(SEARCH("No se pudo ejecutar",R285)))</formula>
    </cfRule>
    <cfRule type="containsText" dxfId="616" priority="905" operator="containsText" text="Pendiente">
      <formula>NOT(ISERROR(SEARCH("Pendiente",R285)))</formula>
    </cfRule>
    <cfRule type="containsText" dxfId="615" priority="906" operator="containsText" text="No Aplica">
      <formula>NOT(ISERROR(SEARCH("No Aplica",R285)))</formula>
    </cfRule>
    <cfRule type="containsText" dxfId="614" priority="907" operator="containsText" text="Fallido">
      <formula>NOT(ISERROR(SEARCH("Fallido",R285)))</formula>
    </cfRule>
    <cfRule type="containsText" dxfId="613" priority="908" operator="containsText" text="Éxitoso">
      <formula>NOT(ISERROR(SEARCH("Éxitoso",R285)))</formula>
    </cfRule>
  </conditionalFormatting>
  <conditionalFormatting sqref="S285">
    <cfRule type="containsText" dxfId="612" priority="899" operator="containsText" text="No se pudo ejecutar">
      <formula>NOT(ISERROR(SEARCH("No se pudo ejecutar",S285)))</formula>
    </cfRule>
    <cfRule type="containsText" dxfId="611" priority="900" operator="containsText" text="Pendiente">
      <formula>NOT(ISERROR(SEARCH("Pendiente",S285)))</formula>
    </cfRule>
    <cfRule type="containsText" dxfId="610" priority="901" operator="containsText" text="No Aplica">
      <formula>NOT(ISERROR(SEARCH("No Aplica",S285)))</formula>
    </cfRule>
    <cfRule type="containsText" dxfId="609" priority="902" operator="containsText" text="Fallido">
      <formula>NOT(ISERROR(SEARCH("Fallido",S285)))</formula>
    </cfRule>
    <cfRule type="containsText" dxfId="608" priority="903" operator="containsText" text="Éxitoso">
      <formula>NOT(ISERROR(SEARCH("Éxitoso",S285)))</formula>
    </cfRule>
  </conditionalFormatting>
  <conditionalFormatting sqref="T285">
    <cfRule type="containsText" dxfId="607" priority="894" operator="containsText" text="No se pudo ejecutar">
      <formula>NOT(ISERROR(SEARCH("No se pudo ejecutar",T285)))</formula>
    </cfRule>
    <cfRule type="containsText" dxfId="606" priority="895" operator="containsText" text="Pendiente">
      <formula>NOT(ISERROR(SEARCH("Pendiente",T285)))</formula>
    </cfRule>
    <cfRule type="containsText" dxfId="605" priority="896" operator="containsText" text="No Aplica">
      <formula>NOT(ISERROR(SEARCH("No Aplica",T285)))</formula>
    </cfRule>
    <cfRule type="containsText" dxfId="604" priority="897" operator="containsText" text="Fallido">
      <formula>NOT(ISERROR(SEARCH("Fallido",T285)))</formula>
    </cfRule>
    <cfRule type="containsText" dxfId="603" priority="898" operator="containsText" text="Éxitoso">
      <formula>NOT(ISERROR(SEARCH("Éxitoso",T285)))</formula>
    </cfRule>
  </conditionalFormatting>
  <conditionalFormatting sqref="U285">
    <cfRule type="containsText" dxfId="602" priority="889" operator="containsText" text="No se pudo ejecutar">
      <formula>NOT(ISERROR(SEARCH("No se pudo ejecutar",U285)))</formula>
    </cfRule>
    <cfRule type="containsText" dxfId="601" priority="890" operator="containsText" text="Pendiente">
      <formula>NOT(ISERROR(SEARCH("Pendiente",U285)))</formula>
    </cfRule>
    <cfRule type="containsText" dxfId="600" priority="891" operator="containsText" text="No Aplica">
      <formula>NOT(ISERROR(SEARCH("No Aplica",U285)))</formula>
    </cfRule>
    <cfRule type="containsText" dxfId="599" priority="892" operator="containsText" text="Fallido">
      <formula>NOT(ISERROR(SEARCH("Fallido",U285)))</formula>
    </cfRule>
    <cfRule type="containsText" dxfId="598" priority="893" operator="containsText" text="Éxitoso">
      <formula>NOT(ISERROR(SEARCH("Éxitoso",U285)))</formula>
    </cfRule>
  </conditionalFormatting>
  <conditionalFormatting sqref="V285">
    <cfRule type="containsText" dxfId="597" priority="884" operator="containsText" text="No se pudo ejecutar">
      <formula>NOT(ISERROR(SEARCH("No se pudo ejecutar",V285)))</formula>
    </cfRule>
    <cfRule type="containsText" dxfId="596" priority="885" operator="containsText" text="Pendiente">
      <formula>NOT(ISERROR(SEARCH("Pendiente",V285)))</formula>
    </cfRule>
    <cfRule type="containsText" dxfId="595" priority="886" operator="containsText" text="No Aplica">
      <formula>NOT(ISERROR(SEARCH("No Aplica",V285)))</formula>
    </cfRule>
    <cfRule type="containsText" dxfId="594" priority="887" operator="containsText" text="Fallido">
      <formula>NOT(ISERROR(SEARCH("Fallido",V285)))</formula>
    </cfRule>
    <cfRule type="containsText" dxfId="593" priority="888" operator="containsText" text="Éxitoso">
      <formula>NOT(ISERROR(SEARCH("Éxitoso",V285)))</formula>
    </cfRule>
  </conditionalFormatting>
  <conditionalFormatting sqref="W285">
    <cfRule type="containsText" dxfId="592" priority="879" operator="containsText" text="No se pudo ejecutar">
      <formula>NOT(ISERROR(SEARCH("No se pudo ejecutar",W285)))</formula>
    </cfRule>
    <cfRule type="containsText" dxfId="591" priority="880" operator="containsText" text="Pendiente">
      <formula>NOT(ISERROR(SEARCH("Pendiente",W285)))</formula>
    </cfRule>
    <cfRule type="containsText" dxfId="590" priority="881" operator="containsText" text="No Aplica">
      <formula>NOT(ISERROR(SEARCH("No Aplica",W285)))</formula>
    </cfRule>
    <cfRule type="containsText" dxfId="589" priority="882" operator="containsText" text="Fallido">
      <formula>NOT(ISERROR(SEARCH("Fallido",W285)))</formula>
    </cfRule>
    <cfRule type="containsText" dxfId="588" priority="883" operator="containsText" text="Éxitoso">
      <formula>NOT(ISERROR(SEARCH("Éxitoso",W285)))</formula>
    </cfRule>
  </conditionalFormatting>
  <conditionalFormatting sqref="M285">
    <cfRule type="containsText" dxfId="587" priority="874" operator="containsText" text="No se pudo ejecutar">
      <formula>NOT(ISERROR(SEARCH("No se pudo ejecutar",M285)))</formula>
    </cfRule>
    <cfRule type="containsText" dxfId="586" priority="875" operator="containsText" text="Pendiente">
      <formula>NOT(ISERROR(SEARCH("Pendiente",M285)))</formula>
    </cfRule>
    <cfRule type="containsText" dxfId="585" priority="876" operator="containsText" text="No Aplica">
      <formula>NOT(ISERROR(SEARCH("No Aplica",M285)))</formula>
    </cfRule>
    <cfRule type="containsText" dxfId="584" priority="877" operator="containsText" text="Fallido">
      <formula>NOT(ISERROR(SEARCH("Fallido",M285)))</formula>
    </cfRule>
    <cfRule type="containsText" dxfId="583" priority="878" operator="containsText" text="Éxitoso">
      <formula>NOT(ISERROR(SEARCH("Éxitoso",M285)))</formula>
    </cfRule>
  </conditionalFormatting>
  <conditionalFormatting sqref="G285">
    <cfRule type="containsText" dxfId="582" priority="871" operator="containsText" text="Bajo">
      <formula>NOT(ISERROR(SEARCH("Bajo",G285)))</formula>
    </cfRule>
    <cfRule type="containsText" dxfId="581" priority="872" operator="containsText" text="Medio">
      <formula>NOT(ISERROR(SEARCH("Medio",G285)))</formula>
    </cfRule>
    <cfRule type="containsText" dxfId="580" priority="873" operator="containsText" text="Alto">
      <formula>NOT(ISERROR(SEARCH("Alto",G285)))</formula>
    </cfRule>
  </conditionalFormatting>
  <conditionalFormatting sqref="N286">
    <cfRule type="containsText" dxfId="579" priority="866" operator="containsText" text="No se pudo ejecutar">
      <formula>NOT(ISERROR(SEARCH("No se pudo ejecutar",N286)))</formula>
    </cfRule>
    <cfRule type="containsText" dxfId="578" priority="867" operator="containsText" text="Pendiente">
      <formula>NOT(ISERROR(SEARCH("Pendiente",N286)))</formula>
    </cfRule>
    <cfRule type="containsText" dxfId="577" priority="868" operator="containsText" text="No Aplica">
      <formula>NOT(ISERROR(SEARCH("No Aplica",N286)))</formula>
    </cfRule>
    <cfRule type="containsText" dxfId="576" priority="869" operator="containsText" text="Fallido">
      <formula>NOT(ISERROR(SEARCH("Fallido",N286)))</formula>
    </cfRule>
    <cfRule type="containsText" dxfId="575" priority="870" operator="containsText" text="Éxitoso">
      <formula>NOT(ISERROR(SEARCH("Éxitoso",N286)))</formula>
    </cfRule>
  </conditionalFormatting>
  <conditionalFormatting sqref="O286">
    <cfRule type="containsText" dxfId="574" priority="861" operator="containsText" text="No se pudo ejecutar">
      <formula>NOT(ISERROR(SEARCH("No se pudo ejecutar",O286)))</formula>
    </cfRule>
    <cfRule type="containsText" dxfId="573" priority="862" operator="containsText" text="Pendiente">
      <formula>NOT(ISERROR(SEARCH("Pendiente",O286)))</formula>
    </cfRule>
    <cfRule type="containsText" dxfId="572" priority="863" operator="containsText" text="No Aplica">
      <formula>NOT(ISERROR(SEARCH("No Aplica",O286)))</formula>
    </cfRule>
    <cfRule type="containsText" dxfId="571" priority="864" operator="containsText" text="Fallido">
      <formula>NOT(ISERROR(SEARCH("Fallido",O286)))</formula>
    </cfRule>
    <cfRule type="containsText" dxfId="570" priority="865" operator="containsText" text="Éxitoso">
      <formula>NOT(ISERROR(SEARCH("Éxitoso",O286)))</formula>
    </cfRule>
  </conditionalFormatting>
  <conditionalFormatting sqref="P286">
    <cfRule type="containsText" dxfId="569" priority="856" operator="containsText" text="No se pudo ejecutar">
      <formula>NOT(ISERROR(SEARCH("No se pudo ejecutar",P286)))</formula>
    </cfRule>
    <cfRule type="containsText" dxfId="568" priority="857" operator="containsText" text="Pendiente">
      <formula>NOT(ISERROR(SEARCH("Pendiente",P286)))</formula>
    </cfRule>
    <cfRule type="containsText" dxfId="567" priority="858" operator="containsText" text="No Aplica">
      <formula>NOT(ISERROR(SEARCH("No Aplica",P286)))</formula>
    </cfRule>
    <cfRule type="containsText" dxfId="566" priority="859" operator="containsText" text="Fallido">
      <formula>NOT(ISERROR(SEARCH("Fallido",P286)))</formula>
    </cfRule>
    <cfRule type="containsText" dxfId="565" priority="860" operator="containsText" text="Éxitoso">
      <formula>NOT(ISERROR(SEARCH("Éxitoso",P286)))</formula>
    </cfRule>
  </conditionalFormatting>
  <conditionalFormatting sqref="Q286">
    <cfRule type="containsText" dxfId="564" priority="851" operator="containsText" text="No se pudo ejecutar">
      <formula>NOT(ISERROR(SEARCH("No se pudo ejecutar",Q286)))</formula>
    </cfRule>
    <cfRule type="containsText" dxfId="563" priority="852" operator="containsText" text="Pendiente">
      <formula>NOT(ISERROR(SEARCH("Pendiente",Q286)))</formula>
    </cfRule>
    <cfRule type="containsText" dxfId="562" priority="853" operator="containsText" text="No Aplica">
      <formula>NOT(ISERROR(SEARCH("No Aplica",Q286)))</formula>
    </cfRule>
    <cfRule type="containsText" dxfId="561" priority="854" operator="containsText" text="Fallido">
      <formula>NOT(ISERROR(SEARCH("Fallido",Q286)))</formula>
    </cfRule>
    <cfRule type="containsText" dxfId="560" priority="855" operator="containsText" text="Éxitoso">
      <formula>NOT(ISERROR(SEARCH("Éxitoso",Q286)))</formula>
    </cfRule>
  </conditionalFormatting>
  <conditionalFormatting sqref="R286">
    <cfRule type="containsText" dxfId="559" priority="846" operator="containsText" text="No se pudo ejecutar">
      <formula>NOT(ISERROR(SEARCH("No se pudo ejecutar",R286)))</formula>
    </cfRule>
    <cfRule type="containsText" dxfId="558" priority="847" operator="containsText" text="Pendiente">
      <formula>NOT(ISERROR(SEARCH("Pendiente",R286)))</formula>
    </cfRule>
    <cfRule type="containsText" dxfId="557" priority="848" operator="containsText" text="No Aplica">
      <formula>NOT(ISERROR(SEARCH("No Aplica",R286)))</formula>
    </cfRule>
    <cfRule type="containsText" dxfId="556" priority="849" operator="containsText" text="Fallido">
      <formula>NOT(ISERROR(SEARCH("Fallido",R286)))</formula>
    </cfRule>
    <cfRule type="containsText" dxfId="555" priority="850" operator="containsText" text="Éxitoso">
      <formula>NOT(ISERROR(SEARCH("Éxitoso",R286)))</formula>
    </cfRule>
  </conditionalFormatting>
  <conditionalFormatting sqref="S286">
    <cfRule type="containsText" dxfId="554" priority="841" operator="containsText" text="No se pudo ejecutar">
      <formula>NOT(ISERROR(SEARCH("No se pudo ejecutar",S286)))</formula>
    </cfRule>
    <cfRule type="containsText" dxfId="553" priority="842" operator="containsText" text="Pendiente">
      <formula>NOT(ISERROR(SEARCH("Pendiente",S286)))</formula>
    </cfRule>
    <cfRule type="containsText" dxfId="552" priority="843" operator="containsText" text="No Aplica">
      <formula>NOT(ISERROR(SEARCH("No Aplica",S286)))</formula>
    </cfRule>
    <cfRule type="containsText" dxfId="551" priority="844" operator="containsText" text="Fallido">
      <formula>NOT(ISERROR(SEARCH("Fallido",S286)))</formula>
    </cfRule>
    <cfRule type="containsText" dxfId="550" priority="845" operator="containsText" text="Éxitoso">
      <formula>NOT(ISERROR(SEARCH("Éxitoso",S286)))</formula>
    </cfRule>
  </conditionalFormatting>
  <conditionalFormatting sqref="T286">
    <cfRule type="containsText" dxfId="549" priority="836" operator="containsText" text="No se pudo ejecutar">
      <formula>NOT(ISERROR(SEARCH("No se pudo ejecutar",T286)))</formula>
    </cfRule>
    <cfRule type="containsText" dxfId="548" priority="837" operator="containsText" text="Pendiente">
      <formula>NOT(ISERROR(SEARCH("Pendiente",T286)))</formula>
    </cfRule>
    <cfRule type="containsText" dxfId="547" priority="838" operator="containsText" text="No Aplica">
      <formula>NOT(ISERROR(SEARCH("No Aplica",T286)))</formula>
    </cfRule>
    <cfRule type="containsText" dxfId="546" priority="839" operator="containsText" text="Fallido">
      <formula>NOT(ISERROR(SEARCH("Fallido",T286)))</formula>
    </cfRule>
    <cfRule type="containsText" dxfId="545" priority="840" operator="containsText" text="Éxitoso">
      <formula>NOT(ISERROR(SEARCH("Éxitoso",T286)))</formula>
    </cfRule>
  </conditionalFormatting>
  <conditionalFormatting sqref="U286">
    <cfRule type="containsText" dxfId="544" priority="831" operator="containsText" text="No se pudo ejecutar">
      <formula>NOT(ISERROR(SEARCH("No se pudo ejecutar",U286)))</formula>
    </cfRule>
    <cfRule type="containsText" dxfId="543" priority="832" operator="containsText" text="Pendiente">
      <formula>NOT(ISERROR(SEARCH("Pendiente",U286)))</formula>
    </cfRule>
    <cfRule type="containsText" dxfId="542" priority="833" operator="containsText" text="No Aplica">
      <formula>NOT(ISERROR(SEARCH("No Aplica",U286)))</formula>
    </cfRule>
    <cfRule type="containsText" dxfId="541" priority="834" operator="containsText" text="Fallido">
      <formula>NOT(ISERROR(SEARCH("Fallido",U286)))</formula>
    </cfRule>
    <cfRule type="containsText" dxfId="540" priority="835" operator="containsText" text="Éxitoso">
      <formula>NOT(ISERROR(SEARCH("Éxitoso",U286)))</formula>
    </cfRule>
  </conditionalFormatting>
  <conditionalFormatting sqref="V286">
    <cfRule type="containsText" dxfId="539" priority="826" operator="containsText" text="No se pudo ejecutar">
      <formula>NOT(ISERROR(SEARCH("No se pudo ejecutar",V286)))</formula>
    </cfRule>
    <cfRule type="containsText" dxfId="538" priority="827" operator="containsText" text="Pendiente">
      <formula>NOT(ISERROR(SEARCH("Pendiente",V286)))</formula>
    </cfRule>
    <cfRule type="containsText" dxfId="537" priority="828" operator="containsText" text="No Aplica">
      <formula>NOT(ISERROR(SEARCH("No Aplica",V286)))</formula>
    </cfRule>
    <cfRule type="containsText" dxfId="536" priority="829" operator="containsText" text="Fallido">
      <formula>NOT(ISERROR(SEARCH("Fallido",V286)))</formula>
    </cfRule>
    <cfRule type="containsText" dxfId="535" priority="830" operator="containsText" text="Éxitoso">
      <formula>NOT(ISERROR(SEARCH("Éxitoso",V286)))</formula>
    </cfRule>
  </conditionalFormatting>
  <conditionalFormatting sqref="W286">
    <cfRule type="containsText" dxfId="534" priority="821" operator="containsText" text="No se pudo ejecutar">
      <formula>NOT(ISERROR(SEARCH("No se pudo ejecutar",W286)))</formula>
    </cfRule>
    <cfRule type="containsText" dxfId="533" priority="822" operator="containsText" text="Pendiente">
      <formula>NOT(ISERROR(SEARCH("Pendiente",W286)))</formula>
    </cfRule>
    <cfRule type="containsText" dxfId="532" priority="823" operator="containsText" text="No Aplica">
      <formula>NOT(ISERROR(SEARCH("No Aplica",W286)))</formula>
    </cfRule>
    <cfRule type="containsText" dxfId="531" priority="824" operator="containsText" text="Fallido">
      <formula>NOT(ISERROR(SEARCH("Fallido",W286)))</formula>
    </cfRule>
    <cfRule type="containsText" dxfId="530" priority="825" operator="containsText" text="Éxitoso">
      <formula>NOT(ISERROR(SEARCH("Éxitoso",W286)))</formula>
    </cfRule>
  </conditionalFormatting>
  <conditionalFormatting sqref="M286">
    <cfRule type="containsText" dxfId="529" priority="816" operator="containsText" text="No se pudo ejecutar">
      <formula>NOT(ISERROR(SEARCH("No se pudo ejecutar",M286)))</formula>
    </cfRule>
    <cfRule type="containsText" dxfId="528" priority="817" operator="containsText" text="Pendiente">
      <formula>NOT(ISERROR(SEARCH("Pendiente",M286)))</formula>
    </cfRule>
    <cfRule type="containsText" dxfId="527" priority="818" operator="containsText" text="No Aplica">
      <formula>NOT(ISERROR(SEARCH("No Aplica",M286)))</formula>
    </cfRule>
    <cfRule type="containsText" dxfId="526" priority="819" operator="containsText" text="Fallido">
      <formula>NOT(ISERROR(SEARCH("Fallido",M286)))</formula>
    </cfRule>
    <cfRule type="containsText" dxfId="525" priority="820" operator="containsText" text="Éxitoso">
      <formula>NOT(ISERROR(SEARCH("Éxitoso",M286)))</formula>
    </cfRule>
  </conditionalFormatting>
  <conditionalFormatting sqref="G286">
    <cfRule type="containsText" dxfId="524" priority="813" operator="containsText" text="Bajo">
      <formula>NOT(ISERROR(SEARCH("Bajo",G286)))</formula>
    </cfRule>
    <cfRule type="containsText" dxfId="523" priority="814" operator="containsText" text="Medio">
      <formula>NOT(ISERROR(SEARCH("Medio",G286)))</formula>
    </cfRule>
    <cfRule type="containsText" dxfId="522" priority="815" operator="containsText" text="Alto">
      <formula>NOT(ISERROR(SEARCH("Alto",G286)))</formula>
    </cfRule>
  </conditionalFormatting>
  <conditionalFormatting sqref="N287">
    <cfRule type="containsText" dxfId="521" priority="808" operator="containsText" text="No se pudo ejecutar">
      <formula>NOT(ISERROR(SEARCH("No se pudo ejecutar",N287)))</formula>
    </cfRule>
    <cfRule type="containsText" dxfId="520" priority="809" operator="containsText" text="Pendiente">
      <formula>NOT(ISERROR(SEARCH("Pendiente",N287)))</formula>
    </cfRule>
    <cfRule type="containsText" dxfId="519" priority="810" operator="containsText" text="No Aplica">
      <formula>NOT(ISERROR(SEARCH("No Aplica",N287)))</formula>
    </cfRule>
    <cfRule type="containsText" dxfId="518" priority="811" operator="containsText" text="Fallido">
      <formula>NOT(ISERROR(SEARCH("Fallido",N287)))</formula>
    </cfRule>
    <cfRule type="containsText" dxfId="517" priority="812" operator="containsText" text="Éxitoso">
      <formula>NOT(ISERROR(SEARCH("Éxitoso",N287)))</formula>
    </cfRule>
  </conditionalFormatting>
  <conditionalFormatting sqref="O287">
    <cfRule type="containsText" dxfId="516" priority="803" operator="containsText" text="No se pudo ejecutar">
      <formula>NOT(ISERROR(SEARCH("No se pudo ejecutar",O287)))</formula>
    </cfRule>
    <cfRule type="containsText" dxfId="515" priority="804" operator="containsText" text="Pendiente">
      <formula>NOT(ISERROR(SEARCH("Pendiente",O287)))</formula>
    </cfRule>
    <cfRule type="containsText" dxfId="514" priority="805" operator="containsText" text="No Aplica">
      <formula>NOT(ISERROR(SEARCH("No Aplica",O287)))</formula>
    </cfRule>
    <cfRule type="containsText" dxfId="513" priority="806" operator="containsText" text="Fallido">
      <formula>NOT(ISERROR(SEARCH("Fallido",O287)))</formula>
    </cfRule>
    <cfRule type="containsText" dxfId="512" priority="807" operator="containsText" text="Éxitoso">
      <formula>NOT(ISERROR(SEARCH("Éxitoso",O287)))</formula>
    </cfRule>
  </conditionalFormatting>
  <conditionalFormatting sqref="P287">
    <cfRule type="containsText" dxfId="511" priority="798" operator="containsText" text="No se pudo ejecutar">
      <formula>NOT(ISERROR(SEARCH("No se pudo ejecutar",P287)))</formula>
    </cfRule>
    <cfRule type="containsText" dxfId="510" priority="799" operator="containsText" text="Pendiente">
      <formula>NOT(ISERROR(SEARCH("Pendiente",P287)))</formula>
    </cfRule>
    <cfRule type="containsText" dxfId="509" priority="800" operator="containsText" text="No Aplica">
      <formula>NOT(ISERROR(SEARCH("No Aplica",P287)))</formula>
    </cfRule>
    <cfRule type="containsText" dxfId="508" priority="801" operator="containsText" text="Fallido">
      <formula>NOT(ISERROR(SEARCH("Fallido",P287)))</formula>
    </cfRule>
    <cfRule type="containsText" dxfId="507" priority="802" operator="containsText" text="Éxitoso">
      <formula>NOT(ISERROR(SEARCH("Éxitoso",P287)))</formula>
    </cfRule>
  </conditionalFormatting>
  <conditionalFormatting sqref="Q287">
    <cfRule type="containsText" dxfId="506" priority="793" operator="containsText" text="No se pudo ejecutar">
      <formula>NOT(ISERROR(SEARCH("No se pudo ejecutar",Q287)))</formula>
    </cfRule>
    <cfRule type="containsText" dxfId="505" priority="794" operator="containsText" text="Pendiente">
      <formula>NOT(ISERROR(SEARCH("Pendiente",Q287)))</formula>
    </cfRule>
    <cfRule type="containsText" dxfId="504" priority="795" operator="containsText" text="No Aplica">
      <formula>NOT(ISERROR(SEARCH("No Aplica",Q287)))</formula>
    </cfRule>
    <cfRule type="containsText" dxfId="503" priority="796" operator="containsText" text="Fallido">
      <formula>NOT(ISERROR(SEARCH("Fallido",Q287)))</formula>
    </cfRule>
    <cfRule type="containsText" dxfId="502" priority="797" operator="containsText" text="Éxitoso">
      <formula>NOT(ISERROR(SEARCH("Éxitoso",Q287)))</formula>
    </cfRule>
  </conditionalFormatting>
  <conditionalFormatting sqref="R287">
    <cfRule type="containsText" dxfId="501" priority="788" operator="containsText" text="No se pudo ejecutar">
      <formula>NOT(ISERROR(SEARCH("No se pudo ejecutar",R287)))</formula>
    </cfRule>
    <cfRule type="containsText" dxfId="500" priority="789" operator="containsText" text="Pendiente">
      <formula>NOT(ISERROR(SEARCH("Pendiente",R287)))</formula>
    </cfRule>
    <cfRule type="containsText" dxfId="499" priority="790" operator="containsText" text="No Aplica">
      <formula>NOT(ISERROR(SEARCH("No Aplica",R287)))</formula>
    </cfRule>
    <cfRule type="containsText" dxfId="498" priority="791" operator="containsText" text="Fallido">
      <formula>NOT(ISERROR(SEARCH("Fallido",R287)))</formula>
    </cfRule>
    <cfRule type="containsText" dxfId="497" priority="792" operator="containsText" text="Éxitoso">
      <formula>NOT(ISERROR(SEARCH("Éxitoso",R287)))</formula>
    </cfRule>
  </conditionalFormatting>
  <conditionalFormatting sqref="S287">
    <cfRule type="containsText" dxfId="496" priority="783" operator="containsText" text="No se pudo ejecutar">
      <formula>NOT(ISERROR(SEARCH("No se pudo ejecutar",S287)))</formula>
    </cfRule>
    <cfRule type="containsText" dxfId="495" priority="784" operator="containsText" text="Pendiente">
      <formula>NOT(ISERROR(SEARCH("Pendiente",S287)))</formula>
    </cfRule>
    <cfRule type="containsText" dxfId="494" priority="785" operator="containsText" text="No Aplica">
      <formula>NOT(ISERROR(SEARCH("No Aplica",S287)))</formula>
    </cfRule>
    <cfRule type="containsText" dxfId="493" priority="786" operator="containsText" text="Fallido">
      <formula>NOT(ISERROR(SEARCH("Fallido",S287)))</formula>
    </cfRule>
    <cfRule type="containsText" dxfId="492" priority="787" operator="containsText" text="Éxitoso">
      <formula>NOT(ISERROR(SEARCH("Éxitoso",S287)))</formula>
    </cfRule>
  </conditionalFormatting>
  <conditionalFormatting sqref="T287">
    <cfRule type="containsText" dxfId="491" priority="778" operator="containsText" text="No se pudo ejecutar">
      <formula>NOT(ISERROR(SEARCH("No se pudo ejecutar",T287)))</formula>
    </cfRule>
    <cfRule type="containsText" dxfId="490" priority="779" operator="containsText" text="Pendiente">
      <formula>NOT(ISERROR(SEARCH("Pendiente",T287)))</formula>
    </cfRule>
    <cfRule type="containsText" dxfId="489" priority="780" operator="containsText" text="No Aplica">
      <formula>NOT(ISERROR(SEARCH("No Aplica",T287)))</formula>
    </cfRule>
    <cfRule type="containsText" dxfId="488" priority="781" operator="containsText" text="Fallido">
      <formula>NOT(ISERROR(SEARCH("Fallido",T287)))</formula>
    </cfRule>
    <cfRule type="containsText" dxfId="487" priority="782" operator="containsText" text="Éxitoso">
      <formula>NOT(ISERROR(SEARCH("Éxitoso",T287)))</formula>
    </cfRule>
  </conditionalFormatting>
  <conditionalFormatting sqref="U287">
    <cfRule type="containsText" dxfId="486" priority="773" operator="containsText" text="No se pudo ejecutar">
      <formula>NOT(ISERROR(SEARCH("No se pudo ejecutar",U287)))</formula>
    </cfRule>
    <cfRule type="containsText" dxfId="485" priority="774" operator="containsText" text="Pendiente">
      <formula>NOT(ISERROR(SEARCH("Pendiente",U287)))</formula>
    </cfRule>
    <cfRule type="containsText" dxfId="484" priority="775" operator="containsText" text="No Aplica">
      <formula>NOT(ISERROR(SEARCH("No Aplica",U287)))</formula>
    </cfRule>
    <cfRule type="containsText" dxfId="483" priority="776" operator="containsText" text="Fallido">
      <formula>NOT(ISERROR(SEARCH("Fallido",U287)))</formula>
    </cfRule>
    <cfRule type="containsText" dxfId="482" priority="777" operator="containsText" text="Éxitoso">
      <formula>NOT(ISERROR(SEARCH("Éxitoso",U287)))</formula>
    </cfRule>
  </conditionalFormatting>
  <conditionalFormatting sqref="V287">
    <cfRule type="containsText" dxfId="481" priority="768" operator="containsText" text="No se pudo ejecutar">
      <formula>NOT(ISERROR(SEARCH("No se pudo ejecutar",V287)))</formula>
    </cfRule>
    <cfRule type="containsText" dxfId="480" priority="769" operator="containsText" text="Pendiente">
      <formula>NOT(ISERROR(SEARCH("Pendiente",V287)))</formula>
    </cfRule>
    <cfRule type="containsText" dxfId="479" priority="770" operator="containsText" text="No Aplica">
      <formula>NOT(ISERROR(SEARCH("No Aplica",V287)))</formula>
    </cfRule>
    <cfRule type="containsText" dxfId="478" priority="771" operator="containsText" text="Fallido">
      <formula>NOT(ISERROR(SEARCH("Fallido",V287)))</formula>
    </cfRule>
    <cfRule type="containsText" dxfId="477" priority="772" operator="containsText" text="Éxitoso">
      <formula>NOT(ISERROR(SEARCH("Éxitoso",V287)))</formula>
    </cfRule>
  </conditionalFormatting>
  <conditionalFormatting sqref="W287">
    <cfRule type="containsText" dxfId="476" priority="763" operator="containsText" text="No se pudo ejecutar">
      <formula>NOT(ISERROR(SEARCH("No se pudo ejecutar",W287)))</formula>
    </cfRule>
    <cfRule type="containsText" dxfId="475" priority="764" operator="containsText" text="Pendiente">
      <formula>NOT(ISERROR(SEARCH("Pendiente",W287)))</formula>
    </cfRule>
    <cfRule type="containsText" dxfId="474" priority="765" operator="containsText" text="No Aplica">
      <formula>NOT(ISERROR(SEARCH("No Aplica",W287)))</formula>
    </cfRule>
    <cfRule type="containsText" dxfId="473" priority="766" operator="containsText" text="Fallido">
      <formula>NOT(ISERROR(SEARCH("Fallido",W287)))</formula>
    </cfRule>
    <cfRule type="containsText" dxfId="472" priority="767" operator="containsText" text="Éxitoso">
      <formula>NOT(ISERROR(SEARCH("Éxitoso",W287)))</formula>
    </cfRule>
  </conditionalFormatting>
  <conditionalFormatting sqref="M287">
    <cfRule type="containsText" dxfId="471" priority="758" operator="containsText" text="No se pudo ejecutar">
      <formula>NOT(ISERROR(SEARCH("No se pudo ejecutar",M287)))</formula>
    </cfRule>
    <cfRule type="containsText" dxfId="470" priority="759" operator="containsText" text="Pendiente">
      <formula>NOT(ISERROR(SEARCH("Pendiente",M287)))</formula>
    </cfRule>
    <cfRule type="containsText" dxfId="469" priority="760" operator="containsText" text="No Aplica">
      <formula>NOT(ISERROR(SEARCH("No Aplica",M287)))</formula>
    </cfRule>
    <cfRule type="containsText" dxfId="468" priority="761" operator="containsText" text="Fallido">
      <formula>NOT(ISERROR(SEARCH("Fallido",M287)))</formula>
    </cfRule>
    <cfRule type="containsText" dxfId="467" priority="762" operator="containsText" text="Éxitoso">
      <formula>NOT(ISERROR(SEARCH("Éxitoso",M287)))</formula>
    </cfRule>
  </conditionalFormatting>
  <conditionalFormatting sqref="G287">
    <cfRule type="containsText" dxfId="466" priority="755" operator="containsText" text="Bajo">
      <formula>NOT(ISERROR(SEARCH("Bajo",G287)))</formula>
    </cfRule>
    <cfRule type="containsText" dxfId="465" priority="756" operator="containsText" text="Medio">
      <formula>NOT(ISERROR(SEARCH("Medio",G287)))</formula>
    </cfRule>
    <cfRule type="containsText" dxfId="464" priority="757" operator="containsText" text="Alto">
      <formula>NOT(ISERROR(SEARCH("Alto",G287)))</formula>
    </cfRule>
  </conditionalFormatting>
  <conditionalFormatting sqref="N288">
    <cfRule type="containsText" dxfId="463" priority="750" operator="containsText" text="No se pudo ejecutar">
      <formula>NOT(ISERROR(SEARCH("No se pudo ejecutar",N288)))</formula>
    </cfRule>
    <cfRule type="containsText" dxfId="462" priority="751" operator="containsText" text="Pendiente">
      <formula>NOT(ISERROR(SEARCH("Pendiente",N288)))</formula>
    </cfRule>
    <cfRule type="containsText" dxfId="461" priority="752" operator="containsText" text="No Aplica">
      <formula>NOT(ISERROR(SEARCH("No Aplica",N288)))</formula>
    </cfRule>
    <cfRule type="containsText" dxfId="460" priority="753" operator="containsText" text="Fallido">
      <formula>NOT(ISERROR(SEARCH("Fallido",N288)))</formula>
    </cfRule>
    <cfRule type="containsText" dxfId="459" priority="754" operator="containsText" text="Éxitoso">
      <formula>NOT(ISERROR(SEARCH("Éxitoso",N288)))</formula>
    </cfRule>
  </conditionalFormatting>
  <conditionalFormatting sqref="O288">
    <cfRule type="containsText" dxfId="458" priority="745" operator="containsText" text="No se pudo ejecutar">
      <formula>NOT(ISERROR(SEARCH("No se pudo ejecutar",O288)))</formula>
    </cfRule>
    <cfRule type="containsText" dxfId="457" priority="746" operator="containsText" text="Pendiente">
      <formula>NOT(ISERROR(SEARCH("Pendiente",O288)))</formula>
    </cfRule>
    <cfRule type="containsText" dxfId="456" priority="747" operator="containsText" text="No Aplica">
      <formula>NOT(ISERROR(SEARCH("No Aplica",O288)))</formula>
    </cfRule>
    <cfRule type="containsText" dxfId="455" priority="748" operator="containsText" text="Fallido">
      <formula>NOT(ISERROR(SEARCH("Fallido",O288)))</formula>
    </cfRule>
    <cfRule type="containsText" dxfId="454" priority="749" operator="containsText" text="Éxitoso">
      <formula>NOT(ISERROR(SEARCH("Éxitoso",O288)))</formula>
    </cfRule>
  </conditionalFormatting>
  <conditionalFormatting sqref="P288">
    <cfRule type="containsText" dxfId="453" priority="740" operator="containsText" text="No se pudo ejecutar">
      <formula>NOT(ISERROR(SEARCH("No se pudo ejecutar",P288)))</formula>
    </cfRule>
    <cfRule type="containsText" dxfId="452" priority="741" operator="containsText" text="Pendiente">
      <formula>NOT(ISERROR(SEARCH("Pendiente",P288)))</formula>
    </cfRule>
    <cfRule type="containsText" dxfId="451" priority="742" operator="containsText" text="No Aplica">
      <formula>NOT(ISERROR(SEARCH("No Aplica",P288)))</formula>
    </cfRule>
    <cfRule type="containsText" dxfId="450" priority="743" operator="containsText" text="Fallido">
      <formula>NOT(ISERROR(SEARCH("Fallido",P288)))</formula>
    </cfRule>
    <cfRule type="containsText" dxfId="449" priority="744" operator="containsText" text="Éxitoso">
      <formula>NOT(ISERROR(SEARCH("Éxitoso",P288)))</formula>
    </cfRule>
  </conditionalFormatting>
  <conditionalFormatting sqref="Q288">
    <cfRule type="containsText" dxfId="448" priority="735" operator="containsText" text="No se pudo ejecutar">
      <formula>NOT(ISERROR(SEARCH("No se pudo ejecutar",Q288)))</formula>
    </cfRule>
    <cfRule type="containsText" dxfId="447" priority="736" operator="containsText" text="Pendiente">
      <formula>NOT(ISERROR(SEARCH("Pendiente",Q288)))</formula>
    </cfRule>
    <cfRule type="containsText" dxfId="446" priority="737" operator="containsText" text="No Aplica">
      <formula>NOT(ISERROR(SEARCH("No Aplica",Q288)))</formula>
    </cfRule>
    <cfRule type="containsText" dxfId="445" priority="738" operator="containsText" text="Fallido">
      <formula>NOT(ISERROR(SEARCH("Fallido",Q288)))</formula>
    </cfRule>
    <cfRule type="containsText" dxfId="444" priority="739" operator="containsText" text="Éxitoso">
      <formula>NOT(ISERROR(SEARCH("Éxitoso",Q288)))</formula>
    </cfRule>
  </conditionalFormatting>
  <conditionalFormatting sqref="R288">
    <cfRule type="containsText" dxfId="443" priority="730" operator="containsText" text="No se pudo ejecutar">
      <formula>NOT(ISERROR(SEARCH("No se pudo ejecutar",R288)))</formula>
    </cfRule>
    <cfRule type="containsText" dxfId="442" priority="731" operator="containsText" text="Pendiente">
      <formula>NOT(ISERROR(SEARCH("Pendiente",R288)))</formula>
    </cfRule>
    <cfRule type="containsText" dxfId="441" priority="732" operator="containsText" text="No Aplica">
      <formula>NOT(ISERROR(SEARCH("No Aplica",R288)))</formula>
    </cfRule>
    <cfRule type="containsText" dxfId="440" priority="733" operator="containsText" text="Fallido">
      <formula>NOT(ISERROR(SEARCH("Fallido",R288)))</formula>
    </cfRule>
    <cfRule type="containsText" dxfId="439" priority="734" operator="containsText" text="Éxitoso">
      <formula>NOT(ISERROR(SEARCH("Éxitoso",R288)))</formula>
    </cfRule>
  </conditionalFormatting>
  <conditionalFormatting sqref="S288">
    <cfRule type="containsText" dxfId="438" priority="725" operator="containsText" text="No se pudo ejecutar">
      <formula>NOT(ISERROR(SEARCH("No se pudo ejecutar",S288)))</formula>
    </cfRule>
    <cfRule type="containsText" dxfId="437" priority="726" operator="containsText" text="Pendiente">
      <formula>NOT(ISERROR(SEARCH("Pendiente",S288)))</formula>
    </cfRule>
    <cfRule type="containsText" dxfId="436" priority="727" operator="containsText" text="No Aplica">
      <formula>NOT(ISERROR(SEARCH("No Aplica",S288)))</formula>
    </cfRule>
    <cfRule type="containsText" dxfId="435" priority="728" operator="containsText" text="Fallido">
      <formula>NOT(ISERROR(SEARCH("Fallido",S288)))</formula>
    </cfRule>
    <cfRule type="containsText" dxfId="434" priority="729" operator="containsText" text="Éxitoso">
      <formula>NOT(ISERROR(SEARCH("Éxitoso",S288)))</formula>
    </cfRule>
  </conditionalFormatting>
  <conditionalFormatting sqref="T288">
    <cfRule type="containsText" dxfId="433" priority="720" operator="containsText" text="No se pudo ejecutar">
      <formula>NOT(ISERROR(SEARCH("No se pudo ejecutar",T288)))</formula>
    </cfRule>
    <cfRule type="containsText" dxfId="432" priority="721" operator="containsText" text="Pendiente">
      <formula>NOT(ISERROR(SEARCH("Pendiente",T288)))</formula>
    </cfRule>
    <cfRule type="containsText" dxfId="431" priority="722" operator="containsText" text="No Aplica">
      <formula>NOT(ISERROR(SEARCH("No Aplica",T288)))</formula>
    </cfRule>
    <cfRule type="containsText" dxfId="430" priority="723" operator="containsText" text="Fallido">
      <formula>NOT(ISERROR(SEARCH("Fallido",T288)))</formula>
    </cfRule>
    <cfRule type="containsText" dxfId="429" priority="724" operator="containsText" text="Éxitoso">
      <formula>NOT(ISERROR(SEARCH("Éxitoso",T288)))</formula>
    </cfRule>
  </conditionalFormatting>
  <conditionalFormatting sqref="U288">
    <cfRule type="containsText" dxfId="428" priority="715" operator="containsText" text="No se pudo ejecutar">
      <formula>NOT(ISERROR(SEARCH("No se pudo ejecutar",U288)))</formula>
    </cfRule>
    <cfRule type="containsText" dxfId="427" priority="716" operator="containsText" text="Pendiente">
      <formula>NOT(ISERROR(SEARCH("Pendiente",U288)))</formula>
    </cfRule>
    <cfRule type="containsText" dxfId="426" priority="717" operator="containsText" text="No Aplica">
      <formula>NOT(ISERROR(SEARCH("No Aplica",U288)))</formula>
    </cfRule>
    <cfRule type="containsText" dxfId="425" priority="718" operator="containsText" text="Fallido">
      <formula>NOT(ISERROR(SEARCH("Fallido",U288)))</formula>
    </cfRule>
    <cfRule type="containsText" dxfId="424" priority="719" operator="containsText" text="Éxitoso">
      <formula>NOT(ISERROR(SEARCH("Éxitoso",U288)))</formula>
    </cfRule>
  </conditionalFormatting>
  <conditionalFormatting sqref="V288">
    <cfRule type="containsText" dxfId="423" priority="710" operator="containsText" text="No se pudo ejecutar">
      <formula>NOT(ISERROR(SEARCH("No se pudo ejecutar",V288)))</formula>
    </cfRule>
    <cfRule type="containsText" dxfId="422" priority="711" operator="containsText" text="Pendiente">
      <formula>NOT(ISERROR(SEARCH("Pendiente",V288)))</formula>
    </cfRule>
    <cfRule type="containsText" dxfId="421" priority="712" operator="containsText" text="No Aplica">
      <formula>NOT(ISERROR(SEARCH("No Aplica",V288)))</formula>
    </cfRule>
    <cfRule type="containsText" dxfId="420" priority="713" operator="containsText" text="Fallido">
      <formula>NOT(ISERROR(SEARCH("Fallido",V288)))</formula>
    </cfRule>
    <cfRule type="containsText" dxfId="419" priority="714" operator="containsText" text="Éxitoso">
      <formula>NOT(ISERROR(SEARCH("Éxitoso",V288)))</formula>
    </cfRule>
  </conditionalFormatting>
  <conditionalFormatting sqref="W288">
    <cfRule type="containsText" dxfId="418" priority="705" operator="containsText" text="No se pudo ejecutar">
      <formula>NOT(ISERROR(SEARCH("No se pudo ejecutar",W288)))</formula>
    </cfRule>
    <cfRule type="containsText" dxfId="417" priority="706" operator="containsText" text="Pendiente">
      <formula>NOT(ISERROR(SEARCH("Pendiente",W288)))</formula>
    </cfRule>
    <cfRule type="containsText" dxfId="416" priority="707" operator="containsText" text="No Aplica">
      <formula>NOT(ISERROR(SEARCH("No Aplica",W288)))</formula>
    </cfRule>
    <cfRule type="containsText" dxfId="415" priority="708" operator="containsText" text="Fallido">
      <formula>NOT(ISERROR(SEARCH("Fallido",W288)))</formula>
    </cfRule>
    <cfRule type="containsText" dxfId="414" priority="709" operator="containsText" text="Éxitoso">
      <formula>NOT(ISERROR(SEARCH("Éxitoso",W288)))</formula>
    </cfRule>
  </conditionalFormatting>
  <conditionalFormatting sqref="M288">
    <cfRule type="containsText" dxfId="413" priority="700" operator="containsText" text="No se pudo ejecutar">
      <formula>NOT(ISERROR(SEARCH("No se pudo ejecutar",M288)))</formula>
    </cfRule>
    <cfRule type="containsText" dxfId="412" priority="701" operator="containsText" text="Pendiente">
      <formula>NOT(ISERROR(SEARCH("Pendiente",M288)))</formula>
    </cfRule>
    <cfRule type="containsText" dxfId="411" priority="702" operator="containsText" text="No Aplica">
      <formula>NOT(ISERROR(SEARCH("No Aplica",M288)))</formula>
    </cfRule>
    <cfRule type="containsText" dxfId="410" priority="703" operator="containsText" text="Fallido">
      <formula>NOT(ISERROR(SEARCH("Fallido",M288)))</formula>
    </cfRule>
    <cfRule type="containsText" dxfId="409" priority="704" operator="containsText" text="Éxitoso">
      <formula>NOT(ISERROR(SEARCH("Éxitoso",M288)))</formula>
    </cfRule>
  </conditionalFormatting>
  <conditionalFormatting sqref="G288">
    <cfRule type="containsText" dxfId="408" priority="697" operator="containsText" text="Bajo">
      <formula>NOT(ISERROR(SEARCH("Bajo",G288)))</formula>
    </cfRule>
    <cfRule type="containsText" dxfId="407" priority="698" operator="containsText" text="Medio">
      <formula>NOT(ISERROR(SEARCH("Medio",G288)))</formula>
    </cfRule>
    <cfRule type="containsText" dxfId="406" priority="699" operator="containsText" text="Alto">
      <formula>NOT(ISERROR(SEARCH("Alto",G288)))</formula>
    </cfRule>
  </conditionalFormatting>
  <conditionalFormatting sqref="N289">
    <cfRule type="containsText" dxfId="405" priority="692" operator="containsText" text="No se pudo ejecutar">
      <formula>NOT(ISERROR(SEARCH("No se pudo ejecutar",N289)))</formula>
    </cfRule>
    <cfRule type="containsText" dxfId="404" priority="693" operator="containsText" text="Pendiente">
      <formula>NOT(ISERROR(SEARCH("Pendiente",N289)))</formula>
    </cfRule>
    <cfRule type="containsText" dxfId="403" priority="694" operator="containsText" text="No Aplica">
      <formula>NOT(ISERROR(SEARCH("No Aplica",N289)))</formula>
    </cfRule>
    <cfRule type="containsText" dxfId="402" priority="695" operator="containsText" text="Fallido">
      <formula>NOT(ISERROR(SEARCH("Fallido",N289)))</formula>
    </cfRule>
    <cfRule type="containsText" dxfId="401" priority="696" operator="containsText" text="Éxitoso">
      <formula>NOT(ISERROR(SEARCH("Éxitoso",N289)))</formula>
    </cfRule>
  </conditionalFormatting>
  <conditionalFormatting sqref="O289">
    <cfRule type="containsText" dxfId="400" priority="687" operator="containsText" text="No se pudo ejecutar">
      <formula>NOT(ISERROR(SEARCH("No se pudo ejecutar",O289)))</formula>
    </cfRule>
    <cfRule type="containsText" dxfId="399" priority="688" operator="containsText" text="Pendiente">
      <formula>NOT(ISERROR(SEARCH("Pendiente",O289)))</formula>
    </cfRule>
    <cfRule type="containsText" dxfId="398" priority="689" operator="containsText" text="No Aplica">
      <formula>NOT(ISERROR(SEARCH("No Aplica",O289)))</formula>
    </cfRule>
    <cfRule type="containsText" dxfId="397" priority="690" operator="containsText" text="Fallido">
      <formula>NOT(ISERROR(SEARCH("Fallido",O289)))</formula>
    </cfRule>
    <cfRule type="containsText" dxfId="396" priority="691" operator="containsText" text="Éxitoso">
      <formula>NOT(ISERROR(SEARCH("Éxitoso",O289)))</formula>
    </cfRule>
  </conditionalFormatting>
  <conditionalFormatting sqref="P289">
    <cfRule type="containsText" dxfId="395" priority="682" operator="containsText" text="No se pudo ejecutar">
      <formula>NOT(ISERROR(SEARCH("No se pudo ejecutar",P289)))</formula>
    </cfRule>
    <cfRule type="containsText" dxfId="394" priority="683" operator="containsText" text="Pendiente">
      <formula>NOT(ISERROR(SEARCH("Pendiente",P289)))</formula>
    </cfRule>
    <cfRule type="containsText" dxfId="393" priority="684" operator="containsText" text="No Aplica">
      <formula>NOT(ISERROR(SEARCH("No Aplica",P289)))</formula>
    </cfRule>
    <cfRule type="containsText" dxfId="392" priority="685" operator="containsText" text="Fallido">
      <formula>NOT(ISERROR(SEARCH("Fallido",P289)))</formula>
    </cfRule>
    <cfRule type="containsText" dxfId="391" priority="686" operator="containsText" text="Éxitoso">
      <formula>NOT(ISERROR(SEARCH("Éxitoso",P289)))</formula>
    </cfRule>
  </conditionalFormatting>
  <conditionalFormatting sqref="Q289">
    <cfRule type="containsText" dxfId="390" priority="677" operator="containsText" text="No se pudo ejecutar">
      <formula>NOT(ISERROR(SEARCH("No se pudo ejecutar",Q289)))</formula>
    </cfRule>
    <cfRule type="containsText" dxfId="389" priority="678" operator="containsText" text="Pendiente">
      <formula>NOT(ISERROR(SEARCH("Pendiente",Q289)))</formula>
    </cfRule>
    <cfRule type="containsText" dxfId="388" priority="679" operator="containsText" text="No Aplica">
      <formula>NOT(ISERROR(SEARCH("No Aplica",Q289)))</formula>
    </cfRule>
    <cfRule type="containsText" dxfId="387" priority="680" operator="containsText" text="Fallido">
      <formula>NOT(ISERROR(SEARCH("Fallido",Q289)))</formula>
    </cfRule>
    <cfRule type="containsText" dxfId="386" priority="681" operator="containsText" text="Éxitoso">
      <formula>NOT(ISERROR(SEARCH("Éxitoso",Q289)))</formula>
    </cfRule>
  </conditionalFormatting>
  <conditionalFormatting sqref="R289">
    <cfRule type="containsText" dxfId="385" priority="672" operator="containsText" text="No se pudo ejecutar">
      <formula>NOT(ISERROR(SEARCH("No se pudo ejecutar",R289)))</formula>
    </cfRule>
    <cfRule type="containsText" dxfId="384" priority="673" operator="containsText" text="Pendiente">
      <formula>NOT(ISERROR(SEARCH("Pendiente",R289)))</formula>
    </cfRule>
    <cfRule type="containsText" dxfId="383" priority="674" operator="containsText" text="No Aplica">
      <formula>NOT(ISERROR(SEARCH("No Aplica",R289)))</formula>
    </cfRule>
    <cfRule type="containsText" dxfId="382" priority="675" operator="containsText" text="Fallido">
      <formula>NOT(ISERROR(SEARCH("Fallido",R289)))</formula>
    </cfRule>
    <cfRule type="containsText" dxfId="381" priority="676" operator="containsText" text="Éxitoso">
      <formula>NOT(ISERROR(SEARCH("Éxitoso",R289)))</formula>
    </cfRule>
  </conditionalFormatting>
  <conditionalFormatting sqref="S289">
    <cfRule type="containsText" dxfId="380" priority="667" operator="containsText" text="No se pudo ejecutar">
      <formula>NOT(ISERROR(SEARCH("No se pudo ejecutar",S289)))</formula>
    </cfRule>
    <cfRule type="containsText" dxfId="379" priority="668" operator="containsText" text="Pendiente">
      <formula>NOT(ISERROR(SEARCH("Pendiente",S289)))</formula>
    </cfRule>
    <cfRule type="containsText" dxfId="378" priority="669" operator="containsText" text="No Aplica">
      <formula>NOT(ISERROR(SEARCH("No Aplica",S289)))</formula>
    </cfRule>
    <cfRule type="containsText" dxfId="377" priority="670" operator="containsText" text="Fallido">
      <formula>NOT(ISERROR(SEARCH("Fallido",S289)))</formula>
    </cfRule>
    <cfRule type="containsText" dxfId="376" priority="671" operator="containsText" text="Éxitoso">
      <formula>NOT(ISERROR(SEARCH("Éxitoso",S289)))</formula>
    </cfRule>
  </conditionalFormatting>
  <conditionalFormatting sqref="T289">
    <cfRule type="containsText" dxfId="375" priority="662" operator="containsText" text="No se pudo ejecutar">
      <formula>NOT(ISERROR(SEARCH("No se pudo ejecutar",T289)))</formula>
    </cfRule>
    <cfRule type="containsText" dxfId="374" priority="663" operator="containsText" text="Pendiente">
      <formula>NOT(ISERROR(SEARCH("Pendiente",T289)))</formula>
    </cfRule>
    <cfRule type="containsText" dxfId="373" priority="664" operator="containsText" text="No Aplica">
      <formula>NOT(ISERROR(SEARCH("No Aplica",T289)))</formula>
    </cfRule>
    <cfRule type="containsText" dxfId="372" priority="665" operator="containsText" text="Fallido">
      <formula>NOT(ISERROR(SEARCH("Fallido",T289)))</formula>
    </cfRule>
    <cfRule type="containsText" dxfId="371" priority="666" operator="containsText" text="Éxitoso">
      <formula>NOT(ISERROR(SEARCH("Éxitoso",T289)))</formula>
    </cfRule>
  </conditionalFormatting>
  <conditionalFormatting sqref="U289">
    <cfRule type="containsText" dxfId="370" priority="657" operator="containsText" text="No se pudo ejecutar">
      <formula>NOT(ISERROR(SEARCH("No se pudo ejecutar",U289)))</formula>
    </cfRule>
    <cfRule type="containsText" dxfId="369" priority="658" operator="containsText" text="Pendiente">
      <formula>NOT(ISERROR(SEARCH("Pendiente",U289)))</formula>
    </cfRule>
    <cfRule type="containsText" dxfId="368" priority="659" operator="containsText" text="No Aplica">
      <formula>NOT(ISERROR(SEARCH("No Aplica",U289)))</formula>
    </cfRule>
    <cfRule type="containsText" dxfId="367" priority="660" operator="containsText" text="Fallido">
      <formula>NOT(ISERROR(SEARCH("Fallido",U289)))</formula>
    </cfRule>
    <cfRule type="containsText" dxfId="366" priority="661" operator="containsText" text="Éxitoso">
      <formula>NOT(ISERROR(SEARCH("Éxitoso",U289)))</formula>
    </cfRule>
  </conditionalFormatting>
  <conditionalFormatting sqref="V289">
    <cfRule type="containsText" dxfId="365" priority="652" operator="containsText" text="No se pudo ejecutar">
      <formula>NOT(ISERROR(SEARCH("No se pudo ejecutar",V289)))</formula>
    </cfRule>
    <cfRule type="containsText" dxfId="364" priority="653" operator="containsText" text="Pendiente">
      <formula>NOT(ISERROR(SEARCH("Pendiente",V289)))</formula>
    </cfRule>
    <cfRule type="containsText" dxfId="363" priority="654" operator="containsText" text="No Aplica">
      <formula>NOT(ISERROR(SEARCH("No Aplica",V289)))</formula>
    </cfRule>
    <cfRule type="containsText" dxfId="362" priority="655" operator="containsText" text="Fallido">
      <formula>NOT(ISERROR(SEARCH("Fallido",V289)))</formula>
    </cfRule>
    <cfRule type="containsText" dxfId="361" priority="656" operator="containsText" text="Éxitoso">
      <formula>NOT(ISERROR(SEARCH("Éxitoso",V289)))</formula>
    </cfRule>
  </conditionalFormatting>
  <conditionalFormatting sqref="W289">
    <cfRule type="containsText" dxfId="360" priority="647" operator="containsText" text="No se pudo ejecutar">
      <formula>NOT(ISERROR(SEARCH("No se pudo ejecutar",W289)))</formula>
    </cfRule>
    <cfRule type="containsText" dxfId="359" priority="648" operator="containsText" text="Pendiente">
      <formula>NOT(ISERROR(SEARCH("Pendiente",W289)))</formula>
    </cfRule>
    <cfRule type="containsText" dxfId="358" priority="649" operator="containsText" text="No Aplica">
      <formula>NOT(ISERROR(SEARCH("No Aplica",W289)))</formula>
    </cfRule>
    <cfRule type="containsText" dxfId="357" priority="650" operator="containsText" text="Fallido">
      <formula>NOT(ISERROR(SEARCH("Fallido",W289)))</formula>
    </cfRule>
    <cfRule type="containsText" dxfId="356" priority="651" operator="containsText" text="Éxitoso">
      <formula>NOT(ISERROR(SEARCH("Éxitoso",W289)))</formula>
    </cfRule>
  </conditionalFormatting>
  <conditionalFormatting sqref="M289">
    <cfRule type="containsText" dxfId="355" priority="642" operator="containsText" text="No se pudo ejecutar">
      <formula>NOT(ISERROR(SEARCH("No se pudo ejecutar",M289)))</formula>
    </cfRule>
    <cfRule type="containsText" dxfId="354" priority="643" operator="containsText" text="Pendiente">
      <formula>NOT(ISERROR(SEARCH("Pendiente",M289)))</formula>
    </cfRule>
    <cfRule type="containsText" dxfId="353" priority="644" operator="containsText" text="No Aplica">
      <formula>NOT(ISERROR(SEARCH("No Aplica",M289)))</formula>
    </cfRule>
    <cfRule type="containsText" dxfId="352" priority="645" operator="containsText" text="Fallido">
      <formula>NOT(ISERROR(SEARCH("Fallido",M289)))</formula>
    </cfRule>
    <cfRule type="containsText" dxfId="351" priority="646" operator="containsText" text="Éxitoso">
      <formula>NOT(ISERROR(SEARCH("Éxitoso",M289)))</formula>
    </cfRule>
  </conditionalFormatting>
  <conditionalFormatting sqref="G289">
    <cfRule type="containsText" dxfId="350" priority="639" operator="containsText" text="Bajo">
      <formula>NOT(ISERROR(SEARCH("Bajo",G289)))</formula>
    </cfRule>
    <cfRule type="containsText" dxfId="349" priority="640" operator="containsText" text="Medio">
      <formula>NOT(ISERROR(SEARCH("Medio",G289)))</formula>
    </cfRule>
    <cfRule type="containsText" dxfId="348" priority="641" operator="containsText" text="Alto">
      <formula>NOT(ISERROR(SEARCH("Alto",G289)))</formula>
    </cfRule>
  </conditionalFormatting>
  <conditionalFormatting sqref="N290">
    <cfRule type="containsText" dxfId="347" priority="634" operator="containsText" text="No se pudo ejecutar">
      <formula>NOT(ISERROR(SEARCH("No se pudo ejecutar",N290)))</formula>
    </cfRule>
    <cfRule type="containsText" dxfId="346" priority="635" operator="containsText" text="Pendiente">
      <formula>NOT(ISERROR(SEARCH("Pendiente",N290)))</formula>
    </cfRule>
    <cfRule type="containsText" dxfId="345" priority="636" operator="containsText" text="No Aplica">
      <formula>NOT(ISERROR(SEARCH("No Aplica",N290)))</formula>
    </cfRule>
    <cfRule type="containsText" dxfId="344" priority="637" operator="containsText" text="Fallido">
      <formula>NOT(ISERROR(SEARCH("Fallido",N290)))</formula>
    </cfRule>
    <cfRule type="containsText" dxfId="343" priority="638" operator="containsText" text="Éxitoso">
      <formula>NOT(ISERROR(SEARCH("Éxitoso",N290)))</formula>
    </cfRule>
  </conditionalFormatting>
  <conditionalFormatting sqref="O290">
    <cfRule type="containsText" dxfId="342" priority="629" operator="containsText" text="No se pudo ejecutar">
      <formula>NOT(ISERROR(SEARCH("No se pudo ejecutar",O290)))</formula>
    </cfRule>
    <cfRule type="containsText" dxfId="341" priority="630" operator="containsText" text="Pendiente">
      <formula>NOT(ISERROR(SEARCH("Pendiente",O290)))</formula>
    </cfRule>
    <cfRule type="containsText" dxfId="340" priority="631" operator="containsText" text="No Aplica">
      <formula>NOT(ISERROR(SEARCH("No Aplica",O290)))</formula>
    </cfRule>
    <cfRule type="containsText" dxfId="339" priority="632" operator="containsText" text="Fallido">
      <formula>NOT(ISERROR(SEARCH("Fallido",O290)))</formula>
    </cfRule>
    <cfRule type="containsText" dxfId="338" priority="633" operator="containsText" text="Éxitoso">
      <formula>NOT(ISERROR(SEARCH("Éxitoso",O290)))</formula>
    </cfRule>
  </conditionalFormatting>
  <conditionalFormatting sqref="P290">
    <cfRule type="containsText" dxfId="337" priority="624" operator="containsText" text="No se pudo ejecutar">
      <formula>NOT(ISERROR(SEARCH("No se pudo ejecutar",P290)))</formula>
    </cfRule>
    <cfRule type="containsText" dxfId="336" priority="625" operator="containsText" text="Pendiente">
      <formula>NOT(ISERROR(SEARCH("Pendiente",P290)))</formula>
    </cfRule>
    <cfRule type="containsText" dxfId="335" priority="626" operator="containsText" text="No Aplica">
      <formula>NOT(ISERROR(SEARCH("No Aplica",P290)))</formula>
    </cfRule>
    <cfRule type="containsText" dxfId="334" priority="627" operator="containsText" text="Fallido">
      <formula>NOT(ISERROR(SEARCH("Fallido",P290)))</formula>
    </cfRule>
    <cfRule type="containsText" dxfId="333" priority="628" operator="containsText" text="Éxitoso">
      <formula>NOT(ISERROR(SEARCH("Éxitoso",P290)))</formula>
    </cfRule>
  </conditionalFormatting>
  <conditionalFormatting sqref="Q290">
    <cfRule type="containsText" dxfId="332" priority="619" operator="containsText" text="No se pudo ejecutar">
      <formula>NOT(ISERROR(SEARCH("No se pudo ejecutar",Q290)))</formula>
    </cfRule>
    <cfRule type="containsText" dxfId="331" priority="620" operator="containsText" text="Pendiente">
      <formula>NOT(ISERROR(SEARCH("Pendiente",Q290)))</formula>
    </cfRule>
    <cfRule type="containsText" dxfId="330" priority="621" operator="containsText" text="No Aplica">
      <formula>NOT(ISERROR(SEARCH("No Aplica",Q290)))</formula>
    </cfRule>
    <cfRule type="containsText" dxfId="329" priority="622" operator="containsText" text="Fallido">
      <formula>NOT(ISERROR(SEARCH("Fallido",Q290)))</formula>
    </cfRule>
    <cfRule type="containsText" dxfId="328" priority="623" operator="containsText" text="Éxitoso">
      <formula>NOT(ISERROR(SEARCH("Éxitoso",Q290)))</formula>
    </cfRule>
  </conditionalFormatting>
  <conditionalFormatting sqref="R290">
    <cfRule type="containsText" dxfId="327" priority="614" operator="containsText" text="No se pudo ejecutar">
      <formula>NOT(ISERROR(SEARCH("No se pudo ejecutar",R290)))</formula>
    </cfRule>
    <cfRule type="containsText" dxfId="326" priority="615" operator="containsText" text="Pendiente">
      <formula>NOT(ISERROR(SEARCH("Pendiente",R290)))</formula>
    </cfRule>
    <cfRule type="containsText" dxfId="325" priority="616" operator="containsText" text="No Aplica">
      <formula>NOT(ISERROR(SEARCH("No Aplica",R290)))</formula>
    </cfRule>
    <cfRule type="containsText" dxfId="324" priority="617" operator="containsText" text="Fallido">
      <formula>NOT(ISERROR(SEARCH("Fallido",R290)))</formula>
    </cfRule>
    <cfRule type="containsText" dxfId="323" priority="618" operator="containsText" text="Éxitoso">
      <formula>NOT(ISERROR(SEARCH("Éxitoso",R290)))</formula>
    </cfRule>
  </conditionalFormatting>
  <conditionalFormatting sqref="S290">
    <cfRule type="containsText" dxfId="322" priority="609" operator="containsText" text="No se pudo ejecutar">
      <formula>NOT(ISERROR(SEARCH("No se pudo ejecutar",S290)))</formula>
    </cfRule>
    <cfRule type="containsText" dxfId="321" priority="610" operator="containsText" text="Pendiente">
      <formula>NOT(ISERROR(SEARCH("Pendiente",S290)))</formula>
    </cfRule>
    <cfRule type="containsText" dxfId="320" priority="611" operator="containsText" text="No Aplica">
      <formula>NOT(ISERROR(SEARCH("No Aplica",S290)))</formula>
    </cfRule>
    <cfRule type="containsText" dxfId="319" priority="612" operator="containsText" text="Fallido">
      <formula>NOT(ISERROR(SEARCH("Fallido",S290)))</formula>
    </cfRule>
    <cfRule type="containsText" dxfId="318" priority="613" operator="containsText" text="Éxitoso">
      <formula>NOT(ISERROR(SEARCH("Éxitoso",S290)))</formula>
    </cfRule>
  </conditionalFormatting>
  <conditionalFormatting sqref="T290">
    <cfRule type="containsText" dxfId="317" priority="604" operator="containsText" text="No se pudo ejecutar">
      <formula>NOT(ISERROR(SEARCH("No se pudo ejecutar",T290)))</formula>
    </cfRule>
    <cfRule type="containsText" dxfId="316" priority="605" operator="containsText" text="Pendiente">
      <formula>NOT(ISERROR(SEARCH("Pendiente",T290)))</formula>
    </cfRule>
    <cfRule type="containsText" dxfId="315" priority="606" operator="containsText" text="No Aplica">
      <formula>NOT(ISERROR(SEARCH("No Aplica",T290)))</formula>
    </cfRule>
    <cfRule type="containsText" dxfId="314" priority="607" operator="containsText" text="Fallido">
      <formula>NOT(ISERROR(SEARCH("Fallido",T290)))</formula>
    </cfRule>
    <cfRule type="containsText" dxfId="313" priority="608" operator="containsText" text="Éxitoso">
      <formula>NOT(ISERROR(SEARCH("Éxitoso",T290)))</formula>
    </cfRule>
  </conditionalFormatting>
  <conditionalFormatting sqref="U290">
    <cfRule type="containsText" dxfId="312" priority="599" operator="containsText" text="No se pudo ejecutar">
      <formula>NOT(ISERROR(SEARCH("No se pudo ejecutar",U290)))</formula>
    </cfRule>
    <cfRule type="containsText" dxfId="311" priority="600" operator="containsText" text="Pendiente">
      <formula>NOT(ISERROR(SEARCH("Pendiente",U290)))</formula>
    </cfRule>
    <cfRule type="containsText" dxfId="310" priority="601" operator="containsText" text="No Aplica">
      <formula>NOT(ISERROR(SEARCH("No Aplica",U290)))</formula>
    </cfRule>
    <cfRule type="containsText" dxfId="309" priority="602" operator="containsText" text="Fallido">
      <formula>NOT(ISERROR(SEARCH("Fallido",U290)))</formula>
    </cfRule>
    <cfRule type="containsText" dxfId="308" priority="603" operator="containsText" text="Éxitoso">
      <formula>NOT(ISERROR(SEARCH("Éxitoso",U290)))</formula>
    </cfRule>
  </conditionalFormatting>
  <conditionalFormatting sqref="V290">
    <cfRule type="containsText" dxfId="307" priority="594" operator="containsText" text="No se pudo ejecutar">
      <formula>NOT(ISERROR(SEARCH("No se pudo ejecutar",V290)))</formula>
    </cfRule>
    <cfRule type="containsText" dxfId="306" priority="595" operator="containsText" text="Pendiente">
      <formula>NOT(ISERROR(SEARCH("Pendiente",V290)))</formula>
    </cfRule>
    <cfRule type="containsText" dxfId="305" priority="596" operator="containsText" text="No Aplica">
      <formula>NOT(ISERROR(SEARCH("No Aplica",V290)))</formula>
    </cfRule>
    <cfRule type="containsText" dxfId="304" priority="597" operator="containsText" text="Fallido">
      <formula>NOT(ISERROR(SEARCH("Fallido",V290)))</formula>
    </cfRule>
    <cfRule type="containsText" dxfId="303" priority="598" operator="containsText" text="Éxitoso">
      <formula>NOT(ISERROR(SEARCH("Éxitoso",V290)))</formula>
    </cfRule>
  </conditionalFormatting>
  <conditionalFormatting sqref="W290">
    <cfRule type="containsText" dxfId="302" priority="589" operator="containsText" text="No se pudo ejecutar">
      <formula>NOT(ISERROR(SEARCH("No se pudo ejecutar",W290)))</formula>
    </cfRule>
    <cfRule type="containsText" dxfId="301" priority="590" operator="containsText" text="Pendiente">
      <formula>NOT(ISERROR(SEARCH("Pendiente",W290)))</formula>
    </cfRule>
    <cfRule type="containsText" dxfId="300" priority="591" operator="containsText" text="No Aplica">
      <formula>NOT(ISERROR(SEARCH("No Aplica",W290)))</formula>
    </cfRule>
    <cfRule type="containsText" dxfId="299" priority="592" operator="containsText" text="Fallido">
      <formula>NOT(ISERROR(SEARCH("Fallido",W290)))</formula>
    </cfRule>
    <cfRule type="containsText" dxfId="298" priority="593" operator="containsText" text="Éxitoso">
      <formula>NOT(ISERROR(SEARCH("Éxitoso",W290)))</formula>
    </cfRule>
  </conditionalFormatting>
  <conditionalFormatting sqref="M290">
    <cfRule type="containsText" dxfId="297" priority="584" operator="containsText" text="No se pudo ejecutar">
      <formula>NOT(ISERROR(SEARCH("No se pudo ejecutar",M290)))</formula>
    </cfRule>
    <cfRule type="containsText" dxfId="296" priority="585" operator="containsText" text="Pendiente">
      <formula>NOT(ISERROR(SEARCH("Pendiente",M290)))</formula>
    </cfRule>
    <cfRule type="containsText" dxfId="295" priority="586" operator="containsText" text="No Aplica">
      <formula>NOT(ISERROR(SEARCH("No Aplica",M290)))</formula>
    </cfRule>
    <cfRule type="containsText" dxfId="294" priority="587" operator="containsText" text="Fallido">
      <formula>NOT(ISERROR(SEARCH("Fallido",M290)))</formula>
    </cfRule>
    <cfRule type="containsText" dxfId="293" priority="588" operator="containsText" text="Éxitoso">
      <formula>NOT(ISERROR(SEARCH("Éxitoso",M290)))</formula>
    </cfRule>
  </conditionalFormatting>
  <conditionalFormatting sqref="G290">
    <cfRule type="containsText" dxfId="292" priority="581" operator="containsText" text="Bajo">
      <formula>NOT(ISERROR(SEARCH("Bajo",G290)))</formula>
    </cfRule>
    <cfRule type="containsText" dxfId="291" priority="582" operator="containsText" text="Medio">
      <formula>NOT(ISERROR(SEARCH("Medio",G290)))</formula>
    </cfRule>
    <cfRule type="containsText" dxfId="290" priority="583" operator="containsText" text="Alto">
      <formula>NOT(ISERROR(SEARCH("Alto",G290)))</formula>
    </cfRule>
  </conditionalFormatting>
  <conditionalFormatting sqref="N291">
    <cfRule type="containsText" dxfId="289" priority="576" operator="containsText" text="No se pudo ejecutar">
      <formula>NOT(ISERROR(SEARCH("No se pudo ejecutar",N291)))</formula>
    </cfRule>
    <cfRule type="containsText" dxfId="288" priority="577" operator="containsText" text="Pendiente">
      <formula>NOT(ISERROR(SEARCH("Pendiente",N291)))</formula>
    </cfRule>
    <cfRule type="containsText" dxfId="287" priority="578" operator="containsText" text="No Aplica">
      <formula>NOT(ISERROR(SEARCH("No Aplica",N291)))</formula>
    </cfRule>
    <cfRule type="containsText" dxfId="286" priority="579" operator="containsText" text="Fallido">
      <formula>NOT(ISERROR(SEARCH("Fallido",N291)))</formula>
    </cfRule>
    <cfRule type="containsText" dxfId="285" priority="580" operator="containsText" text="Éxitoso">
      <formula>NOT(ISERROR(SEARCH("Éxitoso",N291)))</formula>
    </cfRule>
  </conditionalFormatting>
  <conditionalFormatting sqref="O291">
    <cfRule type="containsText" dxfId="284" priority="571" operator="containsText" text="No se pudo ejecutar">
      <formula>NOT(ISERROR(SEARCH("No se pudo ejecutar",O291)))</formula>
    </cfRule>
    <cfRule type="containsText" dxfId="283" priority="572" operator="containsText" text="Pendiente">
      <formula>NOT(ISERROR(SEARCH("Pendiente",O291)))</formula>
    </cfRule>
    <cfRule type="containsText" dxfId="282" priority="573" operator="containsText" text="No Aplica">
      <formula>NOT(ISERROR(SEARCH("No Aplica",O291)))</formula>
    </cfRule>
    <cfRule type="containsText" dxfId="281" priority="574" operator="containsText" text="Fallido">
      <formula>NOT(ISERROR(SEARCH("Fallido",O291)))</formula>
    </cfRule>
    <cfRule type="containsText" dxfId="280" priority="575" operator="containsText" text="Éxitoso">
      <formula>NOT(ISERROR(SEARCH("Éxitoso",O291)))</formula>
    </cfRule>
  </conditionalFormatting>
  <conditionalFormatting sqref="P291">
    <cfRule type="containsText" dxfId="279" priority="566" operator="containsText" text="No se pudo ejecutar">
      <formula>NOT(ISERROR(SEARCH("No se pudo ejecutar",P291)))</formula>
    </cfRule>
    <cfRule type="containsText" dxfId="278" priority="567" operator="containsText" text="Pendiente">
      <formula>NOT(ISERROR(SEARCH("Pendiente",P291)))</formula>
    </cfRule>
    <cfRule type="containsText" dxfId="277" priority="568" operator="containsText" text="No Aplica">
      <formula>NOT(ISERROR(SEARCH("No Aplica",P291)))</formula>
    </cfRule>
    <cfRule type="containsText" dxfId="276" priority="569" operator="containsText" text="Fallido">
      <formula>NOT(ISERROR(SEARCH("Fallido",P291)))</formula>
    </cfRule>
    <cfRule type="containsText" dxfId="275" priority="570" operator="containsText" text="Éxitoso">
      <formula>NOT(ISERROR(SEARCH("Éxitoso",P291)))</formula>
    </cfRule>
  </conditionalFormatting>
  <conditionalFormatting sqref="Q291">
    <cfRule type="containsText" dxfId="274" priority="561" operator="containsText" text="No se pudo ejecutar">
      <formula>NOT(ISERROR(SEARCH("No se pudo ejecutar",Q291)))</formula>
    </cfRule>
    <cfRule type="containsText" dxfId="273" priority="562" operator="containsText" text="Pendiente">
      <formula>NOT(ISERROR(SEARCH("Pendiente",Q291)))</formula>
    </cfRule>
    <cfRule type="containsText" dxfId="272" priority="563" operator="containsText" text="No Aplica">
      <formula>NOT(ISERROR(SEARCH("No Aplica",Q291)))</formula>
    </cfRule>
    <cfRule type="containsText" dxfId="271" priority="564" operator="containsText" text="Fallido">
      <formula>NOT(ISERROR(SEARCH("Fallido",Q291)))</formula>
    </cfRule>
    <cfRule type="containsText" dxfId="270" priority="565" operator="containsText" text="Éxitoso">
      <formula>NOT(ISERROR(SEARCH("Éxitoso",Q291)))</formula>
    </cfRule>
  </conditionalFormatting>
  <conditionalFormatting sqref="R291">
    <cfRule type="containsText" dxfId="269" priority="556" operator="containsText" text="No se pudo ejecutar">
      <formula>NOT(ISERROR(SEARCH("No se pudo ejecutar",R291)))</formula>
    </cfRule>
    <cfRule type="containsText" dxfId="268" priority="557" operator="containsText" text="Pendiente">
      <formula>NOT(ISERROR(SEARCH("Pendiente",R291)))</formula>
    </cfRule>
    <cfRule type="containsText" dxfId="267" priority="558" operator="containsText" text="No Aplica">
      <formula>NOT(ISERROR(SEARCH("No Aplica",R291)))</formula>
    </cfRule>
    <cfRule type="containsText" dxfId="266" priority="559" operator="containsText" text="Fallido">
      <formula>NOT(ISERROR(SEARCH("Fallido",R291)))</formula>
    </cfRule>
    <cfRule type="containsText" dxfId="265" priority="560" operator="containsText" text="Éxitoso">
      <formula>NOT(ISERROR(SEARCH("Éxitoso",R291)))</formula>
    </cfRule>
  </conditionalFormatting>
  <conditionalFormatting sqref="S291">
    <cfRule type="containsText" dxfId="264" priority="551" operator="containsText" text="No se pudo ejecutar">
      <formula>NOT(ISERROR(SEARCH("No se pudo ejecutar",S291)))</formula>
    </cfRule>
    <cfRule type="containsText" dxfId="263" priority="552" operator="containsText" text="Pendiente">
      <formula>NOT(ISERROR(SEARCH("Pendiente",S291)))</formula>
    </cfRule>
    <cfRule type="containsText" dxfId="262" priority="553" operator="containsText" text="No Aplica">
      <formula>NOT(ISERROR(SEARCH("No Aplica",S291)))</formula>
    </cfRule>
    <cfRule type="containsText" dxfId="261" priority="554" operator="containsText" text="Fallido">
      <formula>NOT(ISERROR(SEARCH("Fallido",S291)))</formula>
    </cfRule>
    <cfRule type="containsText" dxfId="260" priority="555" operator="containsText" text="Éxitoso">
      <formula>NOT(ISERROR(SEARCH("Éxitoso",S291)))</formula>
    </cfRule>
  </conditionalFormatting>
  <conditionalFormatting sqref="T291">
    <cfRule type="containsText" dxfId="259" priority="546" operator="containsText" text="No se pudo ejecutar">
      <formula>NOT(ISERROR(SEARCH("No se pudo ejecutar",T291)))</formula>
    </cfRule>
    <cfRule type="containsText" dxfId="258" priority="547" operator="containsText" text="Pendiente">
      <formula>NOT(ISERROR(SEARCH("Pendiente",T291)))</formula>
    </cfRule>
    <cfRule type="containsText" dxfId="257" priority="548" operator="containsText" text="No Aplica">
      <formula>NOT(ISERROR(SEARCH("No Aplica",T291)))</formula>
    </cfRule>
    <cfRule type="containsText" dxfId="256" priority="549" operator="containsText" text="Fallido">
      <formula>NOT(ISERROR(SEARCH("Fallido",T291)))</formula>
    </cfRule>
    <cfRule type="containsText" dxfId="255" priority="550" operator="containsText" text="Éxitoso">
      <formula>NOT(ISERROR(SEARCH("Éxitoso",T291)))</formula>
    </cfRule>
  </conditionalFormatting>
  <conditionalFormatting sqref="U291">
    <cfRule type="containsText" dxfId="254" priority="541" operator="containsText" text="No se pudo ejecutar">
      <formula>NOT(ISERROR(SEARCH("No se pudo ejecutar",U291)))</formula>
    </cfRule>
    <cfRule type="containsText" dxfId="253" priority="542" operator="containsText" text="Pendiente">
      <formula>NOT(ISERROR(SEARCH("Pendiente",U291)))</formula>
    </cfRule>
    <cfRule type="containsText" dxfId="252" priority="543" operator="containsText" text="No Aplica">
      <formula>NOT(ISERROR(SEARCH("No Aplica",U291)))</formula>
    </cfRule>
    <cfRule type="containsText" dxfId="251" priority="544" operator="containsText" text="Fallido">
      <formula>NOT(ISERROR(SEARCH("Fallido",U291)))</formula>
    </cfRule>
    <cfRule type="containsText" dxfId="250" priority="545" operator="containsText" text="Éxitoso">
      <formula>NOT(ISERROR(SEARCH("Éxitoso",U291)))</formula>
    </cfRule>
  </conditionalFormatting>
  <conditionalFormatting sqref="V291">
    <cfRule type="containsText" dxfId="249" priority="536" operator="containsText" text="No se pudo ejecutar">
      <formula>NOT(ISERROR(SEARCH("No se pudo ejecutar",V291)))</formula>
    </cfRule>
    <cfRule type="containsText" dxfId="248" priority="537" operator="containsText" text="Pendiente">
      <formula>NOT(ISERROR(SEARCH("Pendiente",V291)))</formula>
    </cfRule>
    <cfRule type="containsText" dxfId="247" priority="538" operator="containsText" text="No Aplica">
      <formula>NOT(ISERROR(SEARCH("No Aplica",V291)))</formula>
    </cfRule>
    <cfRule type="containsText" dxfId="246" priority="539" operator="containsText" text="Fallido">
      <formula>NOT(ISERROR(SEARCH("Fallido",V291)))</formula>
    </cfRule>
    <cfRule type="containsText" dxfId="245" priority="540" operator="containsText" text="Éxitoso">
      <formula>NOT(ISERROR(SEARCH("Éxitoso",V291)))</formula>
    </cfRule>
  </conditionalFormatting>
  <conditionalFormatting sqref="W291">
    <cfRule type="containsText" dxfId="244" priority="531" operator="containsText" text="No se pudo ejecutar">
      <formula>NOT(ISERROR(SEARCH("No se pudo ejecutar",W291)))</formula>
    </cfRule>
    <cfRule type="containsText" dxfId="243" priority="532" operator="containsText" text="Pendiente">
      <formula>NOT(ISERROR(SEARCH("Pendiente",W291)))</formula>
    </cfRule>
    <cfRule type="containsText" dxfId="242" priority="533" operator="containsText" text="No Aplica">
      <formula>NOT(ISERROR(SEARCH("No Aplica",W291)))</formula>
    </cfRule>
    <cfRule type="containsText" dxfId="241" priority="534" operator="containsText" text="Fallido">
      <formula>NOT(ISERROR(SEARCH("Fallido",W291)))</formula>
    </cfRule>
    <cfRule type="containsText" dxfId="240" priority="535" operator="containsText" text="Éxitoso">
      <formula>NOT(ISERROR(SEARCH("Éxitoso",W291)))</formula>
    </cfRule>
  </conditionalFormatting>
  <conditionalFormatting sqref="M291">
    <cfRule type="containsText" dxfId="239" priority="526" operator="containsText" text="No se pudo ejecutar">
      <formula>NOT(ISERROR(SEARCH("No se pudo ejecutar",M291)))</formula>
    </cfRule>
    <cfRule type="containsText" dxfId="238" priority="527" operator="containsText" text="Pendiente">
      <formula>NOT(ISERROR(SEARCH("Pendiente",M291)))</formula>
    </cfRule>
    <cfRule type="containsText" dxfId="237" priority="528" operator="containsText" text="No Aplica">
      <formula>NOT(ISERROR(SEARCH("No Aplica",M291)))</formula>
    </cfRule>
    <cfRule type="containsText" dxfId="236" priority="529" operator="containsText" text="Fallido">
      <formula>NOT(ISERROR(SEARCH("Fallido",M291)))</formula>
    </cfRule>
    <cfRule type="containsText" dxfId="235" priority="530" operator="containsText" text="Éxitoso">
      <formula>NOT(ISERROR(SEARCH("Éxitoso",M291)))</formula>
    </cfRule>
  </conditionalFormatting>
  <conditionalFormatting sqref="G291">
    <cfRule type="containsText" dxfId="234" priority="523" operator="containsText" text="Bajo">
      <formula>NOT(ISERROR(SEARCH("Bajo",G291)))</formula>
    </cfRule>
    <cfRule type="containsText" dxfId="233" priority="524" operator="containsText" text="Medio">
      <formula>NOT(ISERROR(SEARCH("Medio",G291)))</formula>
    </cfRule>
    <cfRule type="containsText" dxfId="232" priority="525" operator="containsText" text="Alto">
      <formula>NOT(ISERROR(SEARCH("Alto",G291)))</formula>
    </cfRule>
  </conditionalFormatting>
  <conditionalFormatting sqref="N296">
    <cfRule type="containsText" dxfId="231" priority="286" operator="containsText" text="No se pudo ejecutar">
      <formula>NOT(ISERROR(SEARCH("No se pudo ejecutar",N296)))</formula>
    </cfRule>
    <cfRule type="containsText" dxfId="230" priority="287" operator="containsText" text="Pendiente">
      <formula>NOT(ISERROR(SEARCH("Pendiente",N296)))</formula>
    </cfRule>
    <cfRule type="containsText" dxfId="229" priority="288" operator="containsText" text="No Aplica">
      <formula>NOT(ISERROR(SEARCH("No Aplica",N296)))</formula>
    </cfRule>
    <cfRule type="containsText" dxfId="228" priority="289" operator="containsText" text="Fallido">
      <formula>NOT(ISERROR(SEARCH("Fallido",N296)))</formula>
    </cfRule>
    <cfRule type="containsText" dxfId="227" priority="290" operator="containsText" text="Éxitoso">
      <formula>NOT(ISERROR(SEARCH("Éxitoso",N296)))</formula>
    </cfRule>
  </conditionalFormatting>
  <conditionalFormatting sqref="O296">
    <cfRule type="containsText" dxfId="226" priority="281" operator="containsText" text="No se pudo ejecutar">
      <formula>NOT(ISERROR(SEARCH("No se pudo ejecutar",O296)))</formula>
    </cfRule>
    <cfRule type="containsText" dxfId="225" priority="282" operator="containsText" text="Pendiente">
      <formula>NOT(ISERROR(SEARCH("Pendiente",O296)))</formula>
    </cfRule>
    <cfRule type="containsText" dxfId="224" priority="283" operator="containsText" text="No Aplica">
      <formula>NOT(ISERROR(SEARCH("No Aplica",O296)))</formula>
    </cfRule>
    <cfRule type="containsText" dxfId="223" priority="284" operator="containsText" text="Fallido">
      <formula>NOT(ISERROR(SEARCH("Fallido",O296)))</formula>
    </cfRule>
    <cfRule type="containsText" dxfId="222" priority="285" operator="containsText" text="Éxitoso">
      <formula>NOT(ISERROR(SEARCH("Éxitoso",O296)))</formula>
    </cfRule>
  </conditionalFormatting>
  <conditionalFormatting sqref="P296">
    <cfRule type="containsText" dxfId="221" priority="276" operator="containsText" text="No se pudo ejecutar">
      <formula>NOT(ISERROR(SEARCH("No se pudo ejecutar",P296)))</formula>
    </cfRule>
    <cfRule type="containsText" dxfId="220" priority="277" operator="containsText" text="Pendiente">
      <formula>NOT(ISERROR(SEARCH("Pendiente",P296)))</formula>
    </cfRule>
    <cfRule type="containsText" dxfId="219" priority="278" operator="containsText" text="No Aplica">
      <formula>NOT(ISERROR(SEARCH("No Aplica",P296)))</formula>
    </cfRule>
    <cfRule type="containsText" dxfId="218" priority="279" operator="containsText" text="Fallido">
      <formula>NOT(ISERROR(SEARCH("Fallido",P296)))</formula>
    </cfRule>
    <cfRule type="containsText" dxfId="217" priority="280" operator="containsText" text="Éxitoso">
      <formula>NOT(ISERROR(SEARCH("Éxitoso",P296)))</formula>
    </cfRule>
  </conditionalFormatting>
  <conditionalFormatting sqref="Q296">
    <cfRule type="containsText" dxfId="216" priority="271" operator="containsText" text="No se pudo ejecutar">
      <formula>NOT(ISERROR(SEARCH("No se pudo ejecutar",Q296)))</formula>
    </cfRule>
    <cfRule type="containsText" dxfId="215" priority="272" operator="containsText" text="Pendiente">
      <formula>NOT(ISERROR(SEARCH("Pendiente",Q296)))</formula>
    </cfRule>
    <cfRule type="containsText" dxfId="214" priority="273" operator="containsText" text="No Aplica">
      <formula>NOT(ISERROR(SEARCH("No Aplica",Q296)))</formula>
    </cfRule>
    <cfRule type="containsText" dxfId="213" priority="274" operator="containsText" text="Fallido">
      <formula>NOT(ISERROR(SEARCH("Fallido",Q296)))</formula>
    </cfRule>
    <cfRule type="containsText" dxfId="212" priority="275" operator="containsText" text="Éxitoso">
      <formula>NOT(ISERROR(SEARCH("Éxitoso",Q296)))</formula>
    </cfRule>
  </conditionalFormatting>
  <conditionalFormatting sqref="R296">
    <cfRule type="containsText" dxfId="211" priority="266" operator="containsText" text="No se pudo ejecutar">
      <formula>NOT(ISERROR(SEARCH("No se pudo ejecutar",R296)))</formula>
    </cfRule>
    <cfRule type="containsText" dxfId="210" priority="267" operator="containsText" text="Pendiente">
      <formula>NOT(ISERROR(SEARCH("Pendiente",R296)))</formula>
    </cfRule>
    <cfRule type="containsText" dxfId="209" priority="268" operator="containsText" text="No Aplica">
      <formula>NOT(ISERROR(SEARCH("No Aplica",R296)))</formula>
    </cfRule>
    <cfRule type="containsText" dxfId="208" priority="269" operator="containsText" text="Fallido">
      <formula>NOT(ISERROR(SEARCH("Fallido",R296)))</formula>
    </cfRule>
    <cfRule type="containsText" dxfId="207" priority="270" operator="containsText" text="Éxitoso">
      <formula>NOT(ISERROR(SEARCH("Éxitoso",R296)))</formula>
    </cfRule>
  </conditionalFormatting>
  <conditionalFormatting sqref="S296">
    <cfRule type="containsText" dxfId="206" priority="261" operator="containsText" text="No se pudo ejecutar">
      <formula>NOT(ISERROR(SEARCH("No se pudo ejecutar",S296)))</formula>
    </cfRule>
    <cfRule type="containsText" dxfId="205" priority="262" operator="containsText" text="Pendiente">
      <formula>NOT(ISERROR(SEARCH("Pendiente",S296)))</formula>
    </cfRule>
    <cfRule type="containsText" dxfId="204" priority="263" operator="containsText" text="No Aplica">
      <formula>NOT(ISERROR(SEARCH("No Aplica",S296)))</formula>
    </cfRule>
    <cfRule type="containsText" dxfId="203" priority="264" operator="containsText" text="Fallido">
      <formula>NOT(ISERROR(SEARCH("Fallido",S296)))</formula>
    </cfRule>
    <cfRule type="containsText" dxfId="202" priority="265" operator="containsText" text="Éxitoso">
      <formula>NOT(ISERROR(SEARCH("Éxitoso",S296)))</formula>
    </cfRule>
  </conditionalFormatting>
  <conditionalFormatting sqref="T296">
    <cfRule type="containsText" dxfId="201" priority="256" operator="containsText" text="No se pudo ejecutar">
      <formula>NOT(ISERROR(SEARCH("No se pudo ejecutar",T296)))</formula>
    </cfRule>
    <cfRule type="containsText" dxfId="200" priority="257" operator="containsText" text="Pendiente">
      <formula>NOT(ISERROR(SEARCH("Pendiente",T296)))</formula>
    </cfRule>
    <cfRule type="containsText" dxfId="199" priority="258" operator="containsText" text="No Aplica">
      <formula>NOT(ISERROR(SEARCH("No Aplica",T296)))</formula>
    </cfRule>
    <cfRule type="containsText" dxfId="198" priority="259" operator="containsText" text="Fallido">
      <formula>NOT(ISERROR(SEARCH("Fallido",T296)))</formula>
    </cfRule>
    <cfRule type="containsText" dxfId="197" priority="260" operator="containsText" text="Éxitoso">
      <formula>NOT(ISERROR(SEARCH("Éxitoso",T296)))</formula>
    </cfRule>
  </conditionalFormatting>
  <conditionalFormatting sqref="U296">
    <cfRule type="containsText" dxfId="196" priority="251" operator="containsText" text="No se pudo ejecutar">
      <formula>NOT(ISERROR(SEARCH("No se pudo ejecutar",U296)))</formula>
    </cfRule>
    <cfRule type="containsText" dxfId="195" priority="252" operator="containsText" text="Pendiente">
      <formula>NOT(ISERROR(SEARCH("Pendiente",U296)))</formula>
    </cfRule>
    <cfRule type="containsText" dxfId="194" priority="253" operator="containsText" text="No Aplica">
      <formula>NOT(ISERROR(SEARCH("No Aplica",U296)))</formula>
    </cfRule>
    <cfRule type="containsText" dxfId="193" priority="254" operator="containsText" text="Fallido">
      <formula>NOT(ISERROR(SEARCH("Fallido",U296)))</formula>
    </cfRule>
    <cfRule type="containsText" dxfId="192" priority="255" operator="containsText" text="Éxitoso">
      <formula>NOT(ISERROR(SEARCH("Éxitoso",U296)))</formula>
    </cfRule>
  </conditionalFormatting>
  <conditionalFormatting sqref="V296">
    <cfRule type="containsText" dxfId="191" priority="246" operator="containsText" text="No se pudo ejecutar">
      <formula>NOT(ISERROR(SEARCH("No se pudo ejecutar",V296)))</formula>
    </cfRule>
    <cfRule type="containsText" dxfId="190" priority="247" operator="containsText" text="Pendiente">
      <formula>NOT(ISERROR(SEARCH("Pendiente",V296)))</formula>
    </cfRule>
    <cfRule type="containsText" dxfId="189" priority="248" operator="containsText" text="No Aplica">
      <formula>NOT(ISERROR(SEARCH("No Aplica",V296)))</formula>
    </cfRule>
    <cfRule type="containsText" dxfId="188" priority="249" operator="containsText" text="Fallido">
      <formula>NOT(ISERROR(SEARCH("Fallido",V296)))</formula>
    </cfRule>
    <cfRule type="containsText" dxfId="187" priority="250" operator="containsText" text="Éxitoso">
      <formula>NOT(ISERROR(SEARCH("Éxitoso",V296)))</formula>
    </cfRule>
  </conditionalFormatting>
  <conditionalFormatting sqref="W296">
    <cfRule type="containsText" dxfId="186" priority="241" operator="containsText" text="No se pudo ejecutar">
      <formula>NOT(ISERROR(SEARCH("No se pudo ejecutar",W296)))</formula>
    </cfRule>
    <cfRule type="containsText" dxfId="185" priority="242" operator="containsText" text="Pendiente">
      <formula>NOT(ISERROR(SEARCH("Pendiente",W296)))</formula>
    </cfRule>
    <cfRule type="containsText" dxfId="184" priority="243" operator="containsText" text="No Aplica">
      <formula>NOT(ISERROR(SEARCH("No Aplica",W296)))</formula>
    </cfRule>
    <cfRule type="containsText" dxfId="183" priority="244" operator="containsText" text="Fallido">
      <formula>NOT(ISERROR(SEARCH("Fallido",W296)))</formula>
    </cfRule>
    <cfRule type="containsText" dxfId="182" priority="245" operator="containsText" text="Éxitoso">
      <formula>NOT(ISERROR(SEARCH("Éxitoso",W296)))</formula>
    </cfRule>
  </conditionalFormatting>
  <conditionalFormatting sqref="M296">
    <cfRule type="containsText" dxfId="181" priority="236" operator="containsText" text="No se pudo ejecutar">
      <formula>NOT(ISERROR(SEARCH("No se pudo ejecutar",M296)))</formula>
    </cfRule>
    <cfRule type="containsText" dxfId="180" priority="237" operator="containsText" text="Pendiente">
      <formula>NOT(ISERROR(SEARCH("Pendiente",M296)))</formula>
    </cfRule>
    <cfRule type="containsText" dxfId="179" priority="238" operator="containsText" text="No Aplica">
      <formula>NOT(ISERROR(SEARCH("No Aplica",M296)))</formula>
    </cfRule>
    <cfRule type="containsText" dxfId="178" priority="239" operator="containsText" text="Fallido">
      <formula>NOT(ISERROR(SEARCH("Fallido",M296)))</formula>
    </cfRule>
    <cfRule type="containsText" dxfId="177" priority="240" operator="containsText" text="Éxitoso">
      <formula>NOT(ISERROR(SEARCH("Éxitoso",M296)))</formula>
    </cfRule>
  </conditionalFormatting>
  <conditionalFormatting sqref="G296">
    <cfRule type="containsText" dxfId="176" priority="233" operator="containsText" text="Bajo">
      <formula>NOT(ISERROR(SEARCH("Bajo",G296)))</formula>
    </cfRule>
    <cfRule type="containsText" dxfId="175" priority="234" operator="containsText" text="Medio">
      <formula>NOT(ISERROR(SEARCH("Medio",G296)))</formula>
    </cfRule>
    <cfRule type="containsText" dxfId="174" priority="235" operator="containsText" text="Alto">
      <formula>NOT(ISERROR(SEARCH("Alto",G296)))</formula>
    </cfRule>
  </conditionalFormatting>
  <conditionalFormatting sqref="N297">
    <cfRule type="containsText" dxfId="173" priority="228" operator="containsText" text="No se pudo ejecutar">
      <formula>NOT(ISERROR(SEARCH("No se pudo ejecutar",N297)))</formula>
    </cfRule>
    <cfRule type="containsText" dxfId="172" priority="229" operator="containsText" text="Pendiente">
      <formula>NOT(ISERROR(SEARCH("Pendiente",N297)))</formula>
    </cfRule>
    <cfRule type="containsText" dxfId="171" priority="230" operator="containsText" text="No Aplica">
      <formula>NOT(ISERROR(SEARCH("No Aplica",N297)))</formula>
    </cfRule>
    <cfRule type="containsText" dxfId="170" priority="231" operator="containsText" text="Fallido">
      <formula>NOT(ISERROR(SEARCH("Fallido",N297)))</formula>
    </cfRule>
    <cfRule type="containsText" dxfId="169" priority="232" operator="containsText" text="Éxitoso">
      <formula>NOT(ISERROR(SEARCH("Éxitoso",N297)))</formula>
    </cfRule>
  </conditionalFormatting>
  <conditionalFormatting sqref="O297">
    <cfRule type="containsText" dxfId="168" priority="223" operator="containsText" text="No se pudo ejecutar">
      <formula>NOT(ISERROR(SEARCH("No se pudo ejecutar",O297)))</formula>
    </cfRule>
    <cfRule type="containsText" dxfId="167" priority="224" operator="containsText" text="Pendiente">
      <formula>NOT(ISERROR(SEARCH("Pendiente",O297)))</formula>
    </cfRule>
    <cfRule type="containsText" dxfId="166" priority="225" operator="containsText" text="No Aplica">
      <formula>NOT(ISERROR(SEARCH("No Aplica",O297)))</formula>
    </cfRule>
    <cfRule type="containsText" dxfId="165" priority="226" operator="containsText" text="Fallido">
      <formula>NOT(ISERROR(SEARCH("Fallido",O297)))</formula>
    </cfRule>
    <cfRule type="containsText" dxfId="164" priority="227" operator="containsText" text="Éxitoso">
      <formula>NOT(ISERROR(SEARCH("Éxitoso",O297)))</formula>
    </cfRule>
  </conditionalFormatting>
  <conditionalFormatting sqref="P297">
    <cfRule type="containsText" dxfId="163" priority="218" operator="containsText" text="No se pudo ejecutar">
      <formula>NOT(ISERROR(SEARCH("No se pudo ejecutar",P297)))</formula>
    </cfRule>
    <cfRule type="containsText" dxfId="162" priority="219" operator="containsText" text="Pendiente">
      <formula>NOT(ISERROR(SEARCH("Pendiente",P297)))</formula>
    </cfRule>
    <cfRule type="containsText" dxfId="161" priority="220" operator="containsText" text="No Aplica">
      <formula>NOT(ISERROR(SEARCH("No Aplica",P297)))</formula>
    </cfRule>
    <cfRule type="containsText" dxfId="160" priority="221" operator="containsText" text="Fallido">
      <formula>NOT(ISERROR(SEARCH("Fallido",P297)))</formula>
    </cfRule>
    <cfRule type="containsText" dxfId="159" priority="222" operator="containsText" text="Éxitoso">
      <formula>NOT(ISERROR(SEARCH("Éxitoso",P297)))</formula>
    </cfRule>
  </conditionalFormatting>
  <conditionalFormatting sqref="Q297">
    <cfRule type="containsText" dxfId="158" priority="213" operator="containsText" text="No se pudo ejecutar">
      <formula>NOT(ISERROR(SEARCH("No se pudo ejecutar",Q297)))</formula>
    </cfRule>
    <cfRule type="containsText" dxfId="157" priority="214" operator="containsText" text="Pendiente">
      <formula>NOT(ISERROR(SEARCH("Pendiente",Q297)))</formula>
    </cfRule>
    <cfRule type="containsText" dxfId="156" priority="215" operator="containsText" text="No Aplica">
      <formula>NOT(ISERROR(SEARCH("No Aplica",Q297)))</formula>
    </cfRule>
    <cfRule type="containsText" dxfId="155" priority="216" operator="containsText" text="Fallido">
      <formula>NOT(ISERROR(SEARCH("Fallido",Q297)))</formula>
    </cfRule>
    <cfRule type="containsText" dxfId="154" priority="217" operator="containsText" text="Éxitoso">
      <formula>NOT(ISERROR(SEARCH("Éxitoso",Q297)))</formula>
    </cfRule>
  </conditionalFormatting>
  <conditionalFormatting sqref="R297">
    <cfRule type="containsText" dxfId="153" priority="208" operator="containsText" text="No se pudo ejecutar">
      <formula>NOT(ISERROR(SEARCH("No se pudo ejecutar",R297)))</formula>
    </cfRule>
    <cfRule type="containsText" dxfId="152" priority="209" operator="containsText" text="Pendiente">
      <formula>NOT(ISERROR(SEARCH("Pendiente",R297)))</formula>
    </cfRule>
    <cfRule type="containsText" dxfId="151" priority="210" operator="containsText" text="No Aplica">
      <formula>NOT(ISERROR(SEARCH("No Aplica",R297)))</formula>
    </cfRule>
    <cfRule type="containsText" dxfId="150" priority="211" operator="containsText" text="Fallido">
      <formula>NOT(ISERROR(SEARCH("Fallido",R297)))</formula>
    </cfRule>
    <cfRule type="containsText" dxfId="149" priority="212" operator="containsText" text="Éxitoso">
      <formula>NOT(ISERROR(SEARCH("Éxitoso",R297)))</formula>
    </cfRule>
  </conditionalFormatting>
  <conditionalFormatting sqref="S297">
    <cfRule type="containsText" dxfId="148" priority="203" operator="containsText" text="No se pudo ejecutar">
      <formula>NOT(ISERROR(SEARCH("No se pudo ejecutar",S297)))</formula>
    </cfRule>
    <cfRule type="containsText" dxfId="147" priority="204" operator="containsText" text="Pendiente">
      <formula>NOT(ISERROR(SEARCH("Pendiente",S297)))</formula>
    </cfRule>
    <cfRule type="containsText" dxfId="146" priority="205" operator="containsText" text="No Aplica">
      <formula>NOT(ISERROR(SEARCH("No Aplica",S297)))</formula>
    </cfRule>
    <cfRule type="containsText" dxfId="145" priority="206" operator="containsText" text="Fallido">
      <formula>NOT(ISERROR(SEARCH("Fallido",S297)))</formula>
    </cfRule>
    <cfRule type="containsText" dxfId="144" priority="207" operator="containsText" text="Éxitoso">
      <formula>NOT(ISERROR(SEARCH("Éxitoso",S297)))</formula>
    </cfRule>
  </conditionalFormatting>
  <conditionalFormatting sqref="T297">
    <cfRule type="containsText" dxfId="143" priority="198" operator="containsText" text="No se pudo ejecutar">
      <formula>NOT(ISERROR(SEARCH("No se pudo ejecutar",T297)))</formula>
    </cfRule>
    <cfRule type="containsText" dxfId="142" priority="199" operator="containsText" text="Pendiente">
      <formula>NOT(ISERROR(SEARCH("Pendiente",T297)))</formula>
    </cfRule>
    <cfRule type="containsText" dxfId="141" priority="200" operator="containsText" text="No Aplica">
      <formula>NOT(ISERROR(SEARCH("No Aplica",T297)))</formula>
    </cfRule>
    <cfRule type="containsText" dxfId="140" priority="201" operator="containsText" text="Fallido">
      <formula>NOT(ISERROR(SEARCH("Fallido",T297)))</formula>
    </cfRule>
    <cfRule type="containsText" dxfId="139" priority="202" operator="containsText" text="Éxitoso">
      <formula>NOT(ISERROR(SEARCH("Éxitoso",T297)))</formula>
    </cfRule>
  </conditionalFormatting>
  <conditionalFormatting sqref="U297">
    <cfRule type="containsText" dxfId="138" priority="193" operator="containsText" text="No se pudo ejecutar">
      <formula>NOT(ISERROR(SEARCH("No se pudo ejecutar",U297)))</formula>
    </cfRule>
    <cfRule type="containsText" dxfId="137" priority="194" operator="containsText" text="Pendiente">
      <formula>NOT(ISERROR(SEARCH("Pendiente",U297)))</formula>
    </cfRule>
    <cfRule type="containsText" dxfId="136" priority="195" operator="containsText" text="No Aplica">
      <formula>NOT(ISERROR(SEARCH("No Aplica",U297)))</formula>
    </cfRule>
    <cfRule type="containsText" dxfId="135" priority="196" operator="containsText" text="Fallido">
      <formula>NOT(ISERROR(SEARCH("Fallido",U297)))</formula>
    </cfRule>
    <cfRule type="containsText" dxfId="134" priority="197" operator="containsText" text="Éxitoso">
      <formula>NOT(ISERROR(SEARCH("Éxitoso",U297)))</formula>
    </cfRule>
  </conditionalFormatting>
  <conditionalFormatting sqref="V297">
    <cfRule type="containsText" dxfId="133" priority="188" operator="containsText" text="No se pudo ejecutar">
      <formula>NOT(ISERROR(SEARCH("No se pudo ejecutar",V297)))</formula>
    </cfRule>
    <cfRule type="containsText" dxfId="132" priority="189" operator="containsText" text="Pendiente">
      <formula>NOT(ISERROR(SEARCH("Pendiente",V297)))</formula>
    </cfRule>
    <cfRule type="containsText" dxfId="131" priority="190" operator="containsText" text="No Aplica">
      <formula>NOT(ISERROR(SEARCH("No Aplica",V297)))</formula>
    </cfRule>
    <cfRule type="containsText" dxfId="130" priority="191" operator="containsText" text="Fallido">
      <formula>NOT(ISERROR(SEARCH("Fallido",V297)))</formula>
    </cfRule>
    <cfRule type="containsText" dxfId="129" priority="192" operator="containsText" text="Éxitoso">
      <formula>NOT(ISERROR(SEARCH("Éxitoso",V297)))</formula>
    </cfRule>
  </conditionalFormatting>
  <conditionalFormatting sqref="W297">
    <cfRule type="containsText" dxfId="128" priority="183" operator="containsText" text="No se pudo ejecutar">
      <formula>NOT(ISERROR(SEARCH("No se pudo ejecutar",W297)))</formula>
    </cfRule>
    <cfRule type="containsText" dxfId="127" priority="184" operator="containsText" text="Pendiente">
      <formula>NOT(ISERROR(SEARCH("Pendiente",W297)))</formula>
    </cfRule>
    <cfRule type="containsText" dxfId="126" priority="185" operator="containsText" text="No Aplica">
      <formula>NOT(ISERROR(SEARCH("No Aplica",W297)))</formula>
    </cfRule>
    <cfRule type="containsText" dxfId="125" priority="186" operator="containsText" text="Fallido">
      <formula>NOT(ISERROR(SEARCH("Fallido",W297)))</formula>
    </cfRule>
    <cfRule type="containsText" dxfId="124" priority="187" operator="containsText" text="Éxitoso">
      <formula>NOT(ISERROR(SEARCH("Éxitoso",W297)))</formula>
    </cfRule>
  </conditionalFormatting>
  <conditionalFormatting sqref="M297">
    <cfRule type="containsText" dxfId="123" priority="178" operator="containsText" text="No se pudo ejecutar">
      <formula>NOT(ISERROR(SEARCH("No se pudo ejecutar",M297)))</formula>
    </cfRule>
    <cfRule type="containsText" dxfId="122" priority="179" operator="containsText" text="Pendiente">
      <formula>NOT(ISERROR(SEARCH("Pendiente",M297)))</formula>
    </cfRule>
    <cfRule type="containsText" dxfId="121" priority="180" operator="containsText" text="No Aplica">
      <formula>NOT(ISERROR(SEARCH("No Aplica",M297)))</formula>
    </cfRule>
    <cfRule type="containsText" dxfId="120" priority="181" operator="containsText" text="Fallido">
      <formula>NOT(ISERROR(SEARCH("Fallido",M297)))</formula>
    </cfRule>
    <cfRule type="containsText" dxfId="119" priority="182" operator="containsText" text="Éxitoso">
      <formula>NOT(ISERROR(SEARCH("Éxitoso",M297)))</formula>
    </cfRule>
  </conditionalFormatting>
  <conditionalFormatting sqref="G297">
    <cfRule type="containsText" dxfId="118" priority="175" operator="containsText" text="Bajo">
      <formula>NOT(ISERROR(SEARCH("Bajo",G297)))</formula>
    </cfRule>
    <cfRule type="containsText" dxfId="117" priority="176" operator="containsText" text="Medio">
      <formula>NOT(ISERROR(SEARCH("Medio",G297)))</formula>
    </cfRule>
    <cfRule type="containsText" dxfId="116" priority="177" operator="containsText" text="Alto">
      <formula>NOT(ISERROR(SEARCH("Alto",G297)))</formula>
    </cfRule>
  </conditionalFormatting>
  <conditionalFormatting sqref="N298">
    <cfRule type="containsText" dxfId="115" priority="170" operator="containsText" text="No se pudo ejecutar">
      <formula>NOT(ISERROR(SEARCH("No se pudo ejecutar",N298)))</formula>
    </cfRule>
    <cfRule type="containsText" dxfId="114" priority="171" operator="containsText" text="Pendiente">
      <formula>NOT(ISERROR(SEARCH("Pendiente",N298)))</formula>
    </cfRule>
    <cfRule type="containsText" dxfId="113" priority="172" operator="containsText" text="No Aplica">
      <formula>NOT(ISERROR(SEARCH("No Aplica",N298)))</formula>
    </cfRule>
    <cfRule type="containsText" dxfId="112" priority="173" operator="containsText" text="Fallido">
      <formula>NOT(ISERROR(SEARCH("Fallido",N298)))</formula>
    </cfRule>
    <cfRule type="containsText" dxfId="111" priority="174" operator="containsText" text="Éxitoso">
      <formula>NOT(ISERROR(SEARCH("Éxitoso",N298)))</formula>
    </cfRule>
  </conditionalFormatting>
  <conditionalFormatting sqref="O298">
    <cfRule type="containsText" dxfId="110" priority="165" operator="containsText" text="No se pudo ejecutar">
      <formula>NOT(ISERROR(SEARCH("No se pudo ejecutar",O298)))</formula>
    </cfRule>
    <cfRule type="containsText" dxfId="109" priority="166" operator="containsText" text="Pendiente">
      <formula>NOT(ISERROR(SEARCH("Pendiente",O298)))</formula>
    </cfRule>
    <cfRule type="containsText" dxfId="108" priority="167" operator="containsText" text="No Aplica">
      <formula>NOT(ISERROR(SEARCH("No Aplica",O298)))</formula>
    </cfRule>
    <cfRule type="containsText" dxfId="107" priority="168" operator="containsText" text="Fallido">
      <formula>NOT(ISERROR(SEARCH("Fallido",O298)))</formula>
    </cfRule>
    <cfRule type="containsText" dxfId="106" priority="169" operator="containsText" text="Éxitoso">
      <formula>NOT(ISERROR(SEARCH("Éxitoso",O298)))</formula>
    </cfRule>
  </conditionalFormatting>
  <conditionalFormatting sqref="P298">
    <cfRule type="containsText" dxfId="105" priority="160" operator="containsText" text="No se pudo ejecutar">
      <formula>NOT(ISERROR(SEARCH("No se pudo ejecutar",P298)))</formula>
    </cfRule>
    <cfRule type="containsText" dxfId="104" priority="161" operator="containsText" text="Pendiente">
      <formula>NOT(ISERROR(SEARCH("Pendiente",P298)))</formula>
    </cfRule>
    <cfRule type="containsText" dxfId="103" priority="162" operator="containsText" text="No Aplica">
      <formula>NOT(ISERROR(SEARCH("No Aplica",P298)))</formula>
    </cfRule>
    <cfRule type="containsText" dxfId="102" priority="163" operator="containsText" text="Fallido">
      <formula>NOT(ISERROR(SEARCH("Fallido",P298)))</formula>
    </cfRule>
    <cfRule type="containsText" dxfId="101" priority="164" operator="containsText" text="Éxitoso">
      <formula>NOT(ISERROR(SEARCH("Éxitoso",P298)))</formula>
    </cfRule>
  </conditionalFormatting>
  <conditionalFormatting sqref="Q298">
    <cfRule type="containsText" dxfId="100" priority="155" operator="containsText" text="No se pudo ejecutar">
      <formula>NOT(ISERROR(SEARCH("No se pudo ejecutar",Q298)))</formula>
    </cfRule>
    <cfRule type="containsText" dxfId="99" priority="156" operator="containsText" text="Pendiente">
      <formula>NOT(ISERROR(SEARCH("Pendiente",Q298)))</formula>
    </cfRule>
    <cfRule type="containsText" dxfId="98" priority="157" operator="containsText" text="No Aplica">
      <formula>NOT(ISERROR(SEARCH("No Aplica",Q298)))</formula>
    </cfRule>
    <cfRule type="containsText" dxfId="97" priority="158" operator="containsText" text="Fallido">
      <formula>NOT(ISERROR(SEARCH("Fallido",Q298)))</formula>
    </cfRule>
    <cfRule type="containsText" dxfId="96" priority="159" operator="containsText" text="Éxitoso">
      <formula>NOT(ISERROR(SEARCH("Éxitoso",Q298)))</formula>
    </cfRule>
  </conditionalFormatting>
  <conditionalFormatting sqref="R298">
    <cfRule type="containsText" dxfId="95" priority="150" operator="containsText" text="No se pudo ejecutar">
      <formula>NOT(ISERROR(SEARCH("No se pudo ejecutar",R298)))</formula>
    </cfRule>
    <cfRule type="containsText" dxfId="94" priority="151" operator="containsText" text="Pendiente">
      <formula>NOT(ISERROR(SEARCH("Pendiente",R298)))</formula>
    </cfRule>
    <cfRule type="containsText" dxfId="93" priority="152" operator="containsText" text="No Aplica">
      <formula>NOT(ISERROR(SEARCH("No Aplica",R298)))</formula>
    </cfRule>
    <cfRule type="containsText" dxfId="92" priority="153" operator="containsText" text="Fallido">
      <formula>NOT(ISERROR(SEARCH("Fallido",R298)))</formula>
    </cfRule>
    <cfRule type="containsText" dxfId="91" priority="154" operator="containsText" text="Éxitoso">
      <formula>NOT(ISERROR(SEARCH("Éxitoso",R298)))</formula>
    </cfRule>
  </conditionalFormatting>
  <conditionalFormatting sqref="S298">
    <cfRule type="containsText" dxfId="90" priority="145" operator="containsText" text="No se pudo ejecutar">
      <formula>NOT(ISERROR(SEARCH("No se pudo ejecutar",S298)))</formula>
    </cfRule>
    <cfRule type="containsText" dxfId="89" priority="146" operator="containsText" text="Pendiente">
      <formula>NOT(ISERROR(SEARCH("Pendiente",S298)))</formula>
    </cfRule>
    <cfRule type="containsText" dxfId="88" priority="147" operator="containsText" text="No Aplica">
      <formula>NOT(ISERROR(SEARCH("No Aplica",S298)))</formula>
    </cfRule>
    <cfRule type="containsText" dxfId="87" priority="148" operator="containsText" text="Fallido">
      <formula>NOT(ISERROR(SEARCH("Fallido",S298)))</formula>
    </cfRule>
    <cfRule type="containsText" dxfId="86" priority="149" operator="containsText" text="Éxitoso">
      <formula>NOT(ISERROR(SEARCH("Éxitoso",S298)))</formula>
    </cfRule>
  </conditionalFormatting>
  <conditionalFormatting sqref="T298">
    <cfRule type="containsText" dxfId="85" priority="140" operator="containsText" text="No se pudo ejecutar">
      <formula>NOT(ISERROR(SEARCH("No se pudo ejecutar",T298)))</formula>
    </cfRule>
    <cfRule type="containsText" dxfId="84" priority="141" operator="containsText" text="Pendiente">
      <formula>NOT(ISERROR(SEARCH("Pendiente",T298)))</formula>
    </cfRule>
    <cfRule type="containsText" dxfId="83" priority="142" operator="containsText" text="No Aplica">
      <formula>NOT(ISERROR(SEARCH("No Aplica",T298)))</formula>
    </cfRule>
    <cfRule type="containsText" dxfId="82" priority="143" operator="containsText" text="Fallido">
      <formula>NOT(ISERROR(SEARCH("Fallido",T298)))</formula>
    </cfRule>
    <cfRule type="containsText" dxfId="81" priority="144" operator="containsText" text="Éxitoso">
      <formula>NOT(ISERROR(SEARCH("Éxitoso",T298)))</formula>
    </cfRule>
  </conditionalFormatting>
  <conditionalFormatting sqref="U298">
    <cfRule type="containsText" dxfId="80" priority="135" operator="containsText" text="No se pudo ejecutar">
      <formula>NOT(ISERROR(SEARCH("No se pudo ejecutar",U298)))</formula>
    </cfRule>
    <cfRule type="containsText" dxfId="79" priority="136" operator="containsText" text="Pendiente">
      <formula>NOT(ISERROR(SEARCH("Pendiente",U298)))</formula>
    </cfRule>
    <cfRule type="containsText" dxfId="78" priority="137" operator="containsText" text="No Aplica">
      <formula>NOT(ISERROR(SEARCH("No Aplica",U298)))</formula>
    </cfRule>
    <cfRule type="containsText" dxfId="77" priority="138" operator="containsText" text="Fallido">
      <formula>NOT(ISERROR(SEARCH("Fallido",U298)))</formula>
    </cfRule>
    <cfRule type="containsText" dxfId="76" priority="139" operator="containsText" text="Éxitoso">
      <formula>NOT(ISERROR(SEARCH("Éxitoso",U298)))</formula>
    </cfRule>
  </conditionalFormatting>
  <conditionalFormatting sqref="V298">
    <cfRule type="containsText" dxfId="75" priority="130" operator="containsText" text="No se pudo ejecutar">
      <formula>NOT(ISERROR(SEARCH("No se pudo ejecutar",V298)))</formula>
    </cfRule>
    <cfRule type="containsText" dxfId="74" priority="131" operator="containsText" text="Pendiente">
      <formula>NOT(ISERROR(SEARCH("Pendiente",V298)))</formula>
    </cfRule>
    <cfRule type="containsText" dxfId="73" priority="132" operator="containsText" text="No Aplica">
      <formula>NOT(ISERROR(SEARCH("No Aplica",V298)))</formula>
    </cfRule>
    <cfRule type="containsText" dxfId="72" priority="133" operator="containsText" text="Fallido">
      <formula>NOT(ISERROR(SEARCH("Fallido",V298)))</formula>
    </cfRule>
    <cfRule type="containsText" dxfId="71" priority="134" operator="containsText" text="Éxitoso">
      <formula>NOT(ISERROR(SEARCH("Éxitoso",V298)))</formula>
    </cfRule>
  </conditionalFormatting>
  <conditionalFormatting sqref="W298">
    <cfRule type="containsText" dxfId="70" priority="125" operator="containsText" text="No se pudo ejecutar">
      <formula>NOT(ISERROR(SEARCH("No se pudo ejecutar",W298)))</formula>
    </cfRule>
    <cfRule type="containsText" dxfId="69" priority="126" operator="containsText" text="Pendiente">
      <formula>NOT(ISERROR(SEARCH("Pendiente",W298)))</formula>
    </cfRule>
    <cfRule type="containsText" dxfId="68" priority="127" operator="containsText" text="No Aplica">
      <formula>NOT(ISERROR(SEARCH("No Aplica",W298)))</formula>
    </cfRule>
    <cfRule type="containsText" dxfId="67" priority="128" operator="containsText" text="Fallido">
      <formula>NOT(ISERROR(SEARCH("Fallido",W298)))</formula>
    </cfRule>
    <cfRule type="containsText" dxfId="66" priority="129" operator="containsText" text="Éxitoso">
      <formula>NOT(ISERROR(SEARCH("Éxitoso",W298)))</formula>
    </cfRule>
  </conditionalFormatting>
  <conditionalFormatting sqref="M298">
    <cfRule type="containsText" dxfId="65" priority="120" operator="containsText" text="No se pudo ejecutar">
      <formula>NOT(ISERROR(SEARCH("No se pudo ejecutar",M298)))</formula>
    </cfRule>
    <cfRule type="containsText" dxfId="64" priority="121" operator="containsText" text="Pendiente">
      <formula>NOT(ISERROR(SEARCH("Pendiente",M298)))</formula>
    </cfRule>
    <cfRule type="containsText" dxfId="63" priority="122" operator="containsText" text="No Aplica">
      <formula>NOT(ISERROR(SEARCH("No Aplica",M298)))</formula>
    </cfRule>
    <cfRule type="containsText" dxfId="62" priority="123" operator="containsText" text="Fallido">
      <formula>NOT(ISERROR(SEARCH("Fallido",M298)))</formula>
    </cfRule>
    <cfRule type="containsText" dxfId="61" priority="124" operator="containsText" text="Éxitoso">
      <formula>NOT(ISERROR(SEARCH("Éxitoso",M298)))</formula>
    </cfRule>
  </conditionalFormatting>
  <conditionalFormatting sqref="G298">
    <cfRule type="containsText" dxfId="60" priority="117" operator="containsText" text="Bajo">
      <formula>NOT(ISERROR(SEARCH("Bajo",G298)))</formula>
    </cfRule>
    <cfRule type="containsText" dxfId="59" priority="118" operator="containsText" text="Medio">
      <formula>NOT(ISERROR(SEARCH("Medio",G298)))</formula>
    </cfRule>
    <cfRule type="containsText" dxfId="58" priority="119" operator="containsText" text="Alto">
      <formula>NOT(ISERROR(SEARCH("Alto",G298)))</formula>
    </cfRule>
  </conditionalFormatting>
  <conditionalFormatting sqref="N299">
    <cfRule type="containsText" dxfId="57" priority="112" operator="containsText" text="No se pudo ejecutar">
      <formula>NOT(ISERROR(SEARCH("No se pudo ejecutar",N299)))</formula>
    </cfRule>
    <cfRule type="containsText" dxfId="56" priority="113" operator="containsText" text="Pendiente">
      <formula>NOT(ISERROR(SEARCH("Pendiente",N299)))</formula>
    </cfRule>
    <cfRule type="containsText" dxfId="55" priority="114" operator="containsText" text="No Aplica">
      <formula>NOT(ISERROR(SEARCH("No Aplica",N299)))</formula>
    </cfRule>
    <cfRule type="containsText" dxfId="54" priority="115" operator="containsText" text="Fallido">
      <formula>NOT(ISERROR(SEARCH("Fallido",N299)))</formula>
    </cfRule>
    <cfRule type="containsText" dxfId="53" priority="116" operator="containsText" text="Éxitoso">
      <formula>NOT(ISERROR(SEARCH("Éxitoso",N299)))</formula>
    </cfRule>
  </conditionalFormatting>
  <conditionalFormatting sqref="O299">
    <cfRule type="containsText" dxfId="52" priority="107" operator="containsText" text="No se pudo ejecutar">
      <formula>NOT(ISERROR(SEARCH("No se pudo ejecutar",O299)))</formula>
    </cfRule>
    <cfRule type="containsText" dxfId="51" priority="108" operator="containsText" text="Pendiente">
      <formula>NOT(ISERROR(SEARCH("Pendiente",O299)))</formula>
    </cfRule>
    <cfRule type="containsText" dxfId="50" priority="109" operator="containsText" text="No Aplica">
      <formula>NOT(ISERROR(SEARCH("No Aplica",O299)))</formula>
    </cfRule>
    <cfRule type="containsText" dxfId="49" priority="110" operator="containsText" text="Fallido">
      <formula>NOT(ISERROR(SEARCH("Fallido",O299)))</formula>
    </cfRule>
    <cfRule type="containsText" dxfId="48" priority="111" operator="containsText" text="Éxitoso">
      <formula>NOT(ISERROR(SEARCH("Éxitoso",O299)))</formula>
    </cfRule>
  </conditionalFormatting>
  <conditionalFormatting sqref="P299">
    <cfRule type="containsText" dxfId="47" priority="102" operator="containsText" text="No se pudo ejecutar">
      <formula>NOT(ISERROR(SEARCH("No se pudo ejecutar",P299)))</formula>
    </cfRule>
    <cfRule type="containsText" dxfId="46" priority="103" operator="containsText" text="Pendiente">
      <formula>NOT(ISERROR(SEARCH("Pendiente",P299)))</formula>
    </cfRule>
    <cfRule type="containsText" dxfId="45" priority="104" operator="containsText" text="No Aplica">
      <formula>NOT(ISERROR(SEARCH("No Aplica",P299)))</formula>
    </cfRule>
    <cfRule type="containsText" dxfId="44" priority="105" operator="containsText" text="Fallido">
      <formula>NOT(ISERROR(SEARCH("Fallido",P299)))</formula>
    </cfRule>
    <cfRule type="containsText" dxfId="43" priority="106" operator="containsText" text="Éxitoso">
      <formula>NOT(ISERROR(SEARCH("Éxitoso",P299)))</formula>
    </cfRule>
  </conditionalFormatting>
  <conditionalFormatting sqref="Q299">
    <cfRule type="containsText" dxfId="42" priority="97" operator="containsText" text="No se pudo ejecutar">
      <formula>NOT(ISERROR(SEARCH("No se pudo ejecutar",Q299)))</formula>
    </cfRule>
    <cfRule type="containsText" dxfId="41" priority="98" operator="containsText" text="Pendiente">
      <formula>NOT(ISERROR(SEARCH("Pendiente",Q299)))</formula>
    </cfRule>
    <cfRule type="containsText" dxfId="40" priority="99" operator="containsText" text="No Aplica">
      <formula>NOT(ISERROR(SEARCH("No Aplica",Q299)))</formula>
    </cfRule>
    <cfRule type="containsText" dxfId="39" priority="100" operator="containsText" text="Fallido">
      <formula>NOT(ISERROR(SEARCH("Fallido",Q299)))</formula>
    </cfRule>
    <cfRule type="containsText" dxfId="38" priority="101" operator="containsText" text="Éxitoso">
      <formula>NOT(ISERROR(SEARCH("Éxitoso",Q299)))</formula>
    </cfRule>
  </conditionalFormatting>
  <conditionalFormatting sqref="R299">
    <cfRule type="containsText" dxfId="37" priority="92" operator="containsText" text="No se pudo ejecutar">
      <formula>NOT(ISERROR(SEARCH("No se pudo ejecutar",R299)))</formula>
    </cfRule>
    <cfRule type="containsText" dxfId="36" priority="93" operator="containsText" text="Pendiente">
      <formula>NOT(ISERROR(SEARCH("Pendiente",R299)))</formula>
    </cfRule>
    <cfRule type="containsText" dxfId="35" priority="94" operator="containsText" text="No Aplica">
      <formula>NOT(ISERROR(SEARCH("No Aplica",R299)))</formula>
    </cfRule>
    <cfRule type="containsText" dxfId="34" priority="95" operator="containsText" text="Fallido">
      <formula>NOT(ISERROR(SEARCH("Fallido",R299)))</formula>
    </cfRule>
    <cfRule type="containsText" dxfId="33" priority="96" operator="containsText" text="Éxitoso">
      <formula>NOT(ISERROR(SEARCH("Éxitoso",R299)))</formula>
    </cfRule>
  </conditionalFormatting>
  <conditionalFormatting sqref="S299">
    <cfRule type="containsText" dxfId="32" priority="87" operator="containsText" text="No se pudo ejecutar">
      <formula>NOT(ISERROR(SEARCH("No se pudo ejecutar",S299)))</formula>
    </cfRule>
    <cfRule type="containsText" dxfId="31" priority="88" operator="containsText" text="Pendiente">
      <formula>NOT(ISERROR(SEARCH("Pendiente",S299)))</formula>
    </cfRule>
    <cfRule type="containsText" dxfId="30" priority="89" operator="containsText" text="No Aplica">
      <formula>NOT(ISERROR(SEARCH("No Aplica",S299)))</formula>
    </cfRule>
    <cfRule type="containsText" dxfId="29" priority="90" operator="containsText" text="Fallido">
      <formula>NOT(ISERROR(SEARCH("Fallido",S299)))</formula>
    </cfRule>
    <cfRule type="containsText" dxfId="28" priority="91" operator="containsText" text="Éxitoso">
      <formula>NOT(ISERROR(SEARCH("Éxitoso",S299)))</formula>
    </cfRule>
  </conditionalFormatting>
  <conditionalFormatting sqref="T299">
    <cfRule type="containsText" dxfId="27" priority="82" operator="containsText" text="No se pudo ejecutar">
      <formula>NOT(ISERROR(SEARCH("No se pudo ejecutar",T299)))</formula>
    </cfRule>
    <cfRule type="containsText" dxfId="26" priority="83" operator="containsText" text="Pendiente">
      <formula>NOT(ISERROR(SEARCH("Pendiente",T299)))</formula>
    </cfRule>
    <cfRule type="containsText" dxfId="25" priority="84" operator="containsText" text="No Aplica">
      <formula>NOT(ISERROR(SEARCH("No Aplica",T299)))</formula>
    </cfRule>
    <cfRule type="containsText" dxfId="24" priority="85" operator="containsText" text="Fallido">
      <formula>NOT(ISERROR(SEARCH("Fallido",T299)))</formula>
    </cfRule>
    <cfRule type="containsText" dxfId="23" priority="86" operator="containsText" text="Éxitoso">
      <formula>NOT(ISERROR(SEARCH("Éxitoso",T299)))</formula>
    </cfRule>
  </conditionalFormatting>
  <conditionalFormatting sqref="U299">
    <cfRule type="containsText" dxfId="22" priority="77" operator="containsText" text="No se pudo ejecutar">
      <formula>NOT(ISERROR(SEARCH("No se pudo ejecutar",U299)))</formula>
    </cfRule>
    <cfRule type="containsText" dxfId="21" priority="78" operator="containsText" text="Pendiente">
      <formula>NOT(ISERROR(SEARCH("Pendiente",U299)))</formula>
    </cfRule>
    <cfRule type="containsText" dxfId="20" priority="79" operator="containsText" text="No Aplica">
      <formula>NOT(ISERROR(SEARCH("No Aplica",U299)))</formula>
    </cfRule>
    <cfRule type="containsText" dxfId="19" priority="80" operator="containsText" text="Fallido">
      <formula>NOT(ISERROR(SEARCH("Fallido",U299)))</formula>
    </cfRule>
    <cfRule type="containsText" dxfId="18" priority="81" operator="containsText" text="Éxitoso">
      <formula>NOT(ISERROR(SEARCH("Éxitoso",U299)))</formula>
    </cfRule>
  </conditionalFormatting>
  <conditionalFormatting sqref="V299">
    <cfRule type="containsText" dxfId="17" priority="72" operator="containsText" text="No se pudo ejecutar">
      <formula>NOT(ISERROR(SEARCH("No se pudo ejecutar",V299)))</formula>
    </cfRule>
    <cfRule type="containsText" dxfId="16" priority="73" operator="containsText" text="Pendiente">
      <formula>NOT(ISERROR(SEARCH("Pendiente",V299)))</formula>
    </cfRule>
    <cfRule type="containsText" dxfId="15" priority="74" operator="containsText" text="No Aplica">
      <formula>NOT(ISERROR(SEARCH("No Aplica",V299)))</formula>
    </cfRule>
    <cfRule type="containsText" dxfId="14" priority="75" operator="containsText" text="Fallido">
      <formula>NOT(ISERROR(SEARCH("Fallido",V299)))</formula>
    </cfRule>
    <cfRule type="containsText" dxfId="13" priority="76" operator="containsText" text="Éxitoso">
      <formula>NOT(ISERROR(SEARCH("Éxitoso",V299)))</formula>
    </cfRule>
  </conditionalFormatting>
  <conditionalFormatting sqref="W299">
    <cfRule type="containsText" dxfId="12" priority="67" operator="containsText" text="No se pudo ejecutar">
      <formula>NOT(ISERROR(SEARCH("No se pudo ejecutar",W299)))</formula>
    </cfRule>
    <cfRule type="containsText" dxfId="11" priority="68" operator="containsText" text="Pendiente">
      <formula>NOT(ISERROR(SEARCH("Pendiente",W299)))</formula>
    </cfRule>
    <cfRule type="containsText" dxfId="10" priority="69" operator="containsText" text="No Aplica">
      <formula>NOT(ISERROR(SEARCH("No Aplica",W299)))</formula>
    </cfRule>
    <cfRule type="containsText" dxfId="9" priority="70" operator="containsText" text="Fallido">
      <formula>NOT(ISERROR(SEARCH("Fallido",W299)))</formula>
    </cfRule>
    <cfRule type="containsText" dxfId="8" priority="71" operator="containsText" text="Éxitoso">
      <formula>NOT(ISERROR(SEARCH("Éxitoso",W299)))</formula>
    </cfRule>
  </conditionalFormatting>
  <conditionalFormatting sqref="M299">
    <cfRule type="containsText" dxfId="7" priority="62" operator="containsText" text="No se pudo ejecutar">
      <formula>NOT(ISERROR(SEARCH("No se pudo ejecutar",M299)))</formula>
    </cfRule>
    <cfRule type="containsText" dxfId="6" priority="63" operator="containsText" text="Pendiente">
      <formula>NOT(ISERROR(SEARCH("Pendiente",M299)))</formula>
    </cfRule>
    <cfRule type="containsText" dxfId="5" priority="64" operator="containsText" text="No Aplica">
      <formula>NOT(ISERROR(SEARCH("No Aplica",M299)))</formula>
    </cfRule>
    <cfRule type="containsText" dxfId="4" priority="65" operator="containsText" text="Fallido">
      <formula>NOT(ISERROR(SEARCH("Fallido",M299)))</formula>
    </cfRule>
    <cfRule type="containsText" dxfId="3" priority="66" operator="containsText" text="Éxitoso">
      <formula>NOT(ISERROR(SEARCH("Éxitoso",M299)))</formula>
    </cfRule>
  </conditionalFormatting>
  <conditionalFormatting sqref="G299">
    <cfRule type="containsText" dxfId="2" priority="59" operator="containsText" text="Bajo">
      <formula>NOT(ISERROR(SEARCH("Bajo",G299)))</formula>
    </cfRule>
    <cfRule type="containsText" dxfId="1" priority="60" operator="containsText" text="Medio">
      <formula>NOT(ISERROR(SEARCH("Medio",G299)))</formula>
    </cfRule>
    <cfRule type="containsText" dxfId="0" priority="61" operator="containsText" text="Alto">
      <formula>NOT(ISERROR(SEARCH("Alto",G299)))</formula>
    </cfRule>
  </conditionalFormatting>
  <pageMargins left="0.7" right="0.7" top="0.75" bottom="0.75" header="0.3" footer="0.3"/>
  <pageSetup paperSize="9" orientation="portrait" horizontalDpi="4294967295" verticalDpi="4294967295"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DFB7984E-567C-4C78-9FE7-3CAB608E6D97}">
          <x14:formula1>
            <xm:f>Datos!$B$2:$B$29</xm:f>
          </x14:formula1>
          <xm:sqref>B21:B300</xm:sqref>
        </x14:dataValidation>
        <x14:dataValidation type="list" allowBlank="1" showInputMessage="1" showErrorMessage="1" xr:uid="{EFB3FA43-F12F-467E-82C6-4BDC74D3B2F2}">
          <x14:formula1>
            <xm:f>Datos!$C$2:$C$4</xm:f>
          </x14:formula1>
          <xm:sqref>G21:G300</xm:sqref>
        </x14:dataValidation>
        <x14:dataValidation type="list" allowBlank="1" showInputMessage="1" showErrorMessage="1" xr:uid="{2F253FD8-FD22-49DC-A6F7-2E25AD3FEAD6}">
          <x14:formula1>
            <xm:f>Datos!$D$2:$D$6</xm:f>
          </x14:formula1>
          <xm:sqref>M21:W300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DCB6E-BDDD-4297-A797-38DD426F2300}">
  <sheetPr codeName="Hoja4"/>
  <dimension ref="B1:T212"/>
  <sheetViews>
    <sheetView showZeros="0" topLeftCell="A13" workbookViewId="0">
      <selection activeCell="G19" sqref="G19"/>
    </sheetView>
  </sheetViews>
  <sheetFormatPr baseColWidth="10" defaultRowHeight="15" x14ac:dyDescent="0.25"/>
  <cols>
    <col min="2" max="2" width="16.7109375" customWidth="1"/>
    <col min="3" max="3" width="17.5703125" customWidth="1"/>
    <col min="4" max="4" width="25.140625" customWidth="1"/>
    <col min="5" max="5" width="24.85546875" customWidth="1"/>
    <col min="6" max="6" width="15.140625" customWidth="1"/>
    <col min="7" max="7" width="14.5703125" customWidth="1"/>
    <col min="9" max="9" width="58.28515625" customWidth="1"/>
    <col min="10" max="10" width="20.42578125" customWidth="1"/>
    <col min="11" max="11" width="16.85546875" customWidth="1"/>
    <col min="12" max="12" width="20.140625" customWidth="1"/>
    <col min="13" max="13" width="18" customWidth="1"/>
    <col min="14" max="14" width="22.85546875" customWidth="1"/>
    <col min="15" max="15" width="21.42578125" customWidth="1"/>
    <col min="16" max="16" width="16.28515625" customWidth="1"/>
    <col min="17" max="17" width="18.42578125" customWidth="1"/>
    <col min="19" max="19" width="44.7109375" customWidth="1"/>
    <col min="20" max="20" width="19" customWidth="1"/>
  </cols>
  <sheetData>
    <row r="1" spans="2:20" ht="35.1" customHeight="1" x14ac:dyDescent="0.25"/>
    <row r="2" spans="2:20" x14ac:dyDescent="0.25">
      <c r="B2" s="102"/>
      <c r="C2" s="103"/>
      <c r="D2" s="104"/>
      <c r="E2" s="98" t="s">
        <v>0</v>
      </c>
      <c r="F2" s="98"/>
      <c r="G2" s="98"/>
      <c r="H2" s="98"/>
      <c r="I2" s="98"/>
      <c r="J2" s="98"/>
      <c r="K2" s="98"/>
      <c r="L2" s="99"/>
      <c r="M2" s="120" t="s">
        <v>1</v>
      </c>
      <c r="N2" s="121"/>
    </row>
    <row r="3" spans="2:20" x14ac:dyDescent="0.25">
      <c r="B3" s="105"/>
      <c r="C3" s="106"/>
      <c r="D3" s="107"/>
      <c r="E3" s="100"/>
      <c r="F3" s="100"/>
      <c r="G3" s="100"/>
      <c r="H3" s="100"/>
      <c r="I3" s="100"/>
      <c r="J3" s="100"/>
      <c r="K3" s="100"/>
      <c r="L3" s="101"/>
      <c r="M3" s="122"/>
      <c r="N3" s="123"/>
    </row>
    <row r="4" spans="2:20" x14ac:dyDescent="0.25">
      <c r="B4" s="105"/>
      <c r="C4" s="106"/>
      <c r="D4" s="107"/>
      <c r="E4" s="111" t="s">
        <v>170</v>
      </c>
      <c r="F4" s="112"/>
      <c r="G4" s="112"/>
      <c r="H4" s="112"/>
      <c r="I4" s="112"/>
      <c r="J4" s="112"/>
      <c r="K4" s="112"/>
      <c r="L4" s="113"/>
      <c r="M4" s="122"/>
      <c r="N4" s="123"/>
    </row>
    <row r="5" spans="2:20" x14ac:dyDescent="0.25">
      <c r="B5" s="105"/>
      <c r="C5" s="106"/>
      <c r="D5" s="107"/>
      <c r="E5" s="114"/>
      <c r="F5" s="115"/>
      <c r="G5" s="115"/>
      <c r="H5" s="115"/>
      <c r="I5" s="115"/>
      <c r="J5" s="115"/>
      <c r="K5" s="115"/>
      <c r="L5" s="116"/>
      <c r="M5" s="122"/>
      <c r="N5" s="123"/>
    </row>
    <row r="6" spans="2:20" x14ac:dyDescent="0.25">
      <c r="B6" s="105"/>
      <c r="C6" s="106"/>
      <c r="D6" s="107"/>
      <c r="E6" s="114"/>
      <c r="F6" s="115"/>
      <c r="G6" s="115"/>
      <c r="H6" s="115"/>
      <c r="I6" s="115"/>
      <c r="J6" s="115"/>
      <c r="K6" s="115"/>
      <c r="L6" s="116"/>
      <c r="M6" s="122"/>
      <c r="N6" s="123"/>
    </row>
    <row r="7" spans="2:20" x14ac:dyDescent="0.25">
      <c r="B7" s="108"/>
      <c r="C7" s="109"/>
      <c r="D7" s="110"/>
      <c r="E7" s="117"/>
      <c r="F7" s="118"/>
      <c r="G7" s="118"/>
      <c r="H7" s="118"/>
      <c r="I7" s="118"/>
      <c r="J7" s="118"/>
      <c r="K7" s="118"/>
      <c r="L7" s="119"/>
      <c r="M7" s="124"/>
      <c r="N7" s="125"/>
    </row>
    <row r="10" spans="2:20" x14ac:dyDescent="0.25">
      <c r="B10" s="209" t="s">
        <v>180</v>
      </c>
      <c r="C10" s="210"/>
      <c r="E10" s="207" t="s">
        <v>182</v>
      </c>
      <c r="F10" s="207"/>
      <c r="J10" s="207" t="s">
        <v>184</v>
      </c>
      <c r="K10" s="207"/>
      <c r="M10" s="207" t="s">
        <v>183</v>
      </c>
      <c r="N10" s="207"/>
      <c r="P10" s="207" t="s">
        <v>186</v>
      </c>
      <c r="Q10" s="207"/>
      <c r="S10" s="207" t="s">
        <v>187</v>
      </c>
      <c r="T10" s="207"/>
    </row>
    <row r="11" spans="2:20" x14ac:dyDescent="0.25">
      <c r="B11" s="67" t="s">
        <v>84</v>
      </c>
      <c r="C11" s="64" t="s">
        <v>167</v>
      </c>
      <c r="D11" s="65"/>
      <c r="E11" s="67" t="s">
        <v>87</v>
      </c>
      <c r="F11" s="67" t="s">
        <v>167</v>
      </c>
      <c r="J11" s="67" t="s">
        <v>185</v>
      </c>
      <c r="K11" s="67" t="s">
        <v>167</v>
      </c>
      <c r="M11" s="67" t="s">
        <v>178</v>
      </c>
      <c r="N11" s="67" t="s">
        <v>167</v>
      </c>
      <c r="P11" s="67" t="s">
        <v>176</v>
      </c>
      <c r="Q11" s="67" t="s">
        <v>167</v>
      </c>
      <c r="S11" s="67" t="s">
        <v>81</v>
      </c>
      <c r="T11" s="67" t="s">
        <v>167</v>
      </c>
    </row>
    <row r="12" spans="2:20" x14ac:dyDescent="0.25">
      <c r="B12" s="67" t="s">
        <v>99</v>
      </c>
      <c r="C12" s="68">
        <f>COUNTIF(J23:J1048576,"Abierto")</f>
        <v>5</v>
      </c>
      <c r="D12" s="65"/>
      <c r="E12" s="67" t="s">
        <v>96</v>
      </c>
      <c r="F12" s="67">
        <f>COUNTIF(F23:F1048576,"Stopper")</f>
        <v>0</v>
      </c>
      <c r="J12" s="67" t="s">
        <v>97</v>
      </c>
      <c r="K12" s="67">
        <f>COUNTIF(G23:G1048576,"Error")</f>
        <v>0</v>
      </c>
      <c r="M12" s="67" t="s">
        <v>101</v>
      </c>
      <c r="N12" s="67">
        <f>COUNTIF(M23:M1048576,"No Aplica")</f>
        <v>5</v>
      </c>
      <c r="P12" s="67" t="s">
        <v>100</v>
      </c>
      <c r="Q12" s="67">
        <f>COUNTIF(K23:K1048576,"Ambiente")</f>
        <v>0</v>
      </c>
      <c r="S12" s="67" t="s">
        <v>188</v>
      </c>
      <c r="T12" s="67">
        <f>COUNTA(C23:C1048576)</f>
        <v>5</v>
      </c>
    </row>
    <row r="13" spans="2:20" x14ac:dyDescent="0.25">
      <c r="B13" s="67" t="s">
        <v>108</v>
      </c>
      <c r="C13" s="67">
        <f>COUNTIF(J23:J1048576,"Asignado")</f>
        <v>0</v>
      </c>
      <c r="D13" s="65"/>
      <c r="E13" s="67" t="s">
        <v>95</v>
      </c>
      <c r="F13" s="67">
        <f>COUNTIF(F23:F1048576,"Alto")</f>
        <v>5</v>
      </c>
      <c r="J13" s="67" t="s">
        <v>106</v>
      </c>
      <c r="K13" s="67">
        <f>COUNTIF(G23:G1048576,"Consideración")</f>
        <v>0</v>
      </c>
      <c r="M13" s="67" t="s">
        <v>110</v>
      </c>
      <c r="N13" s="67">
        <f>COUNTIF(M23:M1048576,"Duplicado")</f>
        <v>0</v>
      </c>
      <c r="P13" s="67" t="s">
        <v>109</v>
      </c>
      <c r="Q13" s="67">
        <f>COUNTIF(K23:K1048576,"Datos")</f>
        <v>5</v>
      </c>
      <c r="S13" s="67" t="str">
        <f>CONCATENATE(COUNTIF(P23:P1048576,"&gt;=1"), " ", "Incidente(s) representan, esta candidad de días")</f>
        <v>0 Incidente(s) representan, esta candidad de días</v>
      </c>
      <c r="T13" s="67">
        <f>SUM(P23:P1048576)</f>
        <v>0</v>
      </c>
    </row>
    <row r="14" spans="2:20" x14ac:dyDescent="0.25">
      <c r="B14" s="65" t="s">
        <v>116</v>
      </c>
      <c r="C14" s="67">
        <f>COUNTIF(J23:J1048576,"Solucionado")</f>
        <v>0</v>
      </c>
      <c r="E14" s="67" t="s">
        <v>103</v>
      </c>
      <c r="F14" s="67">
        <f>COUNTIF(F23:F1048576,"Medio")</f>
        <v>0</v>
      </c>
      <c r="J14" s="67" t="s">
        <v>115</v>
      </c>
      <c r="K14" s="67">
        <f>COUNTIF(G23:G1048576,"Sugerencia")</f>
        <v>0</v>
      </c>
      <c r="M14" s="67" t="s">
        <v>118</v>
      </c>
      <c r="N14" s="67">
        <f>COUNTIF(M23:M1048576,"No se pudo reproducir")</f>
        <v>0</v>
      </c>
      <c r="P14" s="67" t="s">
        <v>125</v>
      </c>
      <c r="Q14" s="67">
        <f>COUNTIF(K23:K1048576,"Documentación")</f>
        <v>0</v>
      </c>
      <c r="S14" s="67" t="s">
        <v>192</v>
      </c>
      <c r="T14" s="67">
        <f>SUM(Q23:Q1048576)</f>
        <v>0</v>
      </c>
    </row>
    <row r="15" spans="2:20" x14ac:dyDescent="0.25">
      <c r="B15" s="67" t="s">
        <v>124</v>
      </c>
      <c r="C15" s="70">
        <f>COUNTIF(J23:J1048576,"Reabierto")</f>
        <v>0</v>
      </c>
      <c r="E15" s="67" t="s">
        <v>113</v>
      </c>
      <c r="F15" s="67">
        <f>COUNTIF(F23:F1048576,"Bajo")</f>
        <v>0</v>
      </c>
      <c r="J15" s="67" t="s">
        <v>123</v>
      </c>
      <c r="K15" s="67">
        <f>COUNTIF(G23:G1048576,"Cambio/Mejora")</f>
        <v>0</v>
      </c>
      <c r="M15" s="67" t="s">
        <v>126</v>
      </c>
      <c r="N15" s="67">
        <f>COUNTIF(M23:M1048576,"Verificado")</f>
        <v>0</v>
      </c>
      <c r="P15" s="67" t="s">
        <v>117</v>
      </c>
      <c r="Q15" s="67">
        <f>COUNTIF(K23:K1048576,"Funcionalidad")</f>
        <v>0</v>
      </c>
    </row>
    <row r="16" spans="2:20" x14ac:dyDescent="0.25">
      <c r="B16" s="65" t="s">
        <v>131</v>
      </c>
      <c r="C16" s="69">
        <f>COUNTIF(J23:J1048576,"Cerrado")</f>
        <v>0</v>
      </c>
      <c r="E16" s="67" t="s">
        <v>181</v>
      </c>
      <c r="F16" s="67">
        <f>SUM(F12:F15)</f>
        <v>5</v>
      </c>
      <c r="J16" s="67" t="s">
        <v>130</v>
      </c>
      <c r="K16" s="67">
        <f>COUNTIF(G23:G1048576,"Hallazgo")</f>
        <v>5</v>
      </c>
      <c r="M16" s="67" t="s">
        <v>133</v>
      </c>
      <c r="N16" s="67">
        <f>COUNTIF(M23:M1048576,"Proxima Versión")</f>
        <v>0</v>
      </c>
      <c r="P16" s="67" t="s">
        <v>132</v>
      </c>
      <c r="Q16" s="67">
        <f>COUNTIF(K23:K1048576,"Presentación")</f>
        <v>0</v>
      </c>
    </row>
    <row r="17" spans="2:17" x14ac:dyDescent="0.25">
      <c r="B17" s="67" t="s">
        <v>181</v>
      </c>
      <c r="C17" s="67">
        <f>SUM(C12:C16)</f>
        <v>5</v>
      </c>
      <c r="D17" s="65"/>
      <c r="J17" s="67" t="s">
        <v>181</v>
      </c>
      <c r="K17" s="67">
        <f>SUM(K12:K16)</f>
        <v>5</v>
      </c>
      <c r="M17" s="67" t="s">
        <v>181</v>
      </c>
      <c r="N17" s="67">
        <f>SUM(N12:N16)</f>
        <v>5</v>
      </c>
      <c r="P17" s="67" t="s">
        <v>119</v>
      </c>
      <c r="Q17" s="67">
        <f>COUNTIF(K23:K1048576,"Rendimiento")</f>
        <v>0</v>
      </c>
    </row>
    <row r="18" spans="2:17" x14ac:dyDescent="0.25">
      <c r="B18" s="66"/>
      <c r="P18" s="68" t="s">
        <v>136</v>
      </c>
      <c r="Q18" s="68">
        <f>COUNTIF(K23:K1048576,"Seguridad")</f>
        <v>0</v>
      </c>
    </row>
    <row r="19" spans="2:17" x14ac:dyDescent="0.25">
      <c r="P19" s="67" t="s">
        <v>167</v>
      </c>
      <c r="Q19" s="67">
        <f>SUM(Q12:Q18)</f>
        <v>5</v>
      </c>
    </row>
    <row r="21" spans="2:17" x14ac:dyDescent="0.25">
      <c r="B21" s="10"/>
      <c r="C21" s="10"/>
      <c r="D21" s="10"/>
      <c r="E21" s="10"/>
      <c r="F21" s="10"/>
      <c r="G21" s="10"/>
      <c r="H21" s="10"/>
      <c r="I21" s="10"/>
      <c r="J21" s="10"/>
      <c r="K21" s="10"/>
      <c r="L21" s="10"/>
      <c r="M21" s="10"/>
      <c r="N21" s="10"/>
      <c r="O21" s="10"/>
      <c r="P21" s="208" t="s">
        <v>171</v>
      </c>
      <c r="Q21" s="208"/>
    </row>
    <row r="22" spans="2:17" ht="30" x14ac:dyDescent="0.25">
      <c r="B22" s="32" t="s">
        <v>194</v>
      </c>
      <c r="C22" s="32" t="s">
        <v>172</v>
      </c>
      <c r="D22" s="32" t="s">
        <v>173</v>
      </c>
      <c r="E22" s="32" t="s">
        <v>174</v>
      </c>
      <c r="F22" s="32" t="s">
        <v>87</v>
      </c>
      <c r="G22" s="32" t="s">
        <v>89</v>
      </c>
      <c r="H22" s="32" t="s">
        <v>175</v>
      </c>
      <c r="I22" s="32" t="s">
        <v>64</v>
      </c>
      <c r="J22" s="32" t="s">
        <v>193</v>
      </c>
      <c r="K22" s="32" t="s">
        <v>176</v>
      </c>
      <c r="L22" s="32" t="s">
        <v>177</v>
      </c>
      <c r="M22" s="32" t="s">
        <v>178</v>
      </c>
      <c r="N22" s="32" t="s">
        <v>189</v>
      </c>
      <c r="O22" s="32" t="s">
        <v>190</v>
      </c>
      <c r="P22" s="32" t="s">
        <v>179</v>
      </c>
      <c r="Q22" s="32" t="s">
        <v>191</v>
      </c>
    </row>
    <row r="23" spans="2:17" x14ac:dyDescent="0.25">
      <c r="B23" s="33">
        <v>1</v>
      </c>
      <c r="C23" s="33" t="s">
        <v>497</v>
      </c>
      <c r="D23" s="33" t="s">
        <v>366</v>
      </c>
      <c r="E23" s="33" t="s">
        <v>416</v>
      </c>
      <c r="F23" s="33" t="s">
        <v>95</v>
      </c>
      <c r="G23" s="33" t="s">
        <v>130</v>
      </c>
      <c r="H23" s="33" t="s">
        <v>98</v>
      </c>
      <c r="I23" s="33" t="s">
        <v>498</v>
      </c>
      <c r="J23" s="33" t="s">
        <v>99</v>
      </c>
      <c r="K23" s="33" t="s">
        <v>109</v>
      </c>
      <c r="L23" s="33" t="s">
        <v>107</v>
      </c>
      <c r="M23" s="33" t="s">
        <v>101</v>
      </c>
      <c r="N23" s="34">
        <v>43968</v>
      </c>
      <c r="O23" s="34"/>
      <c r="P23" s="33"/>
      <c r="Q23" s="33"/>
    </row>
    <row r="24" spans="2:17" x14ac:dyDescent="0.25">
      <c r="B24" s="33">
        <v>1</v>
      </c>
      <c r="C24" s="33" t="s">
        <v>500</v>
      </c>
      <c r="D24" s="33" t="s">
        <v>366</v>
      </c>
      <c r="E24" s="33" t="s">
        <v>419</v>
      </c>
      <c r="F24" s="33" t="s">
        <v>95</v>
      </c>
      <c r="G24" s="33" t="s">
        <v>130</v>
      </c>
      <c r="H24" s="33" t="s">
        <v>98</v>
      </c>
      <c r="I24" s="33" t="s">
        <v>499</v>
      </c>
      <c r="J24" s="33" t="s">
        <v>99</v>
      </c>
      <c r="K24" s="33" t="s">
        <v>109</v>
      </c>
      <c r="L24" s="33" t="s">
        <v>107</v>
      </c>
      <c r="M24" s="33" t="s">
        <v>101</v>
      </c>
      <c r="N24" s="34">
        <v>43968</v>
      </c>
      <c r="O24" s="35"/>
      <c r="P24" s="33"/>
      <c r="Q24" s="33"/>
    </row>
    <row r="25" spans="2:17" x14ac:dyDescent="0.25">
      <c r="B25" s="33">
        <v>1</v>
      </c>
      <c r="C25" s="33" t="s">
        <v>502</v>
      </c>
      <c r="D25" s="33" t="s">
        <v>366</v>
      </c>
      <c r="E25" s="33" t="s">
        <v>424</v>
      </c>
      <c r="F25" s="33" t="s">
        <v>95</v>
      </c>
      <c r="G25" s="33" t="s">
        <v>130</v>
      </c>
      <c r="H25" s="33" t="s">
        <v>98</v>
      </c>
      <c r="I25" s="33" t="s">
        <v>501</v>
      </c>
      <c r="J25" s="33" t="s">
        <v>99</v>
      </c>
      <c r="K25" s="33" t="s">
        <v>109</v>
      </c>
      <c r="L25" s="33" t="s">
        <v>107</v>
      </c>
      <c r="M25" s="33" t="s">
        <v>101</v>
      </c>
      <c r="N25" s="34">
        <v>43968</v>
      </c>
      <c r="O25" s="35"/>
      <c r="P25" s="33"/>
      <c r="Q25" s="33"/>
    </row>
    <row r="26" spans="2:17" x14ac:dyDescent="0.25">
      <c r="B26" s="33">
        <v>1</v>
      </c>
      <c r="C26" s="33" t="s">
        <v>504</v>
      </c>
      <c r="D26" s="33" t="s">
        <v>366</v>
      </c>
      <c r="E26" s="33" t="s">
        <v>424</v>
      </c>
      <c r="F26" s="33" t="s">
        <v>95</v>
      </c>
      <c r="G26" s="33" t="s">
        <v>130</v>
      </c>
      <c r="H26" s="33" t="s">
        <v>98</v>
      </c>
      <c r="I26" s="33" t="s">
        <v>503</v>
      </c>
      <c r="J26" s="33" t="s">
        <v>99</v>
      </c>
      <c r="K26" s="33" t="s">
        <v>109</v>
      </c>
      <c r="L26" s="33" t="s">
        <v>107</v>
      </c>
      <c r="M26" s="33" t="s">
        <v>101</v>
      </c>
      <c r="N26" s="34">
        <v>43968</v>
      </c>
      <c r="O26" s="34"/>
      <c r="P26" s="33"/>
      <c r="Q26" s="33"/>
    </row>
    <row r="27" spans="2:17" x14ac:dyDescent="0.25">
      <c r="B27" s="33">
        <v>1</v>
      </c>
      <c r="C27" s="33" t="s">
        <v>506</v>
      </c>
      <c r="D27" s="33" t="s">
        <v>366</v>
      </c>
      <c r="E27" s="33" t="s">
        <v>428</v>
      </c>
      <c r="F27" s="33" t="s">
        <v>95</v>
      </c>
      <c r="G27" s="33" t="s">
        <v>130</v>
      </c>
      <c r="H27" s="33" t="s">
        <v>98</v>
      </c>
      <c r="I27" s="33" t="s">
        <v>505</v>
      </c>
      <c r="J27" s="33" t="s">
        <v>99</v>
      </c>
      <c r="K27" s="33" t="s">
        <v>109</v>
      </c>
      <c r="L27" s="33" t="s">
        <v>107</v>
      </c>
      <c r="M27" s="33" t="s">
        <v>101</v>
      </c>
      <c r="N27" s="34">
        <v>43968</v>
      </c>
      <c r="O27" s="35"/>
      <c r="P27" s="33"/>
      <c r="Q27" s="33"/>
    </row>
    <row r="28" spans="2:17" x14ac:dyDescent="0.25">
      <c r="B28" s="33"/>
      <c r="C28" s="81"/>
      <c r="E28" s="81"/>
      <c r="F28" s="33"/>
      <c r="G28" s="33"/>
      <c r="H28" s="33"/>
      <c r="I28" s="81"/>
      <c r="J28" s="33"/>
      <c r="K28" s="33"/>
      <c r="L28" s="33"/>
      <c r="M28" s="33"/>
      <c r="N28" s="34"/>
      <c r="O28" s="35"/>
      <c r="P28" s="33"/>
      <c r="Q28" s="33"/>
    </row>
    <row r="29" spans="2:17" x14ac:dyDescent="0.25">
      <c r="B29" s="33"/>
      <c r="C29" s="33"/>
      <c r="D29" s="33"/>
      <c r="E29" s="33"/>
      <c r="F29" s="33"/>
      <c r="G29" s="33"/>
      <c r="H29" s="33"/>
      <c r="I29" s="80"/>
      <c r="J29" s="33"/>
      <c r="K29" s="33"/>
      <c r="L29" s="33"/>
      <c r="M29" s="33"/>
      <c r="N29" s="34"/>
      <c r="O29" s="35"/>
      <c r="P29" s="33"/>
      <c r="Q29" s="33"/>
    </row>
    <row r="30" spans="2:17" x14ac:dyDescent="0.25">
      <c r="B30" s="33"/>
      <c r="C30" s="33"/>
      <c r="D30" s="33"/>
      <c r="E30" s="33"/>
      <c r="F30" s="33"/>
      <c r="G30" s="33"/>
      <c r="H30" s="33"/>
      <c r="I30" s="33"/>
      <c r="J30" s="33"/>
      <c r="K30" s="33"/>
      <c r="L30" s="33"/>
      <c r="M30" s="33"/>
      <c r="N30" s="34"/>
      <c r="O30" s="35"/>
      <c r="P30" s="33"/>
      <c r="Q30" s="33"/>
    </row>
    <row r="31" spans="2:17" x14ac:dyDescent="0.25">
      <c r="B31" s="33"/>
      <c r="C31" s="33"/>
      <c r="D31" s="33"/>
      <c r="E31" s="33"/>
      <c r="F31" s="33"/>
      <c r="G31" s="33"/>
      <c r="H31" s="33"/>
      <c r="I31" s="33"/>
      <c r="J31" s="33"/>
      <c r="K31" s="33"/>
      <c r="L31" s="33"/>
      <c r="M31" s="33"/>
      <c r="N31" s="34"/>
      <c r="O31" s="35"/>
      <c r="P31" s="33"/>
      <c r="Q31" s="33"/>
    </row>
    <row r="32" spans="2:17" x14ac:dyDescent="0.25">
      <c r="B32" s="33"/>
      <c r="C32" s="33"/>
      <c r="D32" s="33"/>
      <c r="E32" s="33"/>
      <c r="F32" s="33"/>
      <c r="G32" s="33"/>
      <c r="H32" s="33"/>
      <c r="I32" s="33"/>
      <c r="J32" s="33"/>
      <c r="K32" s="33"/>
      <c r="L32" s="33"/>
      <c r="M32" s="33"/>
      <c r="N32" s="34"/>
      <c r="O32" s="35"/>
      <c r="P32" s="33"/>
      <c r="Q32" s="33"/>
    </row>
    <row r="33" spans="2:17" x14ac:dyDescent="0.25">
      <c r="B33" s="33"/>
      <c r="C33" s="33"/>
      <c r="D33" s="33"/>
      <c r="E33" s="33"/>
      <c r="F33" s="33"/>
      <c r="G33" s="33"/>
      <c r="H33" s="33"/>
      <c r="I33" s="33"/>
      <c r="J33" s="33"/>
      <c r="K33" s="33"/>
      <c r="L33" s="33"/>
      <c r="M33" s="33"/>
      <c r="N33" s="34"/>
      <c r="O33" s="35"/>
      <c r="P33" s="33"/>
      <c r="Q33" s="33"/>
    </row>
    <row r="34" spans="2:17" x14ac:dyDescent="0.25">
      <c r="B34" s="33"/>
      <c r="C34" s="33"/>
      <c r="D34" s="33"/>
      <c r="E34" s="33"/>
      <c r="F34" s="33"/>
      <c r="G34" s="33"/>
      <c r="H34" s="33"/>
      <c r="I34" s="33"/>
      <c r="J34" s="33"/>
      <c r="K34" s="33"/>
      <c r="L34" s="33"/>
      <c r="M34" s="33"/>
      <c r="N34" s="34"/>
      <c r="O34" s="35"/>
      <c r="P34" s="33"/>
      <c r="Q34" s="33"/>
    </row>
    <row r="35" spans="2:17" x14ac:dyDescent="0.25">
      <c r="B35" s="33"/>
      <c r="C35" s="33"/>
      <c r="D35" s="33"/>
      <c r="E35" s="33"/>
      <c r="F35" s="33"/>
      <c r="G35" s="33"/>
      <c r="H35" s="33"/>
      <c r="I35" s="33"/>
      <c r="J35" s="33"/>
      <c r="K35" s="33"/>
      <c r="L35" s="33"/>
      <c r="M35" s="33"/>
      <c r="N35" s="34"/>
      <c r="O35" s="35"/>
      <c r="P35" s="33"/>
      <c r="Q35" s="33"/>
    </row>
    <row r="36" spans="2:17" x14ac:dyDescent="0.25">
      <c r="B36" s="33"/>
      <c r="C36" s="33"/>
      <c r="D36" s="33"/>
      <c r="E36" s="33"/>
      <c r="F36" s="33"/>
      <c r="G36" s="33"/>
      <c r="H36" s="33"/>
      <c r="I36" s="33"/>
      <c r="J36" s="33"/>
      <c r="K36" s="33"/>
      <c r="L36" s="33"/>
      <c r="M36" s="33"/>
      <c r="N36" s="34"/>
      <c r="O36" s="35"/>
      <c r="P36" s="33"/>
      <c r="Q36" s="33"/>
    </row>
    <row r="37" spans="2:17" x14ac:dyDescent="0.25">
      <c r="B37" s="33"/>
      <c r="C37" s="33"/>
      <c r="D37" s="33"/>
      <c r="E37" s="33"/>
      <c r="F37" s="33"/>
      <c r="G37" s="33"/>
      <c r="H37" s="33"/>
      <c r="I37" s="33"/>
      <c r="J37" s="33"/>
      <c r="K37" s="33"/>
      <c r="L37" s="33"/>
      <c r="M37" s="33"/>
      <c r="N37" s="34"/>
      <c r="O37" s="35"/>
      <c r="P37" s="33"/>
      <c r="Q37" s="33"/>
    </row>
    <row r="38" spans="2:17" x14ac:dyDescent="0.25">
      <c r="B38" s="33"/>
      <c r="C38" s="33"/>
      <c r="D38" s="33"/>
      <c r="E38" s="33"/>
      <c r="F38" s="33"/>
      <c r="G38" s="33"/>
      <c r="H38" s="33"/>
      <c r="I38" s="33"/>
      <c r="J38" s="33"/>
      <c r="K38" s="33"/>
      <c r="L38" s="33"/>
      <c r="M38" s="33"/>
      <c r="N38" s="34"/>
      <c r="O38" s="35"/>
      <c r="P38" s="33"/>
      <c r="Q38" s="33"/>
    </row>
    <row r="39" spans="2:17" x14ac:dyDescent="0.25">
      <c r="B39" s="33"/>
      <c r="C39" s="33"/>
      <c r="D39" s="33"/>
      <c r="E39" s="33"/>
      <c r="F39" s="33"/>
      <c r="G39" s="33"/>
      <c r="H39" s="33"/>
      <c r="I39" s="33"/>
      <c r="J39" s="33"/>
      <c r="K39" s="33"/>
      <c r="L39" s="33"/>
      <c r="M39" s="33"/>
      <c r="N39" s="34"/>
      <c r="O39" s="35"/>
      <c r="P39" s="33"/>
      <c r="Q39" s="33"/>
    </row>
    <row r="40" spans="2:17" x14ac:dyDescent="0.25">
      <c r="B40" s="33"/>
      <c r="C40" s="33"/>
      <c r="D40" s="33"/>
      <c r="E40" s="33"/>
      <c r="F40" s="33"/>
      <c r="G40" s="33"/>
      <c r="H40" s="33"/>
      <c r="I40" s="33"/>
      <c r="J40" s="33"/>
      <c r="K40" s="33"/>
      <c r="L40" s="33"/>
      <c r="M40" s="33"/>
      <c r="N40" s="34"/>
      <c r="O40" s="35"/>
      <c r="P40" s="33"/>
      <c r="Q40" s="33"/>
    </row>
    <row r="41" spans="2:17" x14ac:dyDescent="0.25">
      <c r="B41" s="33"/>
      <c r="C41" s="33"/>
      <c r="D41" s="33"/>
      <c r="E41" s="33"/>
      <c r="F41" s="33"/>
      <c r="G41" s="33"/>
      <c r="H41" s="33"/>
      <c r="I41" s="33"/>
      <c r="J41" s="33"/>
      <c r="K41" s="33"/>
      <c r="L41" s="33"/>
      <c r="M41" s="33"/>
      <c r="N41" s="34"/>
      <c r="O41" s="35"/>
      <c r="P41" s="33"/>
      <c r="Q41" s="33"/>
    </row>
    <row r="42" spans="2:17" x14ac:dyDescent="0.25">
      <c r="B42" s="33"/>
      <c r="C42" s="33"/>
      <c r="D42" s="33"/>
      <c r="E42" s="33"/>
      <c r="F42" s="33"/>
      <c r="G42" s="33"/>
      <c r="H42" s="33"/>
      <c r="I42" s="33"/>
      <c r="J42" s="33"/>
      <c r="K42" s="33"/>
      <c r="L42" s="33"/>
      <c r="M42" s="33"/>
      <c r="N42" s="34"/>
      <c r="O42" s="35"/>
      <c r="P42" s="33"/>
      <c r="Q42" s="33"/>
    </row>
    <row r="43" spans="2:17" x14ac:dyDescent="0.25">
      <c r="B43" s="33"/>
      <c r="C43" s="33"/>
      <c r="D43" s="33"/>
      <c r="E43" s="33"/>
      <c r="F43" s="33"/>
      <c r="G43" s="33"/>
      <c r="H43" s="33"/>
      <c r="I43" s="33"/>
      <c r="J43" s="33"/>
      <c r="K43" s="33"/>
      <c r="L43" s="33"/>
      <c r="M43" s="33"/>
      <c r="N43" s="34"/>
      <c r="O43" s="35"/>
      <c r="P43" s="33"/>
      <c r="Q43" s="33"/>
    </row>
    <row r="44" spans="2:17" x14ac:dyDescent="0.25">
      <c r="B44" s="33"/>
      <c r="C44" s="33"/>
      <c r="D44" s="33"/>
      <c r="E44" s="33"/>
      <c r="F44" s="33"/>
      <c r="G44" s="33"/>
      <c r="H44" s="33"/>
      <c r="I44" s="33"/>
      <c r="J44" s="33"/>
      <c r="K44" s="33"/>
      <c r="L44" s="33"/>
      <c r="M44" s="33"/>
      <c r="N44" s="34"/>
      <c r="O44" s="35"/>
      <c r="P44" s="33"/>
      <c r="Q44" s="33"/>
    </row>
    <row r="45" spans="2:17" x14ac:dyDescent="0.25">
      <c r="B45" s="33"/>
      <c r="C45" s="33"/>
      <c r="D45" s="33"/>
      <c r="E45" s="33"/>
      <c r="F45" s="33"/>
      <c r="G45" s="33"/>
      <c r="H45" s="33"/>
      <c r="I45" s="33"/>
      <c r="J45" s="33"/>
      <c r="K45" s="33"/>
      <c r="L45" s="33"/>
      <c r="M45" s="33"/>
      <c r="N45" s="34"/>
      <c r="O45" s="35"/>
      <c r="P45" s="33"/>
      <c r="Q45" s="33"/>
    </row>
    <row r="46" spans="2:17" x14ac:dyDescent="0.25">
      <c r="B46" s="33"/>
      <c r="C46" s="33"/>
      <c r="D46" s="33"/>
      <c r="E46" s="33"/>
      <c r="F46" s="33"/>
      <c r="G46" s="33"/>
      <c r="H46" s="33"/>
      <c r="I46" s="33"/>
      <c r="J46" s="33"/>
      <c r="K46" s="33"/>
      <c r="L46" s="33"/>
      <c r="M46" s="33"/>
      <c r="N46" s="34"/>
      <c r="O46" s="35"/>
      <c r="P46" s="33"/>
      <c r="Q46" s="33"/>
    </row>
    <row r="47" spans="2:17" x14ac:dyDescent="0.25">
      <c r="B47" s="33"/>
      <c r="C47" s="33"/>
      <c r="D47" s="33"/>
      <c r="E47" s="33"/>
      <c r="F47" s="33"/>
      <c r="G47" s="33"/>
      <c r="H47" s="33"/>
      <c r="I47" s="33"/>
      <c r="J47" s="33"/>
      <c r="K47" s="33"/>
      <c r="L47" s="33"/>
      <c r="M47" s="33"/>
      <c r="N47" s="34"/>
      <c r="O47" s="35"/>
      <c r="P47" s="33"/>
      <c r="Q47" s="33"/>
    </row>
    <row r="48" spans="2:17" x14ac:dyDescent="0.25">
      <c r="B48" s="33"/>
      <c r="C48" s="33"/>
      <c r="D48" s="33"/>
      <c r="E48" s="33"/>
      <c r="F48" s="33"/>
      <c r="G48" s="33"/>
      <c r="H48" s="33"/>
      <c r="I48" s="33"/>
      <c r="J48" s="33"/>
      <c r="K48" s="33"/>
      <c r="L48" s="33"/>
      <c r="M48" s="33"/>
      <c r="N48" s="34"/>
      <c r="O48" s="35"/>
      <c r="P48" s="33"/>
      <c r="Q48" s="33"/>
    </row>
    <row r="49" spans="2:17" x14ac:dyDescent="0.25">
      <c r="B49" s="33"/>
      <c r="C49" s="33"/>
      <c r="D49" s="33"/>
      <c r="E49" s="33"/>
      <c r="F49" s="33"/>
      <c r="G49" s="33"/>
      <c r="H49" s="33"/>
      <c r="I49" s="33"/>
      <c r="J49" s="33"/>
      <c r="K49" s="33"/>
      <c r="L49" s="33"/>
      <c r="M49" s="33"/>
      <c r="N49" s="34"/>
      <c r="O49" s="35"/>
      <c r="P49" s="33"/>
      <c r="Q49" s="33"/>
    </row>
    <row r="50" spans="2:17" x14ac:dyDescent="0.25">
      <c r="B50" s="33"/>
      <c r="C50" s="33"/>
      <c r="D50" s="33"/>
      <c r="E50" s="33"/>
      <c r="F50" s="33"/>
      <c r="G50" s="33"/>
      <c r="H50" s="33"/>
      <c r="I50" s="33"/>
      <c r="J50" s="33"/>
      <c r="K50" s="33"/>
      <c r="L50" s="33"/>
      <c r="M50" s="33"/>
      <c r="N50" s="34"/>
      <c r="O50" s="35"/>
      <c r="P50" s="33"/>
      <c r="Q50" s="33"/>
    </row>
    <row r="51" spans="2:17" x14ac:dyDescent="0.25">
      <c r="B51" s="33"/>
      <c r="C51" s="33"/>
      <c r="D51" s="33"/>
      <c r="E51" s="33"/>
      <c r="F51" s="33"/>
      <c r="G51" s="33"/>
      <c r="H51" s="33"/>
      <c r="I51" s="33"/>
      <c r="J51" s="33"/>
      <c r="K51" s="33"/>
      <c r="L51" s="33"/>
      <c r="M51" s="33"/>
      <c r="N51" s="34"/>
      <c r="O51" s="35"/>
      <c r="P51" s="33"/>
      <c r="Q51" s="33"/>
    </row>
    <row r="52" spans="2:17" x14ac:dyDescent="0.25">
      <c r="B52" s="33"/>
      <c r="C52" s="33"/>
      <c r="D52" s="33"/>
      <c r="E52" s="33"/>
      <c r="F52" s="33"/>
      <c r="G52" s="33"/>
      <c r="H52" s="33"/>
      <c r="I52" s="33"/>
      <c r="J52" s="33"/>
      <c r="K52" s="33"/>
      <c r="L52" s="33"/>
      <c r="M52" s="33"/>
      <c r="N52" s="34"/>
      <c r="O52" s="35"/>
      <c r="P52" s="33"/>
      <c r="Q52" s="33"/>
    </row>
    <row r="53" spans="2:17" x14ac:dyDescent="0.25">
      <c r="B53" s="33"/>
      <c r="C53" s="33"/>
      <c r="D53" s="33"/>
      <c r="E53" s="33"/>
      <c r="F53" s="33"/>
      <c r="G53" s="33"/>
      <c r="H53" s="33"/>
      <c r="I53" s="33"/>
      <c r="J53" s="33"/>
      <c r="K53" s="33"/>
      <c r="L53" s="33"/>
      <c r="M53" s="33"/>
      <c r="N53" s="34"/>
      <c r="O53" s="35"/>
      <c r="P53" s="33"/>
      <c r="Q53" s="33"/>
    </row>
    <row r="54" spans="2:17" x14ac:dyDescent="0.25">
      <c r="B54" s="33"/>
      <c r="C54" s="33"/>
      <c r="D54" s="33"/>
      <c r="E54" s="33"/>
      <c r="F54" s="33"/>
      <c r="G54" s="33"/>
      <c r="H54" s="33"/>
      <c r="I54" s="33"/>
      <c r="J54" s="33"/>
      <c r="K54" s="33"/>
      <c r="L54" s="33"/>
      <c r="M54" s="33"/>
      <c r="N54" s="34"/>
      <c r="O54" s="35"/>
      <c r="P54" s="33"/>
      <c r="Q54" s="33"/>
    </row>
    <row r="55" spans="2:17" x14ac:dyDescent="0.25">
      <c r="B55" s="33"/>
      <c r="C55" s="33"/>
      <c r="D55" s="33"/>
      <c r="E55" s="33"/>
      <c r="F55" s="33"/>
      <c r="G55" s="33"/>
      <c r="H55" s="33"/>
      <c r="I55" s="33"/>
      <c r="J55" s="33"/>
      <c r="K55" s="33"/>
      <c r="L55" s="33"/>
      <c r="M55" s="33"/>
      <c r="N55" s="34"/>
      <c r="O55" s="35"/>
      <c r="P55" s="33"/>
      <c r="Q55" s="33"/>
    </row>
    <row r="56" spans="2:17" x14ac:dyDescent="0.25">
      <c r="B56" s="33"/>
      <c r="C56" s="33"/>
      <c r="D56" s="33"/>
      <c r="E56" s="33"/>
      <c r="F56" s="33"/>
      <c r="G56" s="33"/>
      <c r="H56" s="33"/>
      <c r="I56" s="33"/>
      <c r="J56" s="33"/>
      <c r="K56" s="33"/>
      <c r="L56" s="33"/>
      <c r="M56" s="33"/>
      <c r="N56" s="34"/>
      <c r="O56" s="35"/>
      <c r="P56" s="33"/>
      <c r="Q56" s="33"/>
    </row>
    <row r="57" spans="2:17" x14ac:dyDescent="0.25">
      <c r="B57" s="33"/>
      <c r="C57" s="33"/>
      <c r="D57" s="33"/>
      <c r="E57" s="33"/>
      <c r="F57" s="33"/>
      <c r="G57" s="33"/>
      <c r="H57" s="33"/>
      <c r="I57" s="33"/>
      <c r="J57" s="33"/>
      <c r="K57" s="33"/>
      <c r="L57" s="33"/>
      <c r="M57" s="33"/>
      <c r="N57" s="34"/>
      <c r="O57" s="35"/>
      <c r="P57" s="33"/>
      <c r="Q57" s="33"/>
    </row>
    <row r="58" spans="2:17" x14ac:dyDescent="0.25">
      <c r="B58" s="33"/>
      <c r="C58" s="33"/>
      <c r="D58" s="33"/>
      <c r="E58" s="33"/>
      <c r="F58" s="33"/>
      <c r="G58" s="33"/>
      <c r="H58" s="33"/>
      <c r="I58" s="33"/>
      <c r="J58" s="33"/>
      <c r="K58" s="33"/>
      <c r="L58" s="33"/>
      <c r="M58" s="33"/>
      <c r="N58" s="34"/>
      <c r="O58" s="35"/>
      <c r="P58" s="33"/>
      <c r="Q58" s="33"/>
    </row>
    <row r="59" spans="2:17" x14ac:dyDescent="0.25">
      <c r="B59" s="33"/>
      <c r="C59" s="33"/>
      <c r="D59" s="33"/>
      <c r="E59" s="33"/>
      <c r="F59" s="33"/>
      <c r="G59" s="33"/>
      <c r="H59" s="33"/>
      <c r="I59" s="33"/>
      <c r="J59" s="33"/>
      <c r="K59" s="33"/>
      <c r="L59" s="33"/>
      <c r="M59" s="33"/>
      <c r="N59" s="34"/>
      <c r="O59" s="35"/>
      <c r="P59" s="33"/>
      <c r="Q59" s="33"/>
    </row>
    <row r="60" spans="2:17" x14ac:dyDescent="0.25">
      <c r="B60" s="33"/>
      <c r="C60" s="33"/>
      <c r="D60" s="33"/>
      <c r="E60" s="33"/>
      <c r="F60" s="33"/>
      <c r="G60" s="33"/>
      <c r="H60" s="33"/>
      <c r="I60" s="33"/>
      <c r="J60" s="33"/>
      <c r="K60" s="33"/>
      <c r="L60" s="33"/>
      <c r="M60" s="33"/>
      <c r="N60" s="34"/>
      <c r="O60" s="35"/>
      <c r="P60" s="33"/>
      <c r="Q60" s="33"/>
    </row>
    <row r="61" spans="2:17" x14ac:dyDescent="0.25">
      <c r="B61" s="33"/>
      <c r="C61" s="33"/>
      <c r="D61" s="33"/>
      <c r="E61" s="33"/>
      <c r="F61" s="33"/>
      <c r="G61" s="33"/>
      <c r="H61" s="33"/>
      <c r="I61" s="33"/>
      <c r="J61" s="33"/>
      <c r="K61" s="33"/>
      <c r="L61" s="33"/>
      <c r="M61" s="33"/>
      <c r="N61" s="34"/>
      <c r="O61" s="35"/>
      <c r="P61" s="33"/>
      <c r="Q61" s="33"/>
    </row>
    <row r="62" spans="2:17" x14ac:dyDescent="0.25">
      <c r="B62" s="33"/>
      <c r="C62" s="33"/>
      <c r="D62" s="33"/>
      <c r="E62" s="33"/>
      <c r="F62" s="33"/>
      <c r="G62" s="33"/>
      <c r="H62" s="33"/>
      <c r="I62" s="33"/>
      <c r="J62" s="33"/>
      <c r="K62" s="33"/>
      <c r="L62" s="33"/>
      <c r="M62" s="33"/>
      <c r="N62" s="34"/>
      <c r="O62" s="35"/>
      <c r="P62" s="33"/>
      <c r="Q62" s="33"/>
    </row>
    <row r="63" spans="2:17" x14ac:dyDescent="0.25">
      <c r="B63" s="33"/>
      <c r="C63" s="33"/>
      <c r="D63" s="33"/>
      <c r="E63" s="33"/>
      <c r="F63" s="33"/>
      <c r="G63" s="33"/>
      <c r="H63" s="33"/>
      <c r="I63" s="33"/>
      <c r="J63" s="33"/>
      <c r="K63" s="33"/>
      <c r="L63" s="33"/>
      <c r="M63" s="33"/>
      <c r="N63" s="34"/>
      <c r="O63" s="35"/>
      <c r="P63" s="33"/>
      <c r="Q63" s="33"/>
    </row>
    <row r="64" spans="2:17" x14ac:dyDescent="0.25">
      <c r="B64" s="33"/>
      <c r="C64" s="33"/>
      <c r="D64" s="33"/>
      <c r="E64" s="33"/>
      <c r="F64" s="33"/>
      <c r="G64" s="33"/>
      <c r="H64" s="33"/>
      <c r="I64" s="33"/>
      <c r="J64" s="33"/>
      <c r="K64" s="33"/>
      <c r="L64" s="33"/>
      <c r="M64" s="33"/>
      <c r="N64" s="34"/>
      <c r="O64" s="35"/>
      <c r="P64" s="33"/>
      <c r="Q64" s="33"/>
    </row>
    <row r="65" spans="2:17" x14ac:dyDescent="0.25">
      <c r="B65" s="33"/>
      <c r="C65" s="33"/>
      <c r="D65" s="33"/>
      <c r="E65" s="33"/>
      <c r="F65" s="33"/>
      <c r="G65" s="33"/>
      <c r="H65" s="33"/>
      <c r="I65" s="33"/>
      <c r="J65" s="33"/>
      <c r="K65" s="33"/>
      <c r="L65" s="33"/>
      <c r="M65" s="33"/>
      <c r="N65" s="34"/>
      <c r="O65" s="35"/>
      <c r="P65" s="33"/>
      <c r="Q65" s="33"/>
    </row>
    <row r="66" spans="2:17" x14ac:dyDescent="0.25">
      <c r="B66" s="33"/>
      <c r="C66" s="33"/>
      <c r="D66" s="33"/>
      <c r="E66" s="33"/>
      <c r="F66" s="33"/>
      <c r="G66" s="33"/>
      <c r="H66" s="33"/>
      <c r="I66" s="33"/>
      <c r="J66" s="33"/>
      <c r="K66" s="33"/>
      <c r="L66" s="33"/>
      <c r="M66" s="33"/>
      <c r="N66" s="34"/>
      <c r="O66" s="35"/>
      <c r="P66" s="33"/>
      <c r="Q66" s="33"/>
    </row>
    <row r="67" spans="2:17" x14ac:dyDescent="0.25">
      <c r="B67" s="33"/>
      <c r="C67" s="33"/>
      <c r="D67" s="33"/>
      <c r="E67" s="33"/>
      <c r="F67" s="33"/>
      <c r="G67" s="33"/>
      <c r="H67" s="33"/>
      <c r="I67" s="33"/>
      <c r="J67" s="33"/>
      <c r="K67" s="33"/>
      <c r="L67" s="33"/>
      <c r="M67" s="33"/>
      <c r="N67" s="34"/>
      <c r="O67" s="35"/>
      <c r="P67" s="33"/>
      <c r="Q67" s="33"/>
    </row>
    <row r="68" spans="2:17" x14ac:dyDescent="0.25">
      <c r="B68" s="33"/>
      <c r="C68" s="33"/>
      <c r="D68" s="33"/>
      <c r="E68" s="33"/>
      <c r="F68" s="33"/>
      <c r="G68" s="33"/>
      <c r="H68" s="33"/>
      <c r="I68" s="33"/>
      <c r="J68" s="33"/>
      <c r="K68" s="33"/>
      <c r="L68" s="33"/>
      <c r="M68" s="33"/>
      <c r="N68" s="34"/>
      <c r="O68" s="35"/>
      <c r="P68" s="33"/>
      <c r="Q68" s="33"/>
    </row>
    <row r="69" spans="2:17" x14ac:dyDescent="0.25">
      <c r="B69" s="33"/>
      <c r="C69" s="33"/>
      <c r="D69" s="33"/>
      <c r="E69" s="33"/>
      <c r="F69" s="33"/>
      <c r="G69" s="33"/>
      <c r="H69" s="33"/>
      <c r="I69" s="33"/>
      <c r="J69" s="33"/>
      <c r="K69" s="33"/>
      <c r="L69" s="33"/>
      <c r="M69" s="33"/>
      <c r="N69" s="34"/>
      <c r="O69" s="35"/>
      <c r="P69" s="33"/>
      <c r="Q69" s="33"/>
    </row>
    <row r="70" spans="2:17" x14ac:dyDescent="0.25">
      <c r="B70" s="33"/>
      <c r="C70" s="33"/>
      <c r="D70" s="33"/>
      <c r="E70" s="33"/>
      <c r="F70" s="33"/>
      <c r="G70" s="33"/>
      <c r="H70" s="33"/>
      <c r="I70" s="33"/>
      <c r="J70" s="33"/>
      <c r="K70" s="33"/>
      <c r="L70" s="33"/>
      <c r="M70" s="33"/>
      <c r="N70" s="34"/>
      <c r="O70" s="35"/>
      <c r="P70" s="33"/>
      <c r="Q70" s="33"/>
    </row>
    <row r="71" spans="2:17" x14ac:dyDescent="0.25">
      <c r="B71" s="33"/>
      <c r="C71" s="33"/>
      <c r="D71" s="33"/>
      <c r="E71" s="33"/>
      <c r="F71" s="33"/>
      <c r="G71" s="33"/>
      <c r="H71" s="33"/>
      <c r="I71" s="33"/>
      <c r="J71" s="33"/>
      <c r="K71" s="33"/>
      <c r="L71" s="33"/>
      <c r="M71" s="33"/>
      <c r="N71" s="34"/>
      <c r="O71" s="35"/>
      <c r="P71" s="33"/>
      <c r="Q71" s="33"/>
    </row>
    <row r="72" spans="2:17" x14ac:dyDescent="0.25">
      <c r="B72" s="33"/>
      <c r="C72" s="33"/>
      <c r="D72" s="33"/>
      <c r="E72" s="33"/>
      <c r="F72" s="33"/>
      <c r="G72" s="33"/>
      <c r="H72" s="33"/>
      <c r="I72" s="33"/>
      <c r="J72" s="33"/>
      <c r="K72" s="33"/>
      <c r="L72" s="33"/>
      <c r="M72" s="33"/>
      <c r="N72" s="34"/>
      <c r="O72" s="35"/>
      <c r="P72" s="33"/>
      <c r="Q72" s="33"/>
    </row>
    <row r="73" spans="2:17" x14ac:dyDescent="0.25">
      <c r="B73" s="33"/>
      <c r="C73" s="33"/>
      <c r="D73" s="33"/>
      <c r="E73" s="33"/>
      <c r="F73" s="33"/>
      <c r="G73" s="33"/>
      <c r="H73" s="33"/>
      <c r="I73" s="33"/>
      <c r="J73" s="33"/>
      <c r="K73" s="33"/>
      <c r="L73" s="33"/>
      <c r="M73" s="33"/>
      <c r="N73" s="34"/>
      <c r="O73" s="35"/>
      <c r="P73" s="33"/>
      <c r="Q73" s="33"/>
    </row>
    <row r="74" spans="2:17" x14ac:dyDescent="0.25">
      <c r="B74" s="33"/>
      <c r="C74" s="33"/>
      <c r="D74" s="33"/>
      <c r="E74" s="33"/>
      <c r="F74" s="33"/>
      <c r="G74" s="33"/>
      <c r="H74" s="33"/>
      <c r="I74" s="33"/>
      <c r="J74" s="33"/>
      <c r="K74" s="33"/>
      <c r="L74" s="33"/>
      <c r="M74" s="33"/>
      <c r="N74" s="34"/>
      <c r="O74" s="35"/>
      <c r="P74" s="33"/>
      <c r="Q74" s="33"/>
    </row>
    <row r="75" spans="2:17" x14ac:dyDescent="0.25">
      <c r="B75" s="33"/>
      <c r="C75" s="33"/>
      <c r="D75" s="33"/>
      <c r="E75" s="33"/>
      <c r="F75" s="33"/>
      <c r="G75" s="33"/>
      <c r="H75" s="33"/>
      <c r="I75" s="33"/>
      <c r="J75" s="33"/>
      <c r="K75" s="33"/>
      <c r="L75" s="33"/>
      <c r="M75" s="33"/>
      <c r="N75" s="34"/>
      <c r="O75" s="35"/>
      <c r="P75" s="33"/>
      <c r="Q75" s="33"/>
    </row>
    <row r="76" spans="2:17" x14ac:dyDescent="0.25">
      <c r="B76" s="33"/>
      <c r="C76" s="33"/>
      <c r="D76" s="33"/>
      <c r="E76" s="33"/>
      <c r="F76" s="33"/>
      <c r="G76" s="33"/>
      <c r="H76" s="33"/>
      <c r="I76" s="33"/>
      <c r="J76" s="33"/>
      <c r="K76" s="33"/>
      <c r="L76" s="33"/>
      <c r="M76" s="33"/>
      <c r="N76" s="34"/>
      <c r="O76" s="35"/>
      <c r="P76" s="33"/>
      <c r="Q76" s="33"/>
    </row>
    <row r="77" spans="2:17" x14ac:dyDescent="0.25">
      <c r="B77" s="33"/>
      <c r="C77" s="33"/>
      <c r="D77" s="33"/>
      <c r="E77" s="33"/>
      <c r="F77" s="33"/>
      <c r="G77" s="33"/>
      <c r="H77" s="33"/>
      <c r="I77" s="33"/>
      <c r="J77" s="33"/>
      <c r="K77" s="33"/>
      <c r="L77" s="33"/>
      <c r="M77" s="33"/>
      <c r="N77" s="34"/>
      <c r="O77" s="35"/>
      <c r="P77" s="33"/>
      <c r="Q77" s="33"/>
    </row>
    <row r="78" spans="2:17" x14ac:dyDescent="0.25">
      <c r="B78" s="33"/>
      <c r="C78" s="33"/>
      <c r="D78" s="33"/>
      <c r="E78" s="33"/>
      <c r="F78" s="33"/>
      <c r="G78" s="33"/>
      <c r="H78" s="33"/>
      <c r="I78" s="33"/>
      <c r="J78" s="33"/>
      <c r="K78" s="33"/>
      <c r="L78" s="33"/>
      <c r="M78" s="33"/>
      <c r="N78" s="34"/>
      <c r="O78" s="35"/>
      <c r="P78" s="33"/>
      <c r="Q78" s="33"/>
    </row>
    <row r="79" spans="2:17" x14ac:dyDescent="0.25">
      <c r="B79" s="33"/>
      <c r="C79" s="33"/>
      <c r="D79" s="33"/>
      <c r="E79" s="33"/>
      <c r="F79" s="33"/>
      <c r="G79" s="33"/>
      <c r="H79" s="33"/>
      <c r="I79" s="33"/>
      <c r="J79" s="33"/>
      <c r="K79" s="33"/>
      <c r="L79" s="33"/>
      <c r="M79" s="33"/>
      <c r="N79" s="34"/>
      <c r="O79" s="35"/>
      <c r="P79" s="33"/>
      <c r="Q79" s="33"/>
    </row>
    <row r="80" spans="2:17" x14ac:dyDescent="0.25">
      <c r="B80" s="33"/>
      <c r="C80" s="33"/>
      <c r="D80" s="33"/>
      <c r="E80" s="33"/>
      <c r="F80" s="33"/>
      <c r="G80" s="33"/>
      <c r="H80" s="33"/>
      <c r="I80" s="33"/>
      <c r="J80" s="33"/>
      <c r="K80" s="33"/>
      <c r="L80" s="33"/>
      <c r="M80" s="33"/>
      <c r="N80" s="34"/>
      <c r="O80" s="35"/>
      <c r="P80" s="33"/>
      <c r="Q80" s="33"/>
    </row>
    <row r="81" spans="2:17" x14ac:dyDescent="0.25">
      <c r="B81" s="33"/>
      <c r="C81" s="33"/>
      <c r="D81" s="33"/>
      <c r="E81" s="33"/>
      <c r="F81" s="33"/>
      <c r="G81" s="33"/>
      <c r="H81" s="33"/>
      <c r="I81" s="33"/>
      <c r="J81" s="33"/>
      <c r="K81" s="33"/>
      <c r="L81" s="33"/>
      <c r="M81" s="33"/>
      <c r="N81" s="35"/>
      <c r="O81" s="35"/>
      <c r="P81" s="33">
        <f t="shared" ref="P81:P87" si="0">O81-N81</f>
        <v>0</v>
      </c>
      <c r="Q81" s="33"/>
    </row>
    <row r="82" spans="2:17" x14ac:dyDescent="0.25">
      <c r="B82" s="33"/>
      <c r="C82" s="33"/>
      <c r="D82" s="33"/>
      <c r="E82" s="33"/>
      <c r="F82" s="33"/>
      <c r="G82" s="33"/>
      <c r="H82" s="33"/>
      <c r="I82" s="33"/>
      <c r="J82" s="33"/>
      <c r="K82" s="33"/>
      <c r="L82" s="33"/>
      <c r="M82" s="33"/>
      <c r="N82" s="35"/>
      <c r="O82" s="35"/>
      <c r="P82" s="33">
        <f t="shared" si="0"/>
        <v>0</v>
      </c>
      <c r="Q82" s="33"/>
    </row>
    <row r="83" spans="2:17" x14ac:dyDescent="0.25">
      <c r="B83" s="33"/>
      <c r="C83" s="33"/>
      <c r="D83" s="33"/>
      <c r="E83" s="33"/>
      <c r="F83" s="33"/>
      <c r="G83" s="33"/>
      <c r="H83" s="33"/>
      <c r="I83" s="33"/>
      <c r="J83" s="33"/>
      <c r="K83" s="33"/>
      <c r="L83" s="33"/>
      <c r="M83" s="33"/>
      <c r="N83" s="35"/>
      <c r="O83" s="35"/>
      <c r="P83" s="33">
        <f t="shared" si="0"/>
        <v>0</v>
      </c>
      <c r="Q83" s="33"/>
    </row>
    <row r="84" spans="2:17" x14ac:dyDescent="0.25">
      <c r="B84" s="33"/>
      <c r="C84" s="33"/>
      <c r="D84" s="33"/>
      <c r="E84" s="33"/>
      <c r="F84" s="33"/>
      <c r="G84" s="33"/>
      <c r="H84" s="33"/>
      <c r="I84" s="33"/>
      <c r="J84" s="33"/>
      <c r="K84" s="33"/>
      <c r="L84" s="33"/>
      <c r="M84" s="33"/>
      <c r="N84" s="35"/>
      <c r="O84" s="35"/>
      <c r="P84" s="33">
        <f t="shared" si="0"/>
        <v>0</v>
      </c>
      <c r="Q84" s="33"/>
    </row>
    <row r="85" spans="2:17" x14ac:dyDescent="0.25">
      <c r="B85" s="33"/>
      <c r="C85" s="33"/>
      <c r="D85" s="33"/>
      <c r="E85" s="33"/>
      <c r="F85" s="33"/>
      <c r="G85" s="33"/>
      <c r="H85" s="33"/>
      <c r="I85" s="33"/>
      <c r="J85" s="33"/>
      <c r="K85" s="33"/>
      <c r="L85" s="33"/>
      <c r="M85" s="33"/>
      <c r="N85" s="35"/>
      <c r="O85" s="35"/>
      <c r="P85" s="33">
        <f t="shared" si="0"/>
        <v>0</v>
      </c>
      <c r="Q85" s="33"/>
    </row>
    <row r="86" spans="2:17" x14ac:dyDescent="0.25">
      <c r="B86" s="33"/>
      <c r="C86" s="33"/>
      <c r="D86" s="33"/>
      <c r="E86" s="33"/>
      <c r="F86" s="33"/>
      <c r="G86" s="33"/>
      <c r="H86" s="33"/>
      <c r="I86" s="33"/>
      <c r="J86" s="33"/>
      <c r="K86" s="33"/>
      <c r="L86" s="33"/>
      <c r="M86" s="33"/>
      <c r="N86" s="35"/>
      <c r="O86" s="35"/>
      <c r="P86" s="33">
        <f t="shared" si="0"/>
        <v>0</v>
      </c>
      <c r="Q86" s="33"/>
    </row>
    <row r="87" spans="2:17" x14ac:dyDescent="0.25">
      <c r="B87" s="33"/>
      <c r="C87" s="33"/>
      <c r="D87" s="33"/>
      <c r="E87" s="33"/>
      <c r="F87" s="33"/>
      <c r="G87" s="33"/>
      <c r="H87" s="33"/>
      <c r="I87" s="33"/>
      <c r="J87" s="33"/>
      <c r="K87" s="33"/>
      <c r="L87" s="33"/>
      <c r="M87" s="33"/>
      <c r="N87" s="35"/>
      <c r="O87" s="35"/>
      <c r="P87" s="33">
        <f t="shared" si="0"/>
        <v>0</v>
      </c>
      <c r="Q87" s="33"/>
    </row>
    <row r="88" spans="2:17" x14ac:dyDescent="0.25">
      <c r="B88" s="33"/>
      <c r="C88" s="33"/>
      <c r="D88" s="33"/>
      <c r="E88" s="33"/>
      <c r="F88" s="33"/>
      <c r="G88" s="33"/>
      <c r="H88" s="33"/>
      <c r="I88" s="33"/>
      <c r="J88" s="33"/>
      <c r="K88" s="33"/>
      <c r="L88" s="33"/>
      <c r="M88" s="33"/>
      <c r="N88" s="35"/>
      <c r="O88" s="35"/>
      <c r="P88" s="33">
        <f t="shared" ref="P88:P151" si="1">O88-N88</f>
        <v>0</v>
      </c>
      <c r="Q88" s="33"/>
    </row>
    <row r="89" spans="2:17" x14ac:dyDescent="0.25">
      <c r="B89" s="33"/>
      <c r="C89" s="33"/>
      <c r="D89" s="33"/>
      <c r="E89" s="33"/>
      <c r="F89" s="33"/>
      <c r="G89" s="33"/>
      <c r="H89" s="33"/>
      <c r="I89" s="33"/>
      <c r="J89" s="33"/>
      <c r="K89" s="33"/>
      <c r="L89" s="33"/>
      <c r="M89" s="33"/>
      <c r="N89" s="35"/>
      <c r="O89" s="35"/>
      <c r="P89" s="33">
        <f t="shared" si="1"/>
        <v>0</v>
      </c>
      <c r="Q89" s="33"/>
    </row>
    <row r="90" spans="2:17" x14ac:dyDescent="0.25">
      <c r="B90" s="33"/>
      <c r="C90" s="33"/>
      <c r="D90" s="33"/>
      <c r="E90" s="33"/>
      <c r="F90" s="33"/>
      <c r="G90" s="33"/>
      <c r="H90" s="33"/>
      <c r="I90" s="33"/>
      <c r="J90" s="33"/>
      <c r="K90" s="33"/>
      <c r="L90" s="33"/>
      <c r="M90" s="33"/>
      <c r="N90" s="35"/>
      <c r="O90" s="35"/>
      <c r="P90" s="33">
        <f t="shared" si="1"/>
        <v>0</v>
      </c>
      <c r="Q90" s="33"/>
    </row>
    <row r="91" spans="2:17" x14ac:dyDescent="0.25">
      <c r="B91" s="33"/>
      <c r="C91" s="33"/>
      <c r="D91" s="33"/>
      <c r="E91" s="33"/>
      <c r="F91" s="33"/>
      <c r="G91" s="33"/>
      <c r="H91" s="33"/>
      <c r="I91" s="33"/>
      <c r="J91" s="33"/>
      <c r="K91" s="33"/>
      <c r="L91" s="33"/>
      <c r="M91" s="33"/>
      <c r="N91" s="35"/>
      <c r="O91" s="35"/>
      <c r="P91" s="33">
        <f t="shared" si="1"/>
        <v>0</v>
      </c>
      <c r="Q91" s="33"/>
    </row>
    <row r="92" spans="2:17" x14ac:dyDescent="0.25">
      <c r="B92" s="33"/>
      <c r="C92" s="33"/>
      <c r="D92" s="33"/>
      <c r="E92" s="33"/>
      <c r="F92" s="33"/>
      <c r="G92" s="33"/>
      <c r="H92" s="33"/>
      <c r="I92" s="33"/>
      <c r="J92" s="33"/>
      <c r="K92" s="33"/>
      <c r="L92" s="33"/>
      <c r="M92" s="33"/>
      <c r="N92" s="35"/>
      <c r="O92" s="35"/>
      <c r="P92" s="33">
        <f t="shared" si="1"/>
        <v>0</v>
      </c>
      <c r="Q92" s="33"/>
    </row>
    <row r="93" spans="2:17" x14ac:dyDescent="0.25">
      <c r="B93" s="33"/>
      <c r="C93" s="33"/>
      <c r="D93" s="33"/>
      <c r="E93" s="33"/>
      <c r="F93" s="33"/>
      <c r="G93" s="33"/>
      <c r="H93" s="33"/>
      <c r="I93" s="33"/>
      <c r="J93" s="33"/>
      <c r="K93" s="33"/>
      <c r="L93" s="33"/>
      <c r="M93" s="33"/>
      <c r="N93" s="35"/>
      <c r="O93" s="35"/>
      <c r="P93" s="33">
        <f t="shared" si="1"/>
        <v>0</v>
      </c>
      <c r="Q93" s="33"/>
    </row>
    <row r="94" spans="2:17" x14ac:dyDescent="0.25">
      <c r="B94" s="33"/>
      <c r="C94" s="33"/>
      <c r="D94" s="33"/>
      <c r="E94" s="33"/>
      <c r="F94" s="33"/>
      <c r="G94" s="33"/>
      <c r="H94" s="33"/>
      <c r="I94" s="33"/>
      <c r="J94" s="33"/>
      <c r="K94" s="33"/>
      <c r="L94" s="33"/>
      <c r="M94" s="33"/>
      <c r="N94" s="35"/>
      <c r="O94" s="35"/>
      <c r="P94" s="33">
        <f t="shared" si="1"/>
        <v>0</v>
      </c>
      <c r="Q94" s="33"/>
    </row>
    <row r="95" spans="2:17" x14ac:dyDescent="0.25">
      <c r="B95" s="33"/>
      <c r="C95" s="33"/>
      <c r="D95" s="33"/>
      <c r="E95" s="33"/>
      <c r="F95" s="33"/>
      <c r="G95" s="33"/>
      <c r="H95" s="33"/>
      <c r="I95" s="33"/>
      <c r="J95" s="33"/>
      <c r="K95" s="33"/>
      <c r="L95" s="33"/>
      <c r="M95" s="33"/>
      <c r="N95" s="35"/>
      <c r="O95" s="35"/>
      <c r="P95" s="33">
        <f t="shared" si="1"/>
        <v>0</v>
      </c>
      <c r="Q95" s="33"/>
    </row>
    <row r="96" spans="2:17" x14ac:dyDescent="0.25">
      <c r="B96" s="33"/>
      <c r="C96" s="33"/>
      <c r="D96" s="33"/>
      <c r="E96" s="33"/>
      <c r="F96" s="33"/>
      <c r="G96" s="33"/>
      <c r="H96" s="33"/>
      <c r="I96" s="33"/>
      <c r="J96" s="33"/>
      <c r="K96" s="33"/>
      <c r="L96" s="33"/>
      <c r="M96" s="33"/>
      <c r="N96" s="35"/>
      <c r="O96" s="35"/>
      <c r="P96" s="33">
        <f t="shared" si="1"/>
        <v>0</v>
      </c>
      <c r="Q96" s="33"/>
    </row>
    <row r="97" spans="2:17" x14ac:dyDescent="0.25">
      <c r="B97" s="33"/>
      <c r="C97" s="33"/>
      <c r="D97" s="33"/>
      <c r="E97" s="33"/>
      <c r="F97" s="33"/>
      <c r="G97" s="33"/>
      <c r="H97" s="33"/>
      <c r="I97" s="33"/>
      <c r="J97" s="33"/>
      <c r="K97" s="33"/>
      <c r="L97" s="33"/>
      <c r="M97" s="33"/>
      <c r="N97" s="35"/>
      <c r="O97" s="35"/>
      <c r="P97" s="33">
        <f t="shared" si="1"/>
        <v>0</v>
      </c>
      <c r="Q97" s="33"/>
    </row>
    <row r="98" spans="2:17" x14ac:dyDescent="0.25">
      <c r="B98" s="33"/>
      <c r="C98" s="33"/>
      <c r="D98" s="33"/>
      <c r="E98" s="33"/>
      <c r="F98" s="33"/>
      <c r="G98" s="33"/>
      <c r="H98" s="33"/>
      <c r="I98" s="33"/>
      <c r="J98" s="33"/>
      <c r="K98" s="33"/>
      <c r="L98" s="33"/>
      <c r="M98" s="33"/>
      <c r="N98" s="35"/>
      <c r="O98" s="35"/>
      <c r="P98" s="33">
        <f t="shared" si="1"/>
        <v>0</v>
      </c>
      <c r="Q98" s="33"/>
    </row>
    <row r="99" spans="2:17" x14ac:dyDescent="0.25">
      <c r="B99" s="33"/>
      <c r="C99" s="33"/>
      <c r="D99" s="33"/>
      <c r="E99" s="33"/>
      <c r="F99" s="33"/>
      <c r="G99" s="33"/>
      <c r="H99" s="33"/>
      <c r="I99" s="33"/>
      <c r="J99" s="33"/>
      <c r="K99" s="33"/>
      <c r="L99" s="33"/>
      <c r="M99" s="33"/>
      <c r="N99" s="35"/>
      <c r="O99" s="35"/>
      <c r="P99" s="33">
        <f t="shared" si="1"/>
        <v>0</v>
      </c>
      <c r="Q99" s="33"/>
    </row>
    <row r="100" spans="2:17" x14ac:dyDescent="0.25">
      <c r="B100" s="33"/>
      <c r="C100" s="33"/>
      <c r="D100" s="33"/>
      <c r="E100" s="33"/>
      <c r="F100" s="33"/>
      <c r="G100" s="33"/>
      <c r="H100" s="33"/>
      <c r="I100" s="33"/>
      <c r="J100" s="33"/>
      <c r="K100" s="33"/>
      <c r="L100" s="33"/>
      <c r="M100" s="33"/>
      <c r="N100" s="35"/>
      <c r="O100" s="35"/>
      <c r="P100" s="33">
        <f t="shared" si="1"/>
        <v>0</v>
      </c>
      <c r="Q100" s="33"/>
    </row>
    <row r="101" spans="2:17" x14ac:dyDescent="0.25">
      <c r="B101" s="33"/>
      <c r="C101" s="33"/>
      <c r="D101" s="33"/>
      <c r="E101" s="33"/>
      <c r="F101" s="33"/>
      <c r="G101" s="33"/>
      <c r="H101" s="33"/>
      <c r="I101" s="33"/>
      <c r="J101" s="33"/>
      <c r="K101" s="33"/>
      <c r="L101" s="33"/>
      <c r="M101" s="33"/>
      <c r="N101" s="35"/>
      <c r="O101" s="35"/>
      <c r="P101" s="33">
        <f t="shared" si="1"/>
        <v>0</v>
      </c>
      <c r="Q101" s="33"/>
    </row>
    <row r="102" spans="2:17" x14ac:dyDescent="0.25">
      <c r="B102" s="33"/>
      <c r="C102" s="33"/>
      <c r="D102" s="33"/>
      <c r="E102" s="33"/>
      <c r="F102" s="33"/>
      <c r="G102" s="33"/>
      <c r="H102" s="33"/>
      <c r="I102" s="33"/>
      <c r="J102" s="33"/>
      <c r="K102" s="33"/>
      <c r="L102" s="33"/>
      <c r="M102" s="33"/>
      <c r="N102" s="35"/>
      <c r="O102" s="35"/>
      <c r="P102" s="33">
        <f t="shared" si="1"/>
        <v>0</v>
      </c>
      <c r="Q102" s="33"/>
    </row>
    <row r="103" spans="2:17" x14ac:dyDescent="0.25">
      <c r="B103" s="33"/>
      <c r="C103" s="33"/>
      <c r="D103" s="33"/>
      <c r="E103" s="33"/>
      <c r="F103" s="33"/>
      <c r="G103" s="33"/>
      <c r="H103" s="33"/>
      <c r="I103" s="33"/>
      <c r="J103" s="33"/>
      <c r="K103" s="33"/>
      <c r="L103" s="33"/>
      <c r="M103" s="33"/>
      <c r="N103" s="35"/>
      <c r="O103" s="35"/>
      <c r="P103" s="33">
        <f t="shared" si="1"/>
        <v>0</v>
      </c>
      <c r="Q103" s="33"/>
    </row>
    <row r="104" spans="2:17" x14ac:dyDescent="0.25">
      <c r="B104" s="33"/>
      <c r="C104" s="33"/>
      <c r="D104" s="33"/>
      <c r="E104" s="33"/>
      <c r="F104" s="33"/>
      <c r="G104" s="33"/>
      <c r="H104" s="33"/>
      <c r="I104" s="33"/>
      <c r="J104" s="33"/>
      <c r="K104" s="33"/>
      <c r="L104" s="33"/>
      <c r="M104" s="33"/>
      <c r="N104" s="35"/>
      <c r="O104" s="35"/>
      <c r="P104" s="33">
        <f t="shared" si="1"/>
        <v>0</v>
      </c>
      <c r="Q104" s="33"/>
    </row>
    <row r="105" spans="2:17" x14ac:dyDescent="0.25">
      <c r="B105" s="33"/>
      <c r="C105" s="33"/>
      <c r="D105" s="33"/>
      <c r="E105" s="33"/>
      <c r="F105" s="33"/>
      <c r="G105" s="33"/>
      <c r="H105" s="33"/>
      <c r="I105" s="33"/>
      <c r="J105" s="33"/>
      <c r="K105" s="33"/>
      <c r="L105" s="33"/>
      <c r="M105" s="33"/>
      <c r="N105" s="35"/>
      <c r="O105" s="35"/>
      <c r="P105" s="33">
        <f t="shared" si="1"/>
        <v>0</v>
      </c>
      <c r="Q105" s="33"/>
    </row>
    <row r="106" spans="2:17" x14ac:dyDescent="0.25">
      <c r="B106" s="33"/>
      <c r="C106" s="33"/>
      <c r="D106" s="33"/>
      <c r="E106" s="33"/>
      <c r="F106" s="33"/>
      <c r="G106" s="33"/>
      <c r="H106" s="33"/>
      <c r="I106" s="33"/>
      <c r="J106" s="33"/>
      <c r="K106" s="33"/>
      <c r="L106" s="33"/>
      <c r="M106" s="33"/>
      <c r="N106" s="35"/>
      <c r="O106" s="35"/>
      <c r="P106" s="33">
        <f t="shared" si="1"/>
        <v>0</v>
      </c>
      <c r="Q106" s="33"/>
    </row>
    <row r="107" spans="2:17" x14ac:dyDescent="0.25">
      <c r="B107" s="33"/>
      <c r="C107" s="33"/>
      <c r="D107" s="33"/>
      <c r="E107" s="33"/>
      <c r="F107" s="33"/>
      <c r="G107" s="33"/>
      <c r="H107" s="33"/>
      <c r="I107" s="33"/>
      <c r="J107" s="33"/>
      <c r="K107" s="33"/>
      <c r="L107" s="33"/>
      <c r="M107" s="33"/>
      <c r="N107" s="35"/>
      <c r="O107" s="35"/>
      <c r="P107" s="33">
        <f t="shared" si="1"/>
        <v>0</v>
      </c>
      <c r="Q107" s="33"/>
    </row>
    <row r="108" spans="2:17" x14ac:dyDescent="0.25">
      <c r="B108" s="33"/>
      <c r="C108" s="33"/>
      <c r="D108" s="33"/>
      <c r="E108" s="33"/>
      <c r="F108" s="33"/>
      <c r="G108" s="33"/>
      <c r="H108" s="33"/>
      <c r="I108" s="33"/>
      <c r="J108" s="33"/>
      <c r="K108" s="33"/>
      <c r="L108" s="33"/>
      <c r="M108" s="33"/>
      <c r="N108" s="35"/>
      <c r="O108" s="35"/>
      <c r="P108" s="33">
        <f t="shared" si="1"/>
        <v>0</v>
      </c>
      <c r="Q108" s="33"/>
    </row>
    <row r="109" spans="2:17" x14ac:dyDescent="0.25">
      <c r="B109" s="33"/>
      <c r="C109" s="33"/>
      <c r="D109" s="33"/>
      <c r="E109" s="33"/>
      <c r="F109" s="33"/>
      <c r="G109" s="33"/>
      <c r="H109" s="33"/>
      <c r="I109" s="33"/>
      <c r="J109" s="33"/>
      <c r="K109" s="33"/>
      <c r="L109" s="33"/>
      <c r="M109" s="33"/>
      <c r="N109" s="35"/>
      <c r="O109" s="35"/>
      <c r="P109" s="33">
        <f t="shared" si="1"/>
        <v>0</v>
      </c>
      <c r="Q109" s="33"/>
    </row>
    <row r="110" spans="2:17" x14ac:dyDescent="0.25">
      <c r="B110" s="33"/>
      <c r="C110" s="33"/>
      <c r="D110" s="33"/>
      <c r="E110" s="33"/>
      <c r="F110" s="33"/>
      <c r="G110" s="33"/>
      <c r="H110" s="33"/>
      <c r="I110" s="33"/>
      <c r="J110" s="33"/>
      <c r="K110" s="33"/>
      <c r="L110" s="33"/>
      <c r="M110" s="33"/>
      <c r="N110" s="35"/>
      <c r="O110" s="35"/>
      <c r="P110" s="33">
        <f t="shared" si="1"/>
        <v>0</v>
      </c>
      <c r="Q110" s="33"/>
    </row>
    <row r="111" spans="2:17" x14ac:dyDescent="0.25">
      <c r="B111" s="33"/>
      <c r="C111" s="33"/>
      <c r="D111" s="33"/>
      <c r="E111" s="33"/>
      <c r="F111" s="33"/>
      <c r="G111" s="33"/>
      <c r="H111" s="33"/>
      <c r="I111" s="33"/>
      <c r="J111" s="33"/>
      <c r="K111" s="33"/>
      <c r="L111" s="33"/>
      <c r="M111" s="33"/>
      <c r="N111" s="35"/>
      <c r="O111" s="35"/>
      <c r="P111" s="33">
        <f t="shared" si="1"/>
        <v>0</v>
      </c>
      <c r="Q111" s="33"/>
    </row>
    <row r="112" spans="2:17" x14ac:dyDescent="0.25">
      <c r="B112" s="33"/>
      <c r="C112" s="33"/>
      <c r="D112" s="33"/>
      <c r="E112" s="33"/>
      <c r="F112" s="33"/>
      <c r="G112" s="33"/>
      <c r="H112" s="33"/>
      <c r="I112" s="33"/>
      <c r="J112" s="33"/>
      <c r="K112" s="33"/>
      <c r="L112" s="33"/>
      <c r="M112" s="33"/>
      <c r="N112" s="35"/>
      <c r="O112" s="35"/>
      <c r="P112" s="33">
        <f t="shared" si="1"/>
        <v>0</v>
      </c>
      <c r="Q112" s="33"/>
    </row>
    <row r="113" spans="2:17" x14ac:dyDescent="0.25">
      <c r="B113" s="33"/>
      <c r="C113" s="33"/>
      <c r="D113" s="33"/>
      <c r="E113" s="33"/>
      <c r="F113" s="33"/>
      <c r="G113" s="33"/>
      <c r="H113" s="33"/>
      <c r="I113" s="33"/>
      <c r="J113" s="33"/>
      <c r="K113" s="33"/>
      <c r="L113" s="33"/>
      <c r="M113" s="33"/>
      <c r="N113" s="35"/>
      <c r="O113" s="35"/>
      <c r="P113" s="33">
        <f t="shared" si="1"/>
        <v>0</v>
      </c>
      <c r="Q113" s="33"/>
    </row>
    <row r="114" spans="2:17" x14ac:dyDescent="0.25">
      <c r="B114" s="33"/>
      <c r="C114" s="33"/>
      <c r="D114" s="33"/>
      <c r="E114" s="33"/>
      <c r="F114" s="33"/>
      <c r="G114" s="33"/>
      <c r="H114" s="33"/>
      <c r="I114" s="33"/>
      <c r="J114" s="33"/>
      <c r="K114" s="33"/>
      <c r="L114" s="33"/>
      <c r="M114" s="33"/>
      <c r="N114" s="35"/>
      <c r="O114" s="35"/>
      <c r="P114" s="33">
        <f t="shared" si="1"/>
        <v>0</v>
      </c>
      <c r="Q114" s="33"/>
    </row>
    <row r="115" spans="2:17" x14ac:dyDescent="0.25">
      <c r="B115" s="33"/>
      <c r="C115" s="33"/>
      <c r="D115" s="33"/>
      <c r="E115" s="33"/>
      <c r="F115" s="33"/>
      <c r="G115" s="33"/>
      <c r="H115" s="33"/>
      <c r="I115" s="33"/>
      <c r="J115" s="33"/>
      <c r="K115" s="33"/>
      <c r="L115" s="33"/>
      <c r="M115" s="33"/>
      <c r="N115" s="35"/>
      <c r="O115" s="35"/>
      <c r="P115" s="33">
        <f t="shared" si="1"/>
        <v>0</v>
      </c>
      <c r="Q115" s="33"/>
    </row>
    <row r="116" spans="2:17" x14ac:dyDescent="0.25">
      <c r="B116" s="33"/>
      <c r="C116" s="33"/>
      <c r="D116" s="33"/>
      <c r="E116" s="33"/>
      <c r="F116" s="33"/>
      <c r="G116" s="33"/>
      <c r="H116" s="33"/>
      <c r="I116" s="33"/>
      <c r="J116" s="33"/>
      <c r="K116" s="33"/>
      <c r="L116" s="33"/>
      <c r="M116" s="33"/>
      <c r="N116" s="35"/>
      <c r="O116" s="35"/>
      <c r="P116" s="33">
        <f t="shared" si="1"/>
        <v>0</v>
      </c>
      <c r="Q116" s="33"/>
    </row>
    <row r="117" spans="2:17" x14ac:dyDescent="0.25">
      <c r="B117" s="33"/>
      <c r="C117" s="33"/>
      <c r="D117" s="33"/>
      <c r="E117" s="33"/>
      <c r="F117" s="33"/>
      <c r="G117" s="33"/>
      <c r="H117" s="33"/>
      <c r="I117" s="33"/>
      <c r="J117" s="33"/>
      <c r="K117" s="33"/>
      <c r="L117" s="33"/>
      <c r="M117" s="33"/>
      <c r="N117" s="35"/>
      <c r="O117" s="35"/>
      <c r="P117" s="33">
        <f t="shared" si="1"/>
        <v>0</v>
      </c>
      <c r="Q117" s="33"/>
    </row>
    <row r="118" spans="2:17" x14ac:dyDescent="0.25">
      <c r="B118" s="33"/>
      <c r="C118" s="33"/>
      <c r="D118" s="33"/>
      <c r="E118" s="33"/>
      <c r="F118" s="33"/>
      <c r="G118" s="33"/>
      <c r="H118" s="33"/>
      <c r="I118" s="33"/>
      <c r="J118" s="33"/>
      <c r="K118" s="33"/>
      <c r="L118" s="33"/>
      <c r="M118" s="33"/>
      <c r="N118" s="35"/>
      <c r="O118" s="35"/>
      <c r="P118" s="33">
        <f t="shared" si="1"/>
        <v>0</v>
      </c>
      <c r="Q118" s="33"/>
    </row>
    <row r="119" spans="2:17" x14ac:dyDescent="0.25">
      <c r="B119" s="33"/>
      <c r="C119" s="33"/>
      <c r="D119" s="33"/>
      <c r="E119" s="33"/>
      <c r="F119" s="33"/>
      <c r="G119" s="33"/>
      <c r="H119" s="33"/>
      <c r="I119" s="33"/>
      <c r="J119" s="33"/>
      <c r="K119" s="33"/>
      <c r="L119" s="33"/>
      <c r="M119" s="33"/>
      <c r="N119" s="35"/>
      <c r="O119" s="35"/>
      <c r="P119" s="33">
        <f t="shared" si="1"/>
        <v>0</v>
      </c>
      <c r="Q119" s="33"/>
    </row>
    <row r="120" spans="2:17" x14ac:dyDescent="0.25">
      <c r="B120" s="33"/>
      <c r="C120" s="33"/>
      <c r="D120" s="33"/>
      <c r="E120" s="33"/>
      <c r="F120" s="33"/>
      <c r="G120" s="33"/>
      <c r="H120" s="33"/>
      <c r="I120" s="33"/>
      <c r="J120" s="33"/>
      <c r="K120" s="33"/>
      <c r="L120" s="33"/>
      <c r="M120" s="33"/>
      <c r="N120" s="35"/>
      <c r="O120" s="35"/>
      <c r="P120" s="33">
        <f t="shared" si="1"/>
        <v>0</v>
      </c>
      <c r="Q120" s="33"/>
    </row>
    <row r="121" spans="2:17" x14ac:dyDescent="0.25">
      <c r="B121" s="33"/>
      <c r="C121" s="33"/>
      <c r="D121" s="33"/>
      <c r="E121" s="33"/>
      <c r="F121" s="33"/>
      <c r="G121" s="33"/>
      <c r="H121" s="33"/>
      <c r="I121" s="33"/>
      <c r="J121" s="33"/>
      <c r="K121" s="33"/>
      <c r="L121" s="33"/>
      <c r="M121" s="33"/>
      <c r="N121" s="35"/>
      <c r="O121" s="35"/>
      <c r="P121" s="33">
        <f t="shared" si="1"/>
        <v>0</v>
      </c>
      <c r="Q121" s="33"/>
    </row>
    <row r="122" spans="2:17" x14ac:dyDescent="0.25">
      <c r="B122" s="33"/>
      <c r="C122" s="33"/>
      <c r="D122" s="33"/>
      <c r="E122" s="33"/>
      <c r="F122" s="33"/>
      <c r="G122" s="33"/>
      <c r="H122" s="33"/>
      <c r="I122" s="33"/>
      <c r="J122" s="33"/>
      <c r="K122" s="33"/>
      <c r="L122" s="33"/>
      <c r="M122" s="33"/>
      <c r="N122" s="35"/>
      <c r="O122" s="35"/>
      <c r="P122" s="33">
        <f t="shared" si="1"/>
        <v>0</v>
      </c>
      <c r="Q122" s="33"/>
    </row>
    <row r="123" spans="2:17" x14ac:dyDescent="0.25">
      <c r="B123" s="33"/>
      <c r="C123" s="33"/>
      <c r="D123" s="33"/>
      <c r="E123" s="33"/>
      <c r="F123" s="33"/>
      <c r="G123" s="33"/>
      <c r="H123" s="33"/>
      <c r="I123" s="33"/>
      <c r="J123" s="33"/>
      <c r="K123" s="33"/>
      <c r="L123" s="33"/>
      <c r="M123" s="33"/>
      <c r="N123" s="35"/>
      <c r="O123" s="35"/>
      <c r="P123" s="33">
        <f t="shared" si="1"/>
        <v>0</v>
      </c>
      <c r="Q123" s="33"/>
    </row>
    <row r="124" spans="2:17" x14ac:dyDescent="0.25">
      <c r="B124" s="33"/>
      <c r="C124" s="33"/>
      <c r="D124" s="33"/>
      <c r="E124" s="33"/>
      <c r="F124" s="33"/>
      <c r="G124" s="33"/>
      <c r="H124" s="33"/>
      <c r="I124" s="33"/>
      <c r="J124" s="33"/>
      <c r="K124" s="33"/>
      <c r="L124" s="33"/>
      <c r="M124" s="33"/>
      <c r="N124" s="35"/>
      <c r="O124" s="35"/>
      <c r="P124" s="33">
        <f t="shared" si="1"/>
        <v>0</v>
      </c>
      <c r="Q124" s="33"/>
    </row>
    <row r="125" spans="2:17" x14ac:dyDescent="0.25">
      <c r="B125" s="33"/>
      <c r="C125" s="33"/>
      <c r="D125" s="33"/>
      <c r="E125" s="33"/>
      <c r="F125" s="33"/>
      <c r="G125" s="33"/>
      <c r="H125" s="33"/>
      <c r="I125" s="33"/>
      <c r="J125" s="33"/>
      <c r="K125" s="33"/>
      <c r="L125" s="33"/>
      <c r="M125" s="33"/>
      <c r="N125" s="35"/>
      <c r="O125" s="35"/>
      <c r="P125" s="33">
        <f t="shared" si="1"/>
        <v>0</v>
      </c>
      <c r="Q125" s="33"/>
    </row>
    <row r="126" spans="2:17" x14ac:dyDescent="0.25">
      <c r="B126" s="33"/>
      <c r="C126" s="33"/>
      <c r="D126" s="33"/>
      <c r="E126" s="33"/>
      <c r="F126" s="33"/>
      <c r="G126" s="33"/>
      <c r="H126" s="33"/>
      <c r="I126" s="33"/>
      <c r="J126" s="33"/>
      <c r="K126" s="33"/>
      <c r="L126" s="33"/>
      <c r="M126" s="33"/>
      <c r="N126" s="35"/>
      <c r="O126" s="35"/>
      <c r="P126" s="33">
        <f t="shared" si="1"/>
        <v>0</v>
      </c>
      <c r="Q126" s="33"/>
    </row>
    <row r="127" spans="2:17" x14ac:dyDescent="0.25">
      <c r="B127" s="33"/>
      <c r="C127" s="33"/>
      <c r="D127" s="33"/>
      <c r="E127" s="33"/>
      <c r="F127" s="33"/>
      <c r="G127" s="33"/>
      <c r="H127" s="33"/>
      <c r="I127" s="33"/>
      <c r="J127" s="33"/>
      <c r="K127" s="33"/>
      <c r="L127" s="33"/>
      <c r="M127" s="33"/>
      <c r="N127" s="35"/>
      <c r="O127" s="35"/>
      <c r="P127" s="33">
        <f t="shared" si="1"/>
        <v>0</v>
      </c>
      <c r="Q127" s="33"/>
    </row>
    <row r="128" spans="2:17" x14ac:dyDescent="0.25">
      <c r="B128" s="33"/>
      <c r="C128" s="33"/>
      <c r="D128" s="33"/>
      <c r="E128" s="33"/>
      <c r="F128" s="33"/>
      <c r="G128" s="33"/>
      <c r="H128" s="33"/>
      <c r="I128" s="33"/>
      <c r="J128" s="33"/>
      <c r="K128" s="33"/>
      <c r="L128" s="33"/>
      <c r="M128" s="33"/>
      <c r="N128" s="35"/>
      <c r="O128" s="35"/>
      <c r="P128" s="33">
        <f t="shared" si="1"/>
        <v>0</v>
      </c>
      <c r="Q128" s="33"/>
    </row>
    <row r="129" spans="2:17" x14ac:dyDescent="0.25">
      <c r="B129" s="33"/>
      <c r="C129" s="33"/>
      <c r="D129" s="33"/>
      <c r="E129" s="33"/>
      <c r="F129" s="33"/>
      <c r="G129" s="33"/>
      <c r="H129" s="33"/>
      <c r="I129" s="33"/>
      <c r="J129" s="33"/>
      <c r="K129" s="33"/>
      <c r="L129" s="33"/>
      <c r="M129" s="33"/>
      <c r="N129" s="35"/>
      <c r="O129" s="35"/>
      <c r="P129" s="33">
        <f t="shared" si="1"/>
        <v>0</v>
      </c>
      <c r="Q129" s="33"/>
    </row>
    <row r="130" spans="2:17" x14ac:dyDescent="0.25">
      <c r="B130" s="33"/>
      <c r="C130" s="33"/>
      <c r="D130" s="33"/>
      <c r="E130" s="33"/>
      <c r="F130" s="33"/>
      <c r="G130" s="33"/>
      <c r="H130" s="33"/>
      <c r="I130" s="33"/>
      <c r="J130" s="33"/>
      <c r="K130" s="33"/>
      <c r="L130" s="33"/>
      <c r="M130" s="33"/>
      <c r="N130" s="35"/>
      <c r="O130" s="35"/>
      <c r="P130" s="33">
        <f t="shared" si="1"/>
        <v>0</v>
      </c>
      <c r="Q130" s="33"/>
    </row>
    <row r="131" spans="2:17" x14ac:dyDescent="0.25">
      <c r="B131" s="33"/>
      <c r="C131" s="33"/>
      <c r="D131" s="33"/>
      <c r="E131" s="33"/>
      <c r="F131" s="33"/>
      <c r="G131" s="33"/>
      <c r="H131" s="33"/>
      <c r="I131" s="33"/>
      <c r="J131" s="33"/>
      <c r="K131" s="33"/>
      <c r="L131" s="33"/>
      <c r="M131" s="33"/>
      <c r="N131" s="35"/>
      <c r="O131" s="35"/>
      <c r="P131" s="33">
        <f t="shared" si="1"/>
        <v>0</v>
      </c>
      <c r="Q131" s="33"/>
    </row>
    <row r="132" spans="2:17" x14ac:dyDescent="0.25">
      <c r="B132" s="33"/>
      <c r="C132" s="33"/>
      <c r="D132" s="33"/>
      <c r="E132" s="33"/>
      <c r="F132" s="33"/>
      <c r="G132" s="33"/>
      <c r="H132" s="33"/>
      <c r="I132" s="33"/>
      <c r="J132" s="33"/>
      <c r="K132" s="33"/>
      <c r="L132" s="33"/>
      <c r="M132" s="33"/>
      <c r="N132" s="35"/>
      <c r="O132" s="35"/>
      <c r="P132" s="33">
        <f t="shared" si="1"/>
        <v>0</v>
      </c>
      <c r="Q132" s="33"/>
    </row>
    <row r="133" spans="2:17" x14ac:dyDescent="0.25">
      <c r="B133" s="33"/>
      <c r="C133" s="33"/>
      <c r="D133" s="33"/>
      <c r="E133" s="33"/>
      <c r="F133" s="33"/>
      <c r="G133" s="33"/>
      <c r="H133" s="33"/>
      <c r="I133" s="33"/>
      <c r="J133" s="33"/>
      <c r="K133" s="33"/>
      <c r="L133" s="33"/>
      <c r="M133" s="33"/>
      <c r="N133" s="35"/>
      <c r="O133" s="35"/>
      <c r="P133" s="33">
        <f t="shared" si="1"/>
        <v>0</v>
      </c>
      <c r="Q133" s="33"/>
    </row>
    <row r="134" spans="2:17" x14ac:dyDescent="0.25">
      <c r="B134" s="33"/>
      <c r="C134" s="33"/>
      <c r="D134" s="33"/>
      <c r="E134" s="33"/>
      <c r="F134" s="33"/>
      <c r="G134" s="33"/>
      <c r="H134" s="33"/>
      <c r="I134" s="33"/>
      <c r="J134" s="33"/>
      <c r="K134" s="33"/>
      <c r="L134" s="33"/>
      <c r="M134" s="33"/>
      <c r="N134" s="35"/>
      <c r="O134" s="35"/>
      <c r="P134" s="33">
        <f t="shared" si="1"/>
        <v>0</v>
      </c>
      <c r="Q134" s="33"/>
    </row>
    <row r="135" spans="2:17" x14ac:dyDescent="0.25">
      <c r="B135" s="33"/>
      <c r="C135" s="33"/>
      <c r="D135" s="33"/>
      <c r="E135" s="33"/>
      <c r="F135" s="33"/>
      <c r="G135" s="33"/>
      <c r="H135" s="33"/>
      <c r="I135" s="33"/>
      <c r="J135" s="33"/>
      <c r="K135" s="33"/>
      <c r="L135" s="33"/>
      <c r="M135" s="33"/>
      <c r="N135" s="35"/>
      <c r="O135" s="35"/>
      <c r="P135" s="33">
        <f t="shared" si="1"/>
        <v>0</v>
      </c>
      <c r="Q135" s="33"/>
    </row>
    <row r="136" spans="2:17" x14ac:dyDescent="0.25">
      <c r="B136" s="33"/>
      <c r="C136" s="33"/>
      <c r="D136" s="33"/>
      <c r="E136" s="33"/>
      <c r="F136" s="33"/>
      <c r="G136" s="33"/>
      <c r="H136" s="33"/>
      <c r="I136" s="33"/>
      <c r="J136" s="33"/>
      <c r="K136" s="33"/>
      <c r="L136" s="33"/>
      <c r="M136" s="33"/>
      <c r="N136" s="35"/>
      <c r="O136" s="35"/>
      <c r="P136" s="33">
        <f t="shared" si="1"/>
        <v>0</v>
      </c>
      <c r="Q136" s="33"/>
    </row>
    <row r="137" spans="2:17" x14ac:dyDescent="0.25">
      <c r="B137" s="33"/>
      <c r="C137" s="33"/>
      <c r="D137" s="33"/>
      <c r="E137" s="33"/>
      <c r="F137" s="33"/>
      <c r="G137" s="33"/>
      <c r="H137" s="33"/>
      <c r="I137" s="33"/>
      <c r="J137" s="33"/>
      <c r="K137" s="33"/>
      <c r="L137" s="33"/>
      <c r="M137" s="33"/>
      <c r="N137" s="35"/>
      <c r="O137" s="35"/>
      <c r="P137" s="33">
        <f t="shared" si="1"/>
        <v>0</v>
      </c>
      <c r="Q137" s="33"/>
    </row>
    <row r="138" spans="2:17" x14ac:dyDescent="0.25">
      <c r="B138" s="33"/>
      <c r="C138" s="33"/>
      <c r="D138" s="33"/>
      <c r="E138" s="33"/>
      <c r="F138" s="33"/>
      <c r="G138" s="33"/>
      <c r="H138" s="33"/>
      <c r="I138" s="33"/>
      <c r="J138" s="33"/>
      <c r="K138" s="33"/>
      <c r="L138" s="33"/>
      <c r="M138" s="33"/>
      <c r="N138" s="35"/>
      <c r="O138" s="35"/>
      <c r="P138" s="33">
        <f t="shared" si="1"/>
        <v>0</v>
      </c>
      <c r="Q138" s="33"/>
    </row>
    <row r="139" spans="2:17" x14ac:dyDescent="0.25">
      <c r="B139" s="33"/>
      <c r="C139" s="33"/>
      <c r="D139" s="33"/>
      <c r="E139" s="33"/>
      <c r="F139" s="33"/>
      <c r="G139" s="33"/>
      <c r="H139" s="33"/>
      <c r="I139" s="33"/>
      <c r="J139" s="33"/>
      <c r="K139" s="33"/>
      <c r="L139" s="33"/>
      <c r="M139" s="33"/>
      <c r="N139" s="35"/>
      <c r="O139" s="35"/>
      <c r="P139" s="33">
        <f t="shared" si="1"/>
        <v>0</v>
      </c>
      <c r="Q139" s="33"/>
    </row>
    <row r="140" spans="2:17" x14ac:dyDescent="0.25">
      <c r="B140" s="33"/>
      <c r="C140" s="33"/>
      <c r="D140" s="33"/>
      <c r="E140" s="33"/>
      <c r="F140" s="33"/>
      <c r="G140" s="33"/>
      <c r="H140" s="33"/>
      <c r="I140" s="33"/>
      <c r="J140" s="33"/>
      <c r="K140" s="33"/>
      <c r="L140" s="33"/>
      <c r="M140" s="33"/>
      <c r="N140" s="35"/>
      <c r="O140" s="35"/>
      <c r="P140" s="33">
        <f t="shared" si="1"/>
        <v>0</v>
      </c>
      <c r="Q140" s="33"/>
    </row>
    <row r="141" spans="2:17" x14ac:dyDescent="0.25">
      <c r="B141" s="33"/>
      <c r="C141" s="33"/>
      <c r="D141" s="33"/>
      <c r="E141" s="33"/>
      <c r="F141" s="33"/>
      <c r="G141" s="33"/>
      <c r="H141" s="33"/>
      <c r="I141" s="33"/>
      <c r="J141" s="33"/>
      <c r="K141" s="33"/>
      <c r="L141" s="33"/>
      <c r="M141" s="33"/>
      <c r="N141" s="35"/>
      <c r="O141" s="35"/>
      <c r="P141" s="33">
        <f t="shared" si="1"/>
        <v>0</v>
      </c>
      <c r="Q141" s="33"/>
    </row>
    <row r="142" spans="2:17" x14ac:dyDescent="0.25">
      <c r="B142" s="33"/>
      <c r="C142" s="33"/>
      <c r="D142" s="33"/>
      <c r="E142" s="33"/>
      <c r="F142" s="33"/>
      <c r="G142" s="33"/>
      <c r="H142" s="33"/>
      <c r="I142" s="33"/>
      <c r="J142" s="33"/>
      <c r="K142" s="33"/>
      <c r="L142" s="33"/>
      <c r="M142" s="33"/>
      <c r="N142" s="35"/>
      <c r="O142" s="35"/>
      <c r="P142" s="33">
        <f t="shared" si="1"/>
        <v>0</v>
      </c>
      <c r="Q142" s="33"/>
    </row>
    <row r="143" spans="2:17" x14ac:dyDescent="0.25">
      <c r="B143" s="33"/>
      <c r="C143" s="33"/>
      <c r="D143" s="33"/>
      <c r="E143" s="33"/>
      <c r="F143" s="33"/>
      <c r="G143" s="33"/>
      <c r="H143" s="33"/>
      <c r="I143" s="33"/>
      <c r="J143" s="33"/>
      <c r="K143" s="33"/>
      <c r="L143" s="33"/>
      <c r="M143" s="33"/>
      <c r="N143" s="35"/>
      <c r="O143" s="35"/>
      <c r="P143" s="33">
        <f t="shared" si="1"/>
        <v>0</v>
      </c>
      <c r="Q143" s="33"/>
    </row>
    <row r="144" spans="2:17" x14ac:dyDescent="0.25">
      <c r="B144" s="33"/>
      <c r="C144" s="33"/>
      <c r="D144" s="33"/>
      <c r="E144" s="33"/>
      <c r="F144" s="33"/>
      <c r="G144" s="33"/>
      <c r="H144" s="33"/>
      <c r="I144" s="33"/>
      <c r="J144" s="33"/>
      <c r="K144" s="33"/>
      <c r="L144" s="33"/>
      <c r="M144" s="33"/>
      <c r="N144" s="35"/>
      <c r="O144" s="35"/>
      <c r="P144" s="33">
        <f t="shared" si="1"/>
        <v>0</v>
      </c>
      <c r="Q144" s="33"/>
    </row>
    <row r="145" spans="2:17" x14ac:dyDescent="0.25">
      <c r="B145" s="33"/>
      <c r="C145" s="33"/>
      <c r="D145" s="33"/>
      <c r="E145" s="33"/>
      <c r="F145" s="33"/>
      <c r="G145" s="33"/>
      <c r="H145" s="33"/>
      <c r="I145" s="33"/>
      <c r="J145" s="33"/>
      <c r="K145" s="33"/>
      <c r="L145" s="33"/>
      <c r="M145" s="33"/>
      <c r="N145" s="35"/>
      <c r="O145" s="35"/>
      <c r="P145" s="33">
        <f t="shared" si="1"/>
        <v>0</v>
      </c>
      <c r="Q145" s="33"/>
    </row>
    <row r="146" spans="2:17" x14ac:dyDescent="0.25">
      <c r="B146" s="33"/>
      <c r="C146" s="33"/>
      <c r="D146" s="33"/>
      <c r="E146" s="33"/>
      <c r="F146" s="33"/>
      <c r="G146" s="33"/>
      <c r="H146" s="33"/>
      <c r="I146" s="33"/>
      <c r="J146" s="33"/>
      <c r="K146" s="33"/>
      <c r="L146" s="33"/>
      <c r="M146" s="33"/>
      <c r="N146" s="35"/>
      <c r="O146" s="35"/>
      <c r="P146" s="33">
        <f t="shared" si="1"/>
        <v>0</v>
      </c>
      <c r="Q146" s="33"/>
    </row>
    <row r="147" spans="2:17" x14ac:dyDescent="0.25">
      <c r="B147" s="33"/>
      <c r="C147" s="33"/>
      <c r="D147" s="33"/>
      <c r="E147" s="33"/>
      <c r="F147" s="33"/>
      <c r="G147" s="33"/>
      <c r="H147" s="33"/>
      <c r="I147" s="33"/>
      <c r="J147" s="33"/>
      <c r="K147" s="33"/>
      <c r="L147" s="33"/>
      <c r="M147" s="33"/>
      <c r="N147" s="35"/>
      <c r="O147" s="35"/>
      <c r="P147" s="33">
        <f t="shared" si="1"/>
        <v>0</v>
      </c>
      <c r="Q147" s="33"/>
    </row>
    <row r="148" spans="2:17" x14ac:dyDescent="0.25">
      <c r="B148" s="33"/>
      <c r="C148" s="33"/>
      <c r="D148" s="33"/>
      <c r="E148" s="33"/>
      <c r="F148" s="33"/>
      <c r="G148" s="33"/>
      <c r="H148" s="33"/>
      <c r="I148" s="33"/>
      <c r="J148" s="33"/>
      <c r="K148" s="33"/>
      <c r="L148" s="33"/>
      <c r="M148" s="33"/>
      <c r="N148" s="35"/>
      <c r="O148" s="35"/>
      <c r="P148" s="33">
        <f t="shared" si="1"/>
        <v>0</v>
      </c>
      <c r="Q148" s="33"/>
    </row>
    <row r="149" spans="2:17" x14ac:dyDescent="0.25">
      <c r="B149" s="33"/>
      <c r="C149" s="33"/>
      <c r="D149" s="33"/>
      <c r="E149" s="33"/>
      <c r="F149" s="33"/>
      <c r="G149" s="33"/>
      <c r="H149" s="33"/>
      <c r="I149" s="33"/>
      <c r="J149" s="33"/>
      <c r="K149" s="33"/>
      <c r="L149" s="33"/>
      <c r="M149" s="33"/>
      <c r="N149" s="35"/>
      <c r="O149" s="35"/>
      <c r="P149" s="33">
        <f t="shared" si="1"/>
        <v>0</v>
      </c>
      <c r="Q149" s="33"/>
    </row>
    <row r="150" spans="2:17" x14ac:dyDescent="0.25">
      <c r="B150" s="33"/>
      <c r="C150" s="33"/>
      <c r="D150" s="33"/>
      <c r="E150" s="33"/>
      <c r="F150" s="33"/>
      <c r="G150" s="33"/>
      <c r="H150" s="33"/>
      <c r="I150" s="33"/>
      <c r="J150" s="33"/>
      <c r="K150" s="33"/>
      <c r="L150" s="33"/>
      <c r="M150" s="33"/>
      <c r="N150" s="35"/>
      <c r="O150" s="35"/>
      <c r="P150" s="33">
        <f t="shared" si="1"/>
        <v>0</v>
      </c>
      <c r="Q150" s="33"/>
    </row>
    <row r="151" spans="2:17" x14ac:dyDescent="0.25">
      <c r="B151" s="33"/>
      <c r="C151" s="33"/>
      <c r="D151" s="33"/>
      <c r="E151" s="33"/>
      <c r="F151" s="33"/>
      <c r="G151" s="33"/>
      <c r="H151" s="33"/>
      <c r="I151" s="33"/>
      <c r="J151" s="33"/>
      <c r="K151" s="33"/>
      <c r="L151" s="33"/>
      <c r="M151" s="33"/>
      <c r="N151" s="35"/>
      <c r="O151" s="35"/>
      <c r="P151" s="33">
        <f t="shared" si="1"/>
        <v>0</v>
      </c>
      <c r="Q151" s="33"/>
    </row>
    <row r="152" spans="2:17" x14ac:dyDescent="0.25">
      <c r="B152" s="33"/>
      <c r="C152" s="33"/>
      <c r="D152" s="33"/>
      <c r="E152" s="33"/>
      <c r="F152" s="33"/>
      <c r="G152" s="33"/>
      <c r="H152" s="33"/>
      <c r="I152" s="33"/>
      <c r="J152" s="33"/>
      <c r="K152" s="33"/>
      <c r="L152" s="33"/>
      <c r="M152" s="33"/>
      <c r="N152" s="35"/>
      <c r="O152" s="35"/>
      <c r="P152" s="33">
        <f t="shared" ref="P152:P210" si="2">O152-N152</f>
        <v>0</v>
      </c>
      <c r="Q152" s="33"/>
    </row>
    <row r="153" spans="2:17" x14ac:dyDescent="0.25">
      <c r="B153" s="33"/>
      <c r="C153" s="33"/>
      <c r="D153" s="33"/>
      <c r="E153" s="33"/>
      <c r="F153" s="33"/>
      <c r="G153" s="33"/>
      <c r="H153" s="33"/>
      <c r="I153" s="33"/>
      <c r="J153" s="33"/>
      <c r="K153" s="33"/>
      <c r="L153" s="33"/>
      <c r="M153" s="33"/>
      <c r="N153" s="35"/>
      <c r="O153" s="35"/>
      <c r="P153" s="33">
        <f t="shared" si="2"/>
        <v>0</v>
      </c>
      <c r="Q153" s="33"/>
    </row>
    <row r="154" spans="2:17" x14ac:dyDescent="0.25">
      <c r="B154" s="33"/>
      <c r="C154" s="33"/>
      <c r="D154" s="33"/>
      <c r="E154" s="33"/>
      <c r="F154" s="33"/>
      <c r="G154" s="33"/>
      <c r="H154" s="33"/>
      <c r="I154" s="33"/>
      <c r="J154" s="33"/>
      <c r="K154" s="33"/>
      <c r="L154" s="33"/>
      <c r="M154" s="33"/>
      <c r="N154" s="35"/>
      <c r="O154" s="35"/>
      <c r="P154" s="33">
        <f t="shared" si="2"/>
        <v>0</v>
      </c>
      <c r="Q154" s="33"/>
    </row>
    <row r="155" spans="2:17" x14ac:dyDescent="0.25">
      <c r="B155" s="33"/>
      <c r="C155" s="33"/>
      <c r="D155" s="33"/>
      <c r="E155" s="33"/>
      <c r="F155" s="33"/>
      <c r="G155" s="33"/>
      <c r="H155" s="33"/>
      <c r="I155" s="33"/>
      <c r="J155" s="33"/>
      <c r="K155" s="33"/>
      <c r="L155" s="33"/>
      <c r="M155" s="33"/>
      <c r="N155" s="35"/>
      <c r="O155" s="35"/>
      <c r="P155" s="33">
        <f t="shared" si="2"/>
        <v>0</v>
      </c>
      <c r="Q155" s="33"/>
    </row>
    <row r="156" spans="2:17" x14ac:dyDescent="0.25">
      <c r="B156" s="33"/>
      <c r="C156" s="33"/>
      <c r="D156" s="33"/>
      <c r="E156" s="33"/>
      <c r="F156" s="33"/>
      <c r="G156" s="33"/>
      <c r="H156" s="33"/>
      <c r="I156" s="33"/>
      <c r="J156" s="33"/>
      <c r="K156" s="33"/>
      <c r="L156" s="33"/>
      <c r="M156" s="33"/>
      <c r="N156" s="35"/>
      <c r="O156" s="35"/>
      <c r="P156" s="33">
        <f t="shared" si="2"/>
        <v>0</v>
      </c>
      <c r="Q156" s="33"/>
    </row>
    <row r="157" spans="2:17" x14ac:dyDescent="0.25">
      <c r="B157" s="33"/>
      <c r="C157" s="33"/>
      <c r="D157" s="33"/>
      <c r="E157" s="33"/>
      <c r="F157" s="33"/>
      <c r="G157" s="33"/>
      <c r="H157" s="33"/>
      <c r="I157" s="33"/>
      <c r="J157" s="33"/>
      <c r="K157" s="33"/>
      <c r="L157" s="33"/>
      <c r="M157" s="33"/>
      <c r="N157" s="35"/>
      <c r="O157" s="35"/>
      <c r="P157" s="33">
        <f t="shared" si="2"/>
        <v>0</v>
      </c>
      <c r="Q157" s="33"/>
    </row>
    <row r="158" spans="2:17" x14ac:dyDescent="0.25">
      <c r="B158" s="33"/>
      <c r="C158" s="33"/>
      <c r="D158" s="33"/>
      <c r="E158" s="33"/>
      <c r="F158" s="33"/>
      <c r="G158" s="33"/>
      <c r="H158" s="33"/>
      <c r="I158" s="33"/>
      <c r="J158" s="33"/>
      <c r="K158" s="33"/>
      <c r="L158" s="33"/>
      <c r="M158" s="33"/>
      <c r="N158" s="35"/>
      <c r="O158" s="35"/>
      <c r="P158" s="33">
        <f t="shared" si="2"/>
        <v>0</v>
      </c>
      <c r="Q158" s="33"/>
    </row>
    <row r="159" spans="2:17" x14ac:dyDescent="0.25">
      <c r="B159" s="33"/>
      <c r="C159" s="33"/>
      <c r="D159" s="33"/>
      <c r="E159" s="33"/>
      <c r="F159" s="33"/>
      <c r="G159" s="33"/>
      <c r="H159" s="33"/>
      <c r="I159" s="33"/>
      <c r="J159" s="33"/>
      <c r="K159" s="33"/>
      <c r="L159" s="33"/>
      <c r="M159" s="33"/>
      <c r="N159" s="35"/>
      <c r="O159" s="35"/>
      <c r="P159" s="33">
        <f t="shared" si="2"/>
        <v>0</v>
      </c>
      <c r="Q159" s="33"/>
    </row>
    <row r="160" spans="2:17" x14ac:dyDescent="0.25">
      <c r="B160" s="33"/>
      <c r="C160" s="33"/>
      <c r="D160" s="33"/>
      <c r="E160" s="33"/>
      <c r="F160" s="33"/>
      <c r="G160" s="33"/>
      <c r="H160" s="33"/>
      <c r="I160" s="33"/>
      <c r="J160" s="33"/>
      <c r="K160" s="33"/>
      <c r="L160" s="33"/>
      <c r="M160" s="33"/>
      <c r="N160" s="35"/>
      <c r="O160" s="35"/>
      <c r="P160" s="33">
        <f t="shared" si="2"/>
        <v>0</v>
      </c>
      <c r="Q160" s="33"/>
    </row>
    <row r="161" spans="2:17" x14ac:dyDescent="0.25">
      <c r="B161" s="33"/>
      <c r="C161" s="33"/>
      <c r="D161" s="33"/>
      <c r="E161" s="33"/>
      <c r="F161" s="33"/>
      <c r="G161" s="33"/>
      <c r="H161" s="33"/>
      <c r="I161" s="33"/>
      <c r="J161" s="33"/>
      <c r="K161" s="33"/>
      <c r="L161" s="33"/>
      <c r="M161" s="33"/>
      <c r="N161" s="35"/>
      <c r="O161" s="35"/>
      <c r="P161" s="33">
        <f t="shared" si="2"/>
        <v>0</v>
      </c>
      <c r="Q161" s="33"/>
    </row>
    <row r="162" spans="2:17" x14ac:dyDescent="0.25">
      <c r="B162" s="33"/>
      <c r="C162" s="33"/>
      <c r="D162" s="33"/>
      <c r="E162" s="33"/>
      <c r="F162" s="33"/>
      <c r="G162" s="33"/>
      <c r="H162" s="33"/>
      <c r="I162" s="33"/>
      <c r="J162" s="33"/>
      <c r="K162" s="33"/>
      <c r="L162" s="33"/>
      <c r="M162" s="33"/>
      <c r="N162" s="35"/>
      <c r="O162" s="35"/>
      <c r="P162" s="33">
        <f t="shared" si="2"/>
        <v>0</v>
      </c>
      <c r="Q162" s="33"/>
    </row>
    <row r="163" spans="2:17" x14ac:dyDescent="0.25">
      <c r="B163" s="33"/>
      <c r="C163" s="33"/>
      <c r="D163" s="33"/>
      <c r="E163" s="33"/>
      <c r="F163" s="33"/>
      <c r="G163" s="33"/>
      <c r="H163" s="33"/>
      <c r="I163" s="33"/>
      <c r="J163" s="33"/>
      <c r="K163" s="33"/>
      <c r="L163" s="33"/>
      <c r="M163" s="33"/>
      <c r="N163" s="35"/>
      <c r="O163" s="35"/>
      <c r="P163" s="33">
        <f t="shared" si="2"/>
        <v>0</v>
      </c>
      <c r="Q163" s="33"/>
    </row>
    <row r="164" spans="2:17" x14ac:dyDescent="0.25">
      <c r="B164" s="33"/>
      <c r="C164" s="33"/>
      <c r="D164" s="33"/>
      <c r="E164" s="33"/>
      <c r="F164" s="33"/>
      <c r="G164" s="33"/>
      <c r="H164" s="33"/>
      <c r="I164" s="33"/>
      <c r="J164" s="33"/>
      <c r="K164" s="33"/>
      <c r="L164" s="33"/>
      <c r="M164" s="33"/>
      <c r="N164" s="35"/>
      <c r="O164" s="35"/>
      <c r="P164" s="33">
        <f t="shared" si="2"/>
        <v>0</v>
      </c>
      <c r="Q164" s="33"/>
    </row>
    <row r="165" spans="2:17" x14ac:dyDescent="0.25">
      <c r="B165" s="33"/>
      <c r="C165" s="33"/>
      <c r="D165" s="33"/>
      <c r="E165" s="33"/>
      <c r="F165" s="33"/>
      <c r="G165" s="33"/>
      <c r="H165" s="33"/>
      <c r="I165" s="33"/>
      <c r="J165" s="33"/>
      <c r="K165" s="33"/>
      <c r="L165" s="33"/>
      <c r="M165" s="33"/>
      <c r="N165" s="35"/>
      <c r="O165" s="35"/>
      <c r="P165" s="33">
        <f t="shared" si="2"/>
        <v>0</v>
      </c>
      <c r="Q165" s="33"/>
    </row>
    <row r="166" spans="2:17" x14ac:dyDescent="0.25">
      <c r="B166" s="33"/>
      <c r="C166" s="33"/>
      <c r="D166" s="33"/>
      <c r="E166" s="33"/>
      <c r="F166" s="33"/>
      <c r="G166" s="33"/>
      <c r="H166" s="33"/>
      <c r="I166" s="33"/>
      <c r="J166" s="33"/>
      <c r="K166" s="33"/>
      <c r="L166" s="33"/>
      <c r="M166" s="33"/>
      <c r="N166" s="35"/>
      <c r="O166" s="35"/>
      <c r="P166" s="33">
        <f t="shared" si="2"/>
        <v>0</v>
      </c>
      <c r="Q166" s="33"/>
    </row>
    <row r="167" spans="2:17" x14ac:dyDescent="0.25">
      <c r="B167" s="33"/>
      <c r="C167" s="33"/>
      <c r="D167" s="33"/>
      <c r="E167" s="33"/>
      <c r="F167" s="33"/>
      <c r="G167" s="33"/>
      <c r="H167" s="33"/>
      <c r="I167" s="33"/>
      <c r="J167" s="33"/>
      <c r="K167" s="33"/>
      <c r="L167" s="33"/>
      <c r="M167" s="33"/>
      <c r="N167" s="35"/>
      <c r="O167" s="35"/>
      <c r="P167" s="33">
        <f t="shared" si="2"/>
        <v>0</v>
      </c>
      <c r="Q167" s="33"/>
    </row>
    <row r="168" spans="2:17" x14ac:dyDescent="0.25">
      <c r="B168" s="33"/>
      <c r="C168" s="33"/>
      <c r="D168" s="33"/>
      <c r="E168" s="33"/>
      <c r="F168" s="33"/>
      <c r="G168" s="33"/>
      <c r="H168" s="33"/>
      <c r="I168" s="33"/>
      <c r="J168" s="33"/>
      <c r="K168" s="33"/>
      <c r="L168" s="33"/>
      <c r="M168" s="33"/>
      <c r="N168" s="35"/>
      <c r="O168" s="35"/>
      <c r="P168" s="33">
        <f t="shared" si="2"/>
        <v>0</v>
      </c>
      <c r="Q168" s="33"/>
    </row>
    <row r="169" spans="2:17" x14ac:dyDescent="0.25">
      <c r="B169" s="33"/>
      <c r="C169" s="33"/>
      <c r="D169" s="33"/>
      <c r="E169" s="33"/>
      <c r="F169" s="33"/>
      <c r="G169" s="33"/>
      <c r="H169" s="33"/>
      <c r="I169" s="33"/>
      <c r="J169" s="33"/>
      <c r="K169" s="33"/>
      <c r="L169" s="33"/>
      <c r="M169" s="33"/>
      <c r="N169" s="35"/>
      <c r="O169" s="35"/>
      <c r="P169" s="33">
        <f t="shared" si="2"/>
        <v>0</v>
      </c>
      <c r="Q169" s="33"/>
    </row>
    <row r="170" spans="2:17" x14ac:dyDescent="0.25">
      <c r="B170" s="33"/>
      <c r="C170" s="33"/>
      <c r="D170" s="33"/>
      <c r="E170" s="33"/>
      <c r="F170" s="33"/>
      <c r="G170" s="33"/>
      <c r="H170" s="33"/>
      <c r="I170" s="33"/>
      <c r="J170" s="33"/>
      <c r="K170" s="33"/>
      <c r="L170" s="33"/>
      <c r="M170" s="33"/>
      <c r="N170" s="35"/>
      <c r="O170" s="35"/>
      <c r="P170" s="33">
        <f t="shared" si="2"/>
        <v>0</v>
      </c>
      <c r="Q170" s="33"/>
    </row>
    <row r="171" spans="2:17" x14ac:dyDescent="0.25">
      <c r="B171" s="33"/>
      <c r="C171" s="33"/>
      <c r="D171" s="33"/>
      <c r="E171" s="33"/>
      <c r="F171" s="33"/>
      <c r="G171" s="33"/>
      <c r="H171" s="33"/>
      <c r="I171" s="33"/>
      <c r="J171" s="33"/>
      <c r="K171" s="33"/>
      <c r="L171" s="33"/>
      <c r="M171" s="33"/>
      <c r="N171" s="35"/>
      <c r="O171" s="35"/>
      <c r="P171" s="33">
        <f t="shared" si="2"/>
        <v>0</v>
      </c>
      <c r="Q171" s="33"/>
    </row>
    <row r="172" spans="2:17" x14ac:dyDescent="0.25">
      <c r="B172" s="33"/>
      <c r="C172" s="33"/>
      <c r="D172" s="33"/>
      <c r="E172" s="33"/>
      <c r="F172" s="33"/>
      <c r="G172" s="33"/>
      <c r="H172" s="33"/>
      <c r="I172" s="33"/>
      <c r="J172" s="33"/>
      <c r="K172" s="33"/>
      <c r="L172" s="33"/>
      <c r="M172" s="33"/>
      <c r="N172" s="35"/>
      <c r="O172" s="35"/>
      <c r="P172" s="33">
        <f t="shared" si="2"/>
        <v>0</v>
      </c>
      <c r="Q172" s="33"/>
    </row>
    <row r="173" spans="2:17" x14ac:dyDescent="0.25">
      <c r="B173" s="33"/>
      <c r="C173" s="33"/>
      <c r="D173" s="33"/>
      <c r="E173" s="33"/>
      <c r="F173" s="33"/>
      <c r="G173" s="33"/>
      <c r="H173" s="33"/>
      <c r="I173" s="33"/>
      <c r="J173" s="33"/>
      <c r="K173" s="33"/>
      <c r="L173" s="33"/>
      <c r="M173" s="33"/>
      <c r="N173" s="35"/>
      <c r="O173" s="35"/>
      <c r="P173" s="33">
        <f t="shared" si="2"/>
        <v>0</v>
      </c>
      <c r="Q173" s="33"/>
    </row>
    <row r="174" spans="2:17" x14ac:dyDescent="0.25">
      <c r="B174" s="33"/>
      <c r="C174" s="33"/>
      <c r="D174" s="33"/>
      <c r="E174" s="33"/>
      <c r="F174" s="33"/>
      <c r="G174" s="33"/>
      <c r="H174" s="33"/>
      <c r="I174" s="33"/>
      <c r="J174" s="33"/>
      <c r="K174" s="33"/>
      <c r="L174" s="33"/>
      <c r="M174" s="33"/>
      <c r="N174" s="35"/>
      <c r="O174" s="35"/>
      <c r="P174" s="33">
        <f t="shared" si="2"/>
        <v>0</v>
      </c>
      <c r="Q174" s="33"/>
    </row>
    <row r="175" spans="2:17" x14ac:dyDescent="0.25">
      <c r="B175" s="33"/>
      <c r="C175" s="33"/>
      <c r="D175" s="33"/>
      <c r="E175" s="33"/>
      <c r="F175" s="33"/>
      <c r="G175" s="33"/>
      <c r="H175" s="33"/>
      <c r="I175" s="33"/>
      <c r="J175" s="33"/>
      <c r="K175" s="33"/>
      <c r="L175" s="33"/>
      <c r="M175" s="33"/>
      <c r="N175" s="35"/>
      <c r="O175" s="35"/>
      <c r="P175" s="33">
        <f t="shared" si="2"/>
        <v>0</v>
      </c>
      <c r="Q175" s="33"/>
    </row>
    <row r="176" spans="2:17" x14ac:dyDescent="0.25">
      <c r="B176" s="33"/>
      <c r="C176" s="33"/>
      <c r="D176" s="33"/>
      <c r="E176" s="33"/>
      <c r="F176" s="33"/>
      <c r="G176" s="33"/>
      <c r="H176" s="33"/>
      <c r="I176" s="33"/>
      <c r="J176" s="33"/>
      <c r="K176" s="33"/>
      <c r="L176" s="33"/>
      <c r="M176" s="33"/>
      <c r="N176" s="35"/>
      <c r="O176" s="35"/>
      <c r="P176" s="33">
        <f t="shared" si="2"/>
        <v>0</v>
      </c>
      <c r="Q176" s="33"/>
    </row>
    <row r="177" spans="2:17" x14ac:dyDescent="0.25">
      <c r="B177" s="33"/>
      <c r="C177" s="33"/>
      <c r="D177" s="33"/>
      <c r="E177" s="33"/>
      <c r="F177" s="33"/>
      <c r="G177" s="33"/>
      <c r="H177" s="33"/>
      <c r="I177" s="33"/>
      <c r="J177" s="33"/>
      <c r="K177" s="33"/>
      <c r="L177" s="33"/>
      <c r="M177" s="33"/>
      <c r="N177" s="35"/>
      <c r="O177" s="35"/>
      <c r="P177" s="33">
        <f t="shared" si="2"/>
        <v>0</v>
      </c>
      <c r="Q177" s="33"/>
    </row>
    <row r="178" spans="2:17" x14ac:dyDescent="0.25">
      <c r="B178" s="33"/>
      <c r="C178" s="33"/>
      <c r="D178" s="33"/>
      <c r="E178" s="33"/>
      <c r="F178" s="33"/>
      <c r="G178" s="33"/>
      <c r="H178" s="33"/>
      <c r="I178" s="33"/>
      <c r="J178" s="33"/>
      <c r="K178" s="33"/>
      <c r="L178" s="33"/>
      <c r="M178" s="33"/>
      <c r="N178" s="35"/>
      <c r="O178" s="35"/>
      <c r="P178" s="33">
        <f t="shared" si="2"/>
        <v>0</v>
      </c>
      <c r="Q178" s="33"/>
    </row>
    <row r="179" spans="2:17" x14ac:dyDescent="0.25">
      <c r="B179" s="33"/>
      <c r="C179" s="33"/>
      <c r="D179" s="33"/>
      <c r="E179" s="33"/>
      <c r="F179" s="33"/>
      <c r="G179" s="33"/>
      <c r="H179" s="33"/>
      <c r="I179" s="33"/>
      <c r="J179" s="33"/>
      <c r="K179" s="33"/>
      <c r="L179" s="33"/>
      <c r="M179" s="33"/>
      <c r="N179" s="35"/>
      <c r="O179" s="35"/>
      <c r="P179" s="33">
        <f t="shared" si="2"/>
        <v>0</v>
      </c>
      <c r="Q179" s="33"/>
    </row>
    <row r="180" spans="2:17" x14ac:dyDescent="0.25">
      <c r="B180" s="33"/>
      <c r="C180" s="33"/>
      <c r="D180" s="33"/>
      <c r="E180" s="33"/>
      <c r="F180" s="33"/>
      <c r="G180" s="33"/>
      <c r="H180" s="33"/>
      <c r="I180" s="33"/>
      <c r="J180" s="33"/>
      <c r="K180" s="33"/>
      <c r="L180" s="33"/>
      <c r="M180" s="33"/>
      <c r="N180" s="35"/>
      <c r="O180" s="35"/>
      <c r="P180" s="33">
        <f t="shared" si="2"/>
        <v>0</v>
      </c>
      <c r="Q180" s="33"/>
    </row>
    <row r="181" spans="2:17" x14ac:dyDescent="0.25">
      <c r="B181" s="33"/>
      <c r="C181" s="33"/>
      <c r="D181" s="33"/>
      <c r="E181" s="33"/>
      <c r="F181" s="33"/>
      <c r="G181" s="33"/>
      <c r="H181" s="33"/>
      <c r="I181" s="33"/>
      <c r="J181" s="33"/>
      <c r="K181" s="33"/>
      <c r="L181" s="33"/>
      <c r="M181" s="33"/>
      <c r="N181" s="35"/>
      <c r="O181" s="35"/>
      <c r="P181" s="33">
        <f t="shared" si="2"/>
        <v>0</v>
      </c>
      <c r="Q181" s="33"/>
    </row>
    <row r="182" spans="2:17" x14ac:dyDescent="0.25">
      <c r="B182" s="33"/>
      <c r="C182" s="33"/>
      <c r="D182" s="33"/>
      <c r="E182" s="33"/>
      <c r="F182" s="33"/>
      <c r="G182" s="33"/>
      <c r="H182" s="33"/>
      <c r="I182" s="33"/>
      <c r="J182" s="33"/>
      <c r="K182" s="33"/>
      <c r="L182" s="33"/>
      <c r="M182" s="33"/>
      <c r="N182" s="35"/>
      <c r="O182" s="35"/>
      <c r="P182" s="33">
        <f t="shared" si="2"/>
        <v>0</v>
      </c>
      <c r="Q182" s="33"/>
    </row>
    <row r="183" spans="2:17" x14ac:dyDescent="0.25">
      <c r="B183" s="33"/>
      <c r="C183" s="33"/>
      <c r="D183" s="33"/>
      <c r="E183" s="33"/>
      <c r="F183" s="33"/>
      <c r="G183" s="33"/>
      <c r="H183" s="33"/>
      <c r="I183" s="33"/>
      <c r="J183" s="33"/>
      <c r="K183" s="33"/>
      <c r="L183" s="33"/>
      <c r="M183" s="33"/>
      <c r="N183" s="35"/>
      <c r="O183" s="35"/>
      <c r="P183" s="33">
        <f t="shared" si="2"/>
        <v>0</v>
      </c>
      <c r="Q183" s="33"/>
    </row>
    <row r="184" spans="2:17" x14ac:dyDescent="0.25">
      <c r="B184" s="33"/>
      <c r="C184" s="33"/>
      <c r="D184" s="33"/>
      <c r="E184" s="33"/>
      <c r="F184" s="33"/>
      <c r="G184" s="33"/>
      <c r="H184" s="33"/>
      <c r="I184" s="33"/>
      <c r="J184" s="33"/>
      <c r="K184" s="33"/>
      <c r="L184" s="33"/>
      <c r="M184" s="33"/>
      <c r="N184" s="35"/>
      <c r="O184" s="35"/>
      <c r="P184" s="33">
        <f t="shared" si="2"/>
        <v>0</v>
      </c>
      <c r="Q184" s="33"/>
    </row>
    <row r="185" spans="2:17" x14ac:dyDescent="0.25">
      <c r="B185" s="33"/>
      <c r="C185" s="33"/>
      <c r="D185" s="33"/>
      <c r="E185" s="33"/>
      <c r="F185" s="33"/>
      <c r="G185" s="33"/>
      <c r="H185" s="33"/>
      <c r="I185" s="33"/>
      <c r="J185" s="33"/>
      <c r="K185" s="33"/>
      <c r="L185" s="33"/>
      <c r="M185" s="33"/>
      <c r="N185" s="35"/>
      <c r="O185" s="35"/>
      <c r="P185" s="33">
        <f t="shared" si="2"/>
        <v>0</v>
      </c>
      <c r="Q185" s="33"/>
    </row>
    <row r="186" spans="2:17" x14ac:dyDescent="0.25">
      <c r="B186" s="33"/>
      <c r="C186" s="33"/>
      <c r="D186" s="33"/>
      <c r="E186" s="33"/>
      <c r="F186" s="33"/>
      <c r="G186" s="33"/>
      <c r="H186" s="33"/>
      <c r="I186" s="33"/>
      <c r="J186" s="33"/>
      <c r="K186" s="33"/>
      <c r="L186" s="33"/>
      <c r="M186" s="33"/>
      <c r="N186" s="35"/>
      <c r="O186" s="35"/>
      <c r="P186" s="33">
        <f t="shared" si="2"/>
        <v>0</v>
      </c>
      <c r="Q186" s="33"/>
    </row>
    <row r="187" spans="2:17" x14ac:dyDescent="0.25">
      <c r="B187" s="33"/>
      <c r="C187" s="33"/>
      <c r="D187" s="33"/>
      <c r="E187" s="33"/>
      <c r="F187" s="33"/>
      <c r="G187" s="33"/>
      <c r="H187" s="33"/>
      <c r="I187" s="33"/>
      <c r="J187" s="33"/>
      <c r="K187" s="33"/>
      <c r="L187" s="33"/>
      <c r="M187" s="33"/>
      <c r="N187" s="35"/>
      <c r="O187" s="35"/>
      <c r="P187" s="33">
        <f t="shared" si="2"/>
        <v>0</v>
      </c>
      <c r="Q187" s="33"/>
    </row>
    <row r="188" spans="2:17" x14ac:dyDescent="0.25">
      <c r="B188" s="33"/>
      <c r="C188" s="33"/>
      <c r="D188" s="33"/>
      <c r="E188" s="33"/>
      <c r="F188" s="33"/>
      <c r="G188" s="33"/>
      <c r="H188" s="33"/>
      <c r="I188" s="33"/>
      <c r="J188" s="33"/>
      <c r="K188" s="33"/>
      <c r="L188" s="33"/>
      <c r="M188" s="33"/>
      <c r="N188" s="35"/>
      <c r="O188" s="35"/>
      <c r="P188" s="33">
        <f t="shared" si="2"/>
        <v>0</v>
      </c>
      <c r="Q188" s="33"/>
    </row>
    <row r="189" spans="2:17" x14ac:dyDescent="0.25">
      <c r="B189" s="33"/>
      <c r="C189" s="33"/>
      <c r="D189" s="33"/>
      <c r="E189" s="33"/>
      <c r="F189" s="33"/>
      <c r="G189" s="33"/>
      <c r="H189" s="33"/>
      <c r="I189" s="33"/>
      <c r="J189" s="33"/>
      <c r="K189" s="33"/>
      <c r="L189" s="33"/>
      <c r="M189" s="33"/>
      <c r="N189" s="35"/>
      <c r="O189" s="35"/>
      <c r="P189" s="33">
        <f t="shared" si="2"/>
        <v>0</v>
      </c>
      <c r="Q189" s="33"/>
    </row>
    <row r="190" spans="2:17" x14ac:dyDescent="0.25">
      <c r="B190" s="33"/>
      <c r="C190" s="33"/>
      <c r="D190" s="33"/>
      <c r="E190" s="33"/>
      <c r="F190" s="33"/>
      <c r="G190" s="33"/>
      <c r="H190" s="33"/>
      <c r="I190" s="33"/>
      <c r="J190" s="33"/>
      <c r="K190" s="33"/>
      <c r="L190" s="33"/>
      <c r="M190" s="33"/>
      <c r="N190" s="35"/>
      <c r="O190" s="35"/>
      <c r="P190" s="33">
        <f t="shared" si="2"/>
        <v>0</v>
      </c>
      <c r="Q190" s="33"/>
    </row>
    <row r="191" spans="2:17" x14ac:dyDescent="0.25">
      <c r="B191" s="33"/>
      <c r="C191" s="33"/>
      <c r="D191" s="33"/>
      <c r="E191" s="33"/>
      <c r="F191" s="33"/>
      <c r="G191" s="33"/>
      <c r="H191" s="33"/>
      <c r="I191" s="33"/>
      <c r="J191" s="33"/>
      <c r="K191" s="33"/>
      <c r="L191" s="33"/>
      <c r="M191" s="33"/>
      <c r="N191" s="35"/>
      <c r="O191" s="35"/>
      <c r="P191" s="33">
        <f t="shared" si="2"/>
        <v>0</v>
      </c>
      <c r="Q191" s="33"/>
    </row>
    <row r="192" spans="2:17" x14ac:dyDescent="0.25">
      <c r="B192" s="33"/>
      <c r="C192" s="33"/>
      <c r="D192" s="33"/>
      <c r="E192" s="33"/>
      <c r="F192" s="33"/>
      <c r="G192" s="33"/>
      <c r="H192" s="33"/>
      <c r="I192" s="33"/>
      <c r="J192" s="33"/>
      <c r="K192" s="33"/>
      <c r="L192" s="33"/>
      <c r="M192" s="33"/>
      <c r="N192" s="35"/>
      <c r="O192" s="35"/>
      <c r="P192" s="33">
        <f t="shared" si="2"/>
        <v>0</v>
      </c>
      <c r="Q192" s="33"/>
    </row>
    <row r="193" spans="2:17" x14ac:dyDescent="0.25">
      <c r="B193" s="33"/>
      <c r="C193" s="33"/>
      <c r="D193" s="33"/>
      <c r="E193" s="33"/>
      <c r="F193" s="33"/>
      <c r="G193" s="33"/>
      <c r="H193" s="33"/>
      <c r="I193" s="33"/>
      <c r="J193" s="33"/>
      <c r="K193" s="33"/>
      <c r="L193" s="33"/>
      <c r="M193" s="33"/>
      <c r="N193" s="35"/>
      <c r="O193" s="35"/>
      <c r="P193" s="33">
        <f t="shared" si="2"/>
        <v>0</v>
      </c>
      <c r="Q193" s="33"/>
    </row>
    <row r="194" spans="2:17" x14ac:dyDescent="0.25">
      <c r="B194" s="33"/>
      <c r="C194" s="33"/>
      <c r="D194" s="33"/>
      <c r="E194" s="33"/>
      <c r="F194" s="33"/>
      <c r="G194" s="33"/>
      <c r="H194" s="33"/>
      <c r="I194" s="33"/>
      <c r="J194" s="33"/>
      <c r="K194" s="33"/>
      <c r="L194" s="33"/>
      <c r="M194" s="33"/>
      <c r="N194" s="35"/>
      <c r="O194" s="35"/>
      <c r="P194" s="33">
        <f t="shared" si="2"/>
        <v>0</v>
      </c>
      <c r="Q194" s="33"/>
    </row>
    <row r="195" spans="2:17" x14ac:dyDescent="0.25">
      <c r="B195" s="33"/>
      <c r="C195" s="33"/>
      <c r="D195" s="33"/>
      <c r="E195" s="33"/>
      <c r="F195" s="33"/>
      <c r="G195" s="33"/>
      <c r="H195" s="33"/>
      <c r="I195" s="33"/>
      <c r="J195" s="33"/>
      <c r="K195" s="33"/>
      <c r="L195" s="33"/>
      <c r="M195" s="33"/>
      <c r="N195" s="35"/>
      <c r="O195" s="35"/>
      <c r="P195" s="33">
        <f t="shared" si="2"/>
        <v>0</v>
      </c>
      <c r="Q195" s="33"/>
    </row>
    <row r="196" spans="2:17" x14ac:dyDescent="0.25">
      <c r="B196" s="33"/>
      <c r="C196" s="33"/>
      <c r="D196" s="33"/>
      <c r="E196" s="33"/>
      <c r="F196" s="33"/>
      <c r="G196" s="33"/>
      <c r="H196" s="33"/>
      <c r="I196" s="33"/>
      <c r="J196" s="33"/>
      <c r="K196" s="33"/>
      <c r="L196" s="33"/>
      <c r="M196" s="33"/>
      <c r="N196" s="35"/>
      <c r="O196" s="35"/>
      <c r="P196" s="33">
        <f t="shared" si="2"/>
        <v>0</v>
      </c>
      <c r="Q196" s="33"/>
    </row>
    <row r="197" spans="2:17" x14ac:dyDescent="0.25">
      <c r="B197" s="33"/>
      <c r="C197" s="33"/>
      <c r="D197" s="33"/>
      <c r="E197" s="33"/>
      <c r="F197" s="33"/>
      <c r="G197" s="33"/>
      <c r="H197" s="33"/>
      <c r="I197" s="33"/>
      <c r="J197" s="33"/>
      <c r="K197" s="33"/>
      <c r="L197" s="33"/>
      <c r="M197" s="33"/>
      <c r="N197" s="35"/>
      <c r="O197" s="35"/>
      <c r="P197" s="33">
        <f t="shared" si="2"/>
        <v>0</v>
      </c>
      <c r="Q197" s="33"/>
    </row>
    <row r="198" spans="2:17" x14ac:dyDescent="0.25">
      <c r="B198" s="33"/>
      <c r="C198" s="33"/>
      <c r="D198" s="33"/>
      <c r="E198" s="33"/>
      <c r="F198" s="33"/>
      <c r="G198" s="33"/>
      <c r="H198" s="33"/>
      <c r="I198" s="33"/>
      <c r="J198" s="33"/>
      <c r="K198" s="33"/>
      <c r="L198" s="33"/>
      <c r="M198" s="33"/>
      <c r="N198" s="35"/>
      <c r="O198" s="35"/>
      <c r="P198" s="33">
        <f t="shared" si="2"/>
        <v>0</v>
      </c>
      <c r="Q198" s="33"/>
    </row>
    <row r="199" spans="2:17" x14ac:dyDescent="0.25">
      <c r="B199" s="33"/>
      <c r="C199" s="33"/>
      <c r="D199" s="33"/>
      <c r="E199" s="33"/>
      <c r="F199" s="33"/>
      <c r="G199" s="33"/>
      <c r="H199" s="33"/>
      <c r="I199" s="33"/>
      <c r="J199" s="33"/>
      <c r="K199" s="33"/>
      <c r="L199" s="33"/>
      <c r="M199" s="33"/>
      <c r="N199" s="35"/>
      <c r="O199" s="35"/>
      <c r="P199" s="33">
        <f t="shared" si="2"/>
        <v>0</v>
      </c>
      <c r="Q199" s="33"/>
    </row>
    <row r="200" spans="2:17" x14ac:dyDescent="0.25">
      <c r="B200" s="33"/>
      <c r="C200" s="33"/>
      <c r="D200" s="33"/>
      <c r="E200" s="33"/>
      <c r="F200" s="33"/>
      <c r="G200" s="33"/>
      <c r="H200" s="33"/>
      <c r="I200" s="33"/>
      <c r="J200" s="33"/>
      <c r="K200" s="33"/>
      <c r="L200" s="33"/>
      <c r="M200" s="33"/>
      <c r="N200" s="35"/>
      <c r="O200" s="35"/>
      <c r="P200" s="33">
        <f t="shared" si="2"/>
        <v>0</v>
      </c>
      <c r="Q200" s="33"/>
    </row>
    <row r="201" spans="2:17" x14ac:dyDescent="0.25">
      <c r="B201" s="33"/>
      <c r="C201" s="33"/>
      <c r="D201" s="33"/>
      <c r="E201" s="33"/>
      <c r="F201" s="33"/>
      <c r="G201" s="33"/>
      <c r="H201" s="33"/>
      <c r="I201" s="33"/>
      <c r="J201" s="33"/>
      <c r="K201" s="33"/>
      <c r="L201" s="33"/>
      <c r="M201" s="33"/>
      <c r="N201" s="35"/>
      <c r="O201" s="35"/>
      <c r="P201" s="33">
        <f t="shared" si="2"/>
        <v>0</v>
      </c>
      <c r="Q201" s="33"/>
    </row>
    <row r="202" spans="2:17" x14ac:dyDescent="0.25">
      <c r="B202" s="33"/>
      <c r="C202" s="33"/>
      <c r="D202" s="33"/>
      <c r="E202" s="33"/>
      <c r="F202" s="33"/>
      <c r="G202" s="33"/>
      <c r="H202" s="33"/>
      <c r="I202" s="33"/>
      <c r="J202" s="33"/>
      <c r="K202" s="33"/>
      <c r="L202" s="33"/>
      <c r="M202" s="33"/>
      <c r="N202" s="35"/>
      <c r="O202" s="35"/>
      <c r="P202" s="33">
        <f t="shared" si="2"/>
        <v>0</v>
      </c>
      <c r="Q202" s="33"/>
    </row>
    <row r="203" spans="2:17" x14ac:dyDescent="0.25">
      <c r="B203" s="33"/>
      <c r="C203" s="33"/>
      <c r="D203" s="33"/>
      <c r="E203" s="33"/>
      <c r="F203" s="33"/>
      <c r="G203" s="33"/>
      <c r="H203" s="33"/>
      <c r="I203" s="33"/>
      <c r="J203" s="33"/>
      <c r="K203" s="33"/>
      <c r="L203" s="33"/>
      <c r="M203" s="33"/>
      <c r="N203" s="35"/>
      <c r="O203" s="35"/>
      <c r="P203" s="33">
        <f t="shared" si="2"/>
        <v>0</v>
      </c>
      <c r="Q203" s="33"/>
    </row>
    <row r="204" spans="2:17" x14ac:dyDescent="0.25">
      <c r="B204" s="33"/>
      <c r="C204" s="33"/>
      <c r="D204" s="33"/>
      <c r="E204" s="33"/>
      <c r="F204" s="33"/>
      <c r="G204" s="33"/>
      <c r="H204" s="33"/>
      <c r="I204" s="33"/>
      <c r="J204" s="33"/>
      <c r="K204" s="33"/>
      <c r="L204" s="33"/>
      <c r="M204" s="33"/>
      <c r="N204" s="35"/>
      <c r="O204" s="35"/>
      <c r="P204" s="33">
        <f t="shared" si="2"/>
        <v>0</v>
      </c>
      <c r="Q204" s="33"/>
    </row>
    <row r="205" spans="2:17" x14ac:dyDescent="0.25">
      <c r="B205" s="33"/>
      <c r="C205" s="33"/>
      <c r="D205" s="33"/>
      <c r="E205" s="33"/>
      <c r="F205" s="33"/>
      <c r="G205" s="33"/>
      <c r="H205" s="33"/>
      <c r="I205" s="33"/>
      <c r="J205" s="33"/>
      <c r="K205" s="33"/>
      <c r="L205" s="33"/>
      <c r="M205" s="33"/>
      <c r="N205" s="35"/>
      <c r="O205" s="35"/>
      <c r="P205" s="33">
        <f t="shared" si="2"/>
        <v>0</v>
      </c>
      <c r="Q205" s="33"/>
    </row>
    <row r="206" spans="2:17" x14ac:dyDescent="0.25">
      <c r="B206" s="33"/>
      <c r="C206" s="33"/>
      <c r="D206" s="33"/>
      <c r="E206" s="33"/>
      <c r="F206" s="33"/>
      <c r="G206" s="33"/>
      <c r="H206" s="33"/>
      <c r="I206" s="33"/>
      <c r="J206" s="33"/>
      <c r="K206" s="33"/>
      <c r="L206" s="33"/>
      <c r="M206" s="33"/>
      <c r="N206" s="35"/>
      <c r="O206" s="35"/>
      <c r="P206" s="33">
        <f t="shared" si="2"/>
        <v>0</v>
      </c>
      <c r="Q206" s="33"/>
    </row>
    <row r="207" spans="2:17" x14ac:dyDescent="0.25">
      <c r="B207" s="33"/>
      <c r="C207" s="33"/>
      <c r="D207" s="33"/>
      <c r="E207" s="33"/>
      <c r="F207" s="33"/>
      <c r="G207" s="33"/>
      <c r="H207" s="33"/>
      <c r="I207" s="33"/>
      <c r="J207" s="33"/>
      <c r="K207" s="33"/>
      <c r="L207" s="33"/>
      <c r="M207" s="33"/>
      <c r="N207" s="35"/>
      <c r="O207" s="35"/>
      <c r="P207" s="33">
        <f t="shared" si="2"/>
        <v>0</v>
      </c>
      <c r="Q207" s="33"/>
    </row>
    <row r="208" spans="2:17" x14ac:dyDescent="0.25">
      <c r="B208" s="33"/>
      <c r="C208" s="33"/>
      <c r="D208" s="33"/>
      <c r="E208" s="33"/>
      <c r="F208" s="33"/>
      <c r="G208" s="33"/>
      <c r="H208" s="33"/>
      <c r="I208" s="33"/>
      <c r="J208" s="33"/>
      <c r="K208" s="33"/>
      <c r="L208" s="33"/>
      <c r="M208" s="33"/>
      <c r="N208" s="35"/>
      <c r="O208" s="35"/>
      <c r="P208" s="33">
        <f t="shared" si="2"/>
        <v>0</v>
      </c>
      <c r="Q208" s="33"/>
    </row>
    <row r="209" spans="2:17" x14ac:dyDescent="0.25">
      <c r="B209" s="33"/>
      <c r="C209" s="33"/>
      <c r="D209" s="33"/>
      <c r="E209" s="33"/>
      <c r="F209" s="33"/>
      <c r="G209" s="33"/>
      <c r="H209" s="33"/>
      <c r="I209" s="33"/>
      <c r="J209" s="33"/>
      <c r="K209" s="33"/>
      <c r="L209" s="33"/>
      <c r="M209" s="33"/>
      <c r="N209" s="35"/>
      <c r="O209" s="35"/>
      <c r="P209" s="33">
        <f t="shared" si="2"/>
        <v>0</v>
      </c>
      <c r="Q209" s="33"/>
    </row>
    <row r="210" spans="2:17" x14ac:dyDescent="0.25">
      <c r="B210" s="33"/>
      <c r="C210" s="33"/>
      <c r="D210" s="33"/>
      <c r="E210" s="33"/>
      <c r="F210" s="33"/>
      <c r="G210" s="33"/>
      <c r="H210" s="33"/>
      <c r="I210" s="33"/>
      <c r="J210" s="33"/>
      <c r="K210" s="33"/>
      <c r="L210" s="33"/>
      <c r="M210" s="33"/>
      <c r="N210" s="35"/>
      <c r="O210" s="35"/>
      <c r="P210" s="33">
        <f t="shared" si="2"/>
        <v>0</v>
      </c>
      <c r="Q210" s="33"/>
    </row>
    <row r="211" spans="2:17" x14ac:dyDescent="0.25">
      <c r="B211" s="33"/>
      <c r="C211" s="33"/>
      <c r="D211" s="33"/>
      <c r="E211" s="33"/>
      <c r="F211" s="33"/>
      <c r="G211" s="33"/>
      <c r="H211" s="33"/>
      <c r="I211" s="33"/>
      <c r="J211" s="33"/>
      <c r="K211" s="33"/>
      <c r="L211" s="33"/>
      <c r="M211" s="33"/>
      <c r="N211" s="35"/>
      <c r="O211" s="35"/>
      <c r="P211" s="33"/>
      <c r="Q211" s="33"/>
    </row>
    <row r="212" spans="2:17" x14ac:dyDescent="0.25">
      <c r="B212" s="33"/>
      <c r="C212" s="33"/>
      <c r="D212" s="33"/>
      <c r="E212" s="33"/>
      <c r="F212" s="33"/>
      <c r="G212" s="33"/>
      <c r="H212" s="33"/>
      <c r="I212" s="33"/>
      <c r="J212" s="33"/>
      <c r="K212" s="33"/>
      <c r="L212" s="33"/>
      <c r="M212" s="33"/>
      <c r="N212" s="35"/>
      <c r="O212" s="35"/>
      <c r="P212" s="33"/>
      <c r="Q212" s="33"/>
    </row>
  </sheetData>
  <mergeCells count="11">
    <mergeCell ref="P21:Q21"/>
    <mergeCell ref="B10:C10"/>
    <mergeCell ref="E10:F10"/>
    <mergeCell ref="M10:N10"/>
    <mergeCell ref="J10:K10"/>
    <mergeCell ref="P10:Q10"/>
    <mergeCell ref="S10:T10"/>
    <mergeCell ref="B2:D7"/>
    <mergeCell ref="E2:L3"/>
    <mergeCell ref="M2:N7"/>
    <mergeCell ref="E4:L7"/>
  </mergeCells>
  <pageMargins left="0.7" right="0.7" top="0.75" bottom="0.75" header="0.3" footer="0.3"/>
  <pageSetup paperSize="9" orientation="portrait" horizontalDpi="4294967295" verticalDpi="4294967295"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F24543FE-04C7-4CE5-85A9-F412F8EF5E9E}">
          <x14:formula1>
            <xm:f>Datos!$B$2:$B$29</xm:f>
          </x14:formula1>
          <xm:sqref>D23:D27 D29:D212</xm:sqref>
        </x14:dataValidation>
        <x14:dataValidation type="list" allowBlank="1" showInputMessage="1" showErrorMessage="1" xr:uid="{7D18F313-F4E0-4269-9B99-60096AD57AAD}">
          <x14:formula1>
            <xm:f>Datos!$F$2:$F$6</xm:f>
          </x14:formula1>
          <xm:sqref>G23:G212</xm:sqref>
        </x14:dataValidation>
        <x14:dataValidation type="list" allowBlank="1" showInputMessage="1" showErrorMessage="1" xr:uid="{9C326964-81E0-433F-9CE9-16542AF57C42}">
          <x14:formula1>
            <xm:f>Datos!$G$2:$G$3</xm:f>
          </x14:formula1>
          <xm:sqref>H23:H212 L23:L212</xm:sqref>
        </x14:dataValidation>
        <x14:dataValidation type="list" allowBlank="1" showInputMessage="1" showErrorMessage="1" xr:uid="{581ED099-FA88-42C8-8C46-2B400EB07189}">
          <x14:formula1>
            <xm:f>Datos!$J$2:$J$6</xm:f>
          </x14:formula1>
          <xm:sqref>M23:M212</xm:sqref>
        </x14:dataValidation>
        <x14:dataValidation type="list" allowBlank="1" showInputMessage="1" showErrorMessage="1" xr:uid="{8D61F572-EDBC-457C-B4A5-2751653242AC}">
          <x14:formula1>
            <xm:f>Datos!$C$2:$C$5</xm:f>
          </x14:formula1>
          <xm:sqref>F23:F212</xm:sqref>
        </x14:dataValidation>
        <x14:dataValidation type="list" allowBlank="1" showInputMessage="1" showErrorMessage="1" xr:uid="{1726B70B-AE0D-429A-BF9A-1F0A70C2FF60}">
          <x14:formula1>
            <xm:f>Datos!$I$2:$I$8</xm:f>
          </x14:formula1>
          <xm:sqref>K23:K212</xm:sqref>
        </x14:dataValidation>
        <x14:dataValidation type="list" allowBlank="1" showInputMessage="1" showErrorMessage="1" xr:uid="{D0436E45-80D9-4773-BFD8-E7E3657F135E}">
          <x14:formula1>
            <xm:f>Datos!$H$2:$H$6</xm:f>
          </x14:formula1>
          <xm:sqref>J23:J212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8A4C5-9B5F-4DE2-A2E9-02C001AE7957}">
  <sheetPr codeName="Hoja7"/>
  <dimension ref="B2:V57"/>
  <sheetViews>
    <sheetView showZeros="0" topLeftCell="C1" workbookViewId="0">
      <selection activeCell="R18" sqref="R18"/>
    </sheetView>
  </sheetViews>
  <sheetFormatPr baseColWidth="10" defaultRowHeight="15" x14ac:dyDescent="0.25"/>
  <cols>
    <col min="2" max="2" width="14.5703125" customWidth="1"/>
    <col min="3" max="3" width="18.5703125" customWidth="1"/>
    <col min="4" max="4" width="21.5703125" customWidth="1"/>
    <col min="5" max="5" width="23.42578125" customWidth="1"/>
    <col min="6" max="6" width="22.85546875" customWidth="1"/>
    <col min="7" max="7" width="20.5703125" customWidth="1"/>
    <col min="8" max="8" width="32.7109375" customWidth="1"/>
    <col min="9" max="9" width="22.7109375" customWidth="1"/>
    <col min="10" max="10" width="23.5703125" bestFit="1" customWidth="1"/>
    <col min="11" max="11" width="17" customWidth="1"/>
    <col min="12" max="12" width="18.7109375" customWidth="1"/>
    <col min="13" max="13" width="24.140625" bestFit="1" customWidth="1"/>
    <col min="14" max="14" width="20.42578125" customWidth="1"/>
    <col min="15" max="15" width="20.7109375" customWidth="1"/>
    <col min="16" max="16" width="22.5703125" customWidth="1"/>
    <col min="18" max="18" width="61.28515625" bestFit="1" customWidth="1"/>
    <col min="20" max="20" width="16.140625" bestFit="1" customWidth="1"/>
    <col min="22" max="22" width="32.42578125" bestFit="1" customWidth="1"/>
  </cols>
  <sheetData>
    <row r="2" spans="2:22" x14ac:dyDescent="0.25">
      <c r="B2" s="211"/>
      <c r="C2" s="211"/>
      <c r="D2" s="212" t="s">
        <v>220</v>
      </c>
      <c r="E2" s="212"/>
      <c r="F2" s="212"/>
      <c r="G2" s="212"/>
      <c r="H2" s="212"/>
      <c r="I2" s="213" t="s">
        <v>1</v>
      </c>
    </row>
    <row r="3" spans="2:22" x14ac:dyDescent="0.25">
      <c r="B3" s="211"/>
      <c r="C3" s="211"/>
      <c r="D3" s="212"/>
      <c r="E3" s="212"/>
      <c r="F3" s="212"/>
      <c r="G3" s="212"/>
      <c r="H3" s="212"/>
      <c r="I3" s="214"/>
    </row>
    <row r="4" spans="2:22" x14ac:dyDescent="0.25">
      <c r="B4" s="211"/>
      <c r="C4" s="211"/>
      <c r="D4" s="212"/>
      <c r="E4" s="212"/>
      <c r="F4" s="212"/>
      <c r="G4" s="212"/>
      <c r="H4" s="212"/>
      <c r="I4" s="214"/>
    </row>
    <row r="5" spans="2:22" x14ac:dyDescent="0.25">
      <c r="B5" s="211"/>
      <c r="C5" s="211"/>
      <c r="D5" s="215" t="s">
        <v>221</v>
      </c>
      <c r="E5" s="215"/>
      <c r="F5" s="215"/>
      <c r="G5" s="215"/>
      <c r="H5" s="215"/>
      <c r="I5" s="214"/>
    </row>
    <row r="6" spans="2:22" x14ac:dyDescent="0.25">
      <c r="B6" s="211"/>
      <c r="C6" s="211"/>
      <c r="D6" s="215"/>
      <c r="E6" s="215"/>
      <c r="F6" s="215"/>
      <c r="G6" s="215"/>
      <c r="H6" s="215"/>
      <c r="I6" s="214"/>
    </row>
    <row r="7" spans="2:22" ht="15" customHeight="1" x14ac:dyDescent="0.25">
      <c r="B7" s="211"/>
      <c r="C7" s="211"/>
      <c r="D7" s="215"/>
      <c r="E7" s="215"/>
      <c r="F7" s="215"/>
      <c r="G7" s="215"/>
      <c r="H7" s="215"/>
      <c r="I7" s="214"/>
    </row>
    <row r="9" spans="2:22" ht="15" customHeight="1" x14ac:dyDescent="0.25">
      <c r="E9" s="43"/>
      <c r="G9" s="43"/>
      <c r="I9" s="43"/>
      <c r="J9" s="43"/>
      <c r="K9" s="43"/>
    </row>
    <row r="10" spans="2:22" ht="37.5" customHeight="1" x14ac:dyDescent="0.25">
      <c r="B10" s="47" t="s">
        <v>195</v>
      </c>
      <c r="C10" s="47" t="s">
        <v>223</v>
      </c>
      <c r="D10" s="47" t="s">
        <v>196</v>
      </c>
      <c r="E10" s="47" t="s">
        <v>205</v>
      </c>
      <c r="F10" s="47" t="s">
        <v>197</v>
      </c>
      <c r="G10" s="53" t="s">
        <v>206</v>
      </c>
      <c r="H10" s="48" t="s">
        <v>198</v>
      </c>
      <c r="I10" s="32" t="s">
        <v>201</v>
      </c>
      <c r="J10" s="52" t="s">
        <v>199</v>
      </c>
      <c r="K10" s="47" t="s">
        <v>202</v>
      </c>
      <c r="L10" s="48" t="s">
        <v>218</v>
      </c>
      <c r="M10" s="49" t="s">
        <v>200</v>
      </c>
      <c r="N10" s="49" t="s">
        <v>219</v>
      </c>
      <c r="O10" s="47" t="s">
        <v>203</v>
      </c>
      <c r="P10" s="47" t="s">
        <v>204</v>
      </c>
      <c r="Q10" s="44"/>
      <c r="R10" t="s">
        <v>87</v>
      </c>
      <c r="T10" t="s">
        <v>263</v>
      </c>
      <c r="V10" t="s">
        <v>267</v>
      </c>
    </row>
    <row r="11" spans="2:22" ht="15" customHeight="1" x14ac:dyDescent="0.25">
      <c r="B11" s="46">
        <v>1</v>
      </c>
      <c r="C11" s="46" t="s">
        <v>507</v>
      </c>
      <c r="D11" s="82">
        <v>43968</v>
      </c>
      <c r="E11" s="46" t="s">
        <v>508</v>
      </c>
      <c r="F11" s="46"/>
      <c r="G11" s="45" t="s">
        <v>208</v>
      </c>
      <c r="H11" s="45" t="s">
        <v>509</v>
      </c>
      <c r="I11" s="45" t="s">
        <v>510</v>
      </c>
      <c r="J11" s="46" t="s">
        <v>511</v>
      </c>
      <c r="K11" s="82">
        <v>43968</v>
      </c>
      <c r="L11" s="46" t="s">
        <v>213</v>
      </c>
      <c r="M11" s="50">
        <v>0.25</v>
      </c>
      <c r="N11" s="51">
        <f>M11*1</f>
        <v>0.25</v>
      </c>
      <c r="O11" s="46" t="s">
        <v>99</v>
      </c>
      <c r="P11" s="45"/>
      <c r="R11" t="s">
        <v>258</v>
      </c>
      <c r="T11" t="s">
        <v>264</v>
      </c>
      <c r="V11" t="s">
        <v>268</v>
      </c>
    </row>
    <row r="12" spans="2:22" x14ac:dyDescent="0.25">
      <c r="B12" s="39"/>
      <c r="C12" s="39"/>
      <c r="D12" s="39"/>
      <c r="E12" s="39"/>
      <c r="F12" s="39"/>
      <c r="G12" s="39"/>
      <c r="H12" s="39"/>
      <c r="I12" s="39"/>
      <c r="J12" s="39"/>
      <c r="K12" s="39"/>
      <c r="L12" s="39"/>
      <c r="M12" s="40"/>
      <c r="N12" s="41" t="e">
        <f t="shared" ref="N12:N57" ca="1" si="0">_xlfn.IFS(L12="1 - Improbable",M12*1,L12="2 - Posible",M12*2,L12="3 - Ocasional",M12*3,L12="4 - Probable",M12*4,L12="5 - Frecuente",M12*5)</f>
        <v>#NAME?</v>
      </c>
      <c r="O12" s="39"/>
      <c r="P12" s="39"/>
      <c r="R12" t="s">
        <v>259</v>
      </c>
      <c r="T12" t="s">
        <v>265</v>
      </c>
      <c r="V12" t="s">
        <v>269</v>
      </c>
    </row>
    <row r="13" spans="2:22" x14ac:dyDescent="0.25">
      <c r="B13" s="39"/>
      <c r="C13" s="39"/>
      <c r="D13" s="39"/>
      <c r="E13" s="39"/>
      <c r="F13" s="39"/>
      <c r="G13" s="39"/>
      <c r="H13" s="39"/>
      <c r="I13" s="39"/>
      <c r="J13" s="39"/>
      <c r="K13" s="39"/>
      <c r="L13" s="39"/>
      <c r="M13" s="40"/>
      <c r="N13" s="41" t="e">
        <f t="shared" ca="1" si="0"/>
        <v>#NAME?</v>
      </c>
      <c r="O13" s="39"/>
      <c r="P13" s="39"/>
      <c r="R13" t="s">
        <v>260</v>
      </c>
      <c r="T13" t="s">
        <v>266</v>
      </c>
      <c r="V13" t="s">
        <v>270</v>
      </c>
    </row>
    <row r="14" spans="2:22" x14ac:dyDescent="0.25">
      <c r="B14" s="39"/>
      <c r="C14" s="39"/>
      <c r="D14" s="39"/>
      <c r="E14" s="39"/>
      <c r="F14" s="39"/>
      <c r="G14" s="39"/>
      <c r="H14" s="39"/>
      <c r="I14" s="39"/>
      <c r="J14" s="39"/>
      <c r="K14" s="39"/>
      <c r="L14" s="39"/>
      <c r="M14" s="40"/>
      <c r="N14" s="41" t="e">
        <f t="shared" ca="1" si="0"/>
        <v>#NAME?</v>
      </c>
      <c r="O14" s="39"/>
      <c r="P14" s="39"/>
      <c r="R14" t="s">
        <v>261</v>
      </c>
      <c r="V14" t="s">
        <v>271</v>
      </c>
    </row>
    <row r="15" spans="2:22" x14ac:dyDescent="0.25">
      <c r="B15" s="39"/>
      <c r="C15" s="39"/>
      <c r="D15" s="39"/>
      <c r="E15" s="39"/>
      <c r="F15" s="39"/>
      <c r="G15" s="39"/>
      <c r="H15" s="39"/>
      <c r="I15" s="39"/>
      <c r="J15" s="39"/>
      <c r="K15" s="39"/>
      <c r="L15" s="39"/>
      <c r="M15" s="40"/>
      <c r="N15" s="41" t="e">
        <f t="shared" ca="1" si="0"/>
        <v>#NAME?</v>
      </c>
      <c r="O15" s="39"/>
      <c r="P15" s="39"/>
      <c r="R15" t="s">
        <v>262</v>
      </c>
    </row>
    <row r="16" spans="2:22" x14ac:dyDescent="0.25">
      <c r="B16" s="39"/>
      <c r="C16" s="39"/>
      <c r="D16" s="39"/>
      <c r="E16" s="39"/>
      <c r="F16" s="39"/>
      <c r="G16" s="39"/>
      <c r="H16" s="39"/>
      <c r="I16" s="39"/>
      <c r="J16" s="39"/>
      <c r="K16" s="39"/>
      <c r="L16" s="39"/>
      <c r="M16" s="40"/>
      <c r="N16" s="41" t="e">
        <f t="shared" ca="1" si="0"/>
        <v>#NAME?</v>
      </c>
      <c r="O16" s="39"/>
      <c r="P16" s="39"/>
    </row>
    <row r="17" spans="2:16" x14ac:dyDescent="0.25">
      <c r="B17" s="39"/>
      <c r="C17" s="39"/>
      <c r="D17" s="39"/>
      <c r="E17" s="39"/>
      <c r="F17" s="39"/>
      <c r="G17" s="39"/>
      <c r="H17" s="39"/>
      <c r="I17" s="39"/>
      <c r="J17" s="39"/>
      <c r="K17" s="39"/>
      <c r="L17" s="39"/>
      <c r="M17" s="40"/>
      <c r="N17" s="41" t="e">
        <f t="shared" ca="1" si="0"/>
        <v>#NAME?</v>
      </c>
      <c r="O17" s="39"/>
      <c r="P17" s="39"/>
    </row>
    <row r="18" spans="2:16" x14ac:dyDescent="0.25">
      <c r="B18" s="39"/>
      <c r="C18" s="39"/>
      <c r="D18" s="39"/>
      <c r="E18" s="39"/>
      <c r="F18" s="39"/>
      <c r="G18" s="39"/>
      <c r="H18" s="39"/>
      <c r="I18" s="39"/>
      <c r="J18" s="39"/>
      <c r="K18" s="39"/>
      <c r="L18" s="39"/>
      <c r="M18" s="40"/>
      <c r="N18" s="41" t="e">
        <f t="shared" ca="1" si="0"/>
        <v>#NAME?</v>
      </c>
      <c r="O18" s="39"/>
      <c r="P18" s="39"/>
    </row>
    <row r="19" spans="2:16" x14ac:dyDescent="0.25">
      <c r="B19" s="39"/>
      <c r="C19" s="39"/>
      <c r="D19" s="39"/>
      <c r="E19" s="39"/>
      <c r="F19" s="39"/>
      <c r="G19" s="39"/>
      <c r="H19" s="39"/>
      <c r="I19" s="39"/>
      <c r="J19" s="39"/>
      <c r="K19" s="39"/>
      <c r="L19" s="39"/>
      <c r="M19" s="40"/>
      <c r="N19" s="41" t="e">
        <f t="shared" ca="1" si="0"/>
        <v>#NAME?</v>
      </c>
      <c r="O19" s="39"/>
      <c r="P19" s="39"/>
    </row>
    <row r="20" spans="2:16" x14ac:dyDescent="0.25">
      <c r="B20" s="39"/>
      <c r="C20" s="39"/>
      <c r="D20" s="39"/>
      <c r="E20" s="39"/>
      <c r="F20" s="39"/>
      <c r="G20" s="39"/>
      <c r="H20" s="39"/>
      <c r="I20" s="39"/>
      <c r="J20" s="39"/>
      <c r="K20" s="39"/>
      <c r="L20" s="39"/>
      <c r="M20" s="40"/>
      <c r="N20" s="41" t="e">
        <f t="shared" ca="1" si="0"/>
        <v>#NAME?</v>
      </c>
      <c r="O20" s="39"/>
      <c r="P20" s="39"/>
    </row>
    <row r="21" spans="2:16" x14ac:dyDescent="0.25">
      <c r="B21" s="39"/>
      <c r="C21" s="39"/>
      <c r="D21" s="39"/>
      <c r="E21" s="39"/>
      <c r="F21" s="39"/>
      <c r="G21" s="39"/>
      <c r="H21" s="39"/>
      <c r="I21" s="39"/>
      <c r="J21" s="39"/>
      <c r="K21" s="39"/>
      <c r="L21" s="39"/>
      <c r="M21" s="40"/>
      <c r="N21" s="41" t="e">
        <f t="shared" ca="1" si="0"/>
        <v>#NAME?</v>
      </c>
      <c r="O21" s="39"/>
      <c r="P21" s="39"/>
    </row>
    <row r="22" spans="2:16" x14ac:dyDescent="0.25">
      <c r="B22" s="39"/>
      <c r="C22" s="39"/>
      <c r="D22" s="39"/>
      <c r="E22" s="39"/>
      <c r="F22" s="39"/>
      <c r="G22" s="39"/>
      <c r="H22" s="39"/>
      <c r="I22" s="39"/>
      <c r="J22" s="39"/>
      <c r="K22" s="39"/>
      <c r="L22" s="39"/>
      <c r="M22" s="40"/>
      <c r="N22" s="41" t="e">
        <f t="shared" ca="1" si="0"/>
        <v>#NAME?</v>
      </c>
      <c r="O22" s="39"/>
      <c r="P22" s="39"/>
    </row>
    <row r="23" spans="2:16" x14ac:dyDescent="0.25">
      <c r="B23" s="39"/>
      <c r="C23" s="39"/>
      <c r="D23" s="39"/>
      <c r="E23" s="39"/>
      <c r="F23" s="39"/>
      <c r="G23" s="39"/>
      <c r="H23" s="39"/>
      <c r="I23" s="39"/>
      <c r="J23" s="39"/>
      <c r="K23" s="39"/>
      <c r="L23" s="39"/>
      <c r="M23" s="40"/>
      <c r="N23" s="41" t="e">
        <f t="shared" ca="1" si="0"/>
        <v>#NAME?</v>
      </c>
      <c r="O23" s="39"/>
      <c r="P23" s="39"/>
    </row>
    <row r="24" spans="2:16" x14ac:dyDescent="0.25">
      <c r="B24" s="39"/>
      <c r="C24" s="39"/>
      <c r="D24" s="39"/>
      <c r="E24" s="39"/>
      <c r="F24" s="39"/>
      <c r="G24" s="39"/>
      <c r="H24" s="39"/>
      <c r="I24" s="39"/>
      <c r="J24" s="39"/>
      <c r="K24" s="39"/>
      <c r="L24" s="39"/>
      <c r="M24" s="40"/>
      <c r="N24" s="41" t="e">
        <f t="shared" ca="1" si="0"/>
        <v>#NAME?</v>
      </c>
      <c r="O24" s="39"/>
      <c r="P24" s="39"/>
    </row>
    <row r="25" spans="2:16" x14ac:dyDescent="0.25">
      <c r="B25" s="39"/>
      <c r="C25" s="39"/>
      <c r="D25" s="39"/>
      <c r="E25" s="39"/>
      <c r="F25" s="39"/>
      <c r="G25" s="39"/>
      <c r="H25" s="39"/>
      <c r="I25" s="39"/>
      <c r="J25" s="39"/>
      <c r="K25" s="39"/>
      <c r="L25" s="39"/>
      <c r="M25" s="40"/>
      <c r="N25" s="41" t="e">
        <f t="shared" ca="1" si="0"/>
        <v>#NAME?</v>
      </c>
      <c r="O25" s="39"/>
      <c r="P25" s="39"/>
    </row>
    <row r="26" spans="2:16" x14ac:dyDescent="0.25">
      <c r="B26" s="39"/>
      <c r="C26" s="39"/>
      <c r="D26" s="39"/>
      <c r="E26" s="39"/>
      <c r="F26" s="39"/>
      <c r="G26" s="39"/>
      <c r="H26" s="39"/>
      <c r="I26" s="39"/>
      <c r="J26" s="39"/>
      <c r="K26" s="39"/>
      <c r="L26" s="39"/>
      <c r="M26" s="40"/>
      <c r="N26" s="41" t="e">
        <f t="shared" ca="1" si="0"/>
        <v>#NAME?</v>
      </c>
      <c r="O26" s="39"/>
      <c r="P26" s="39"/>
    </row>
    <row r="27" spans="2:16" x14ac:dyDescent="0.25">
      <c r="B27" s="39"/>
      <c r="C27" s="39"/>
      <c r="D27" s="39"/>
      <c r="E27" s="39"/>
      <c r="F27" s="39"/>
      <c r="G27" s="39"/>
      <c r="H27" s="39"/>
      <c r="I27" s="39"/>
      <c r="J27" s="39"/>
      <c r="K27" s="39"/>
      <c r="L27" s="39"/>
      <c r="M27" s="40"/>
      <c r="N27" s="41" t="e">
        <f t="shared" ca="1" si="0"/>
        <v>#NAME?</v>
      </c>
      <c r="O27" s="39"/>
      <c r="P27" s="39"/>
    </row>
    <row r="28" spans="2:16" x14ac:dyDescent="0.25">
      <c r="B28" s="39"/>
      <c r="C28" s="39"/>
      <c r="D28" s="39"/>
      <c r="E28" s="39"/>
      <c r="F28" s="39"/>
      <c r="G28" s="39"/>
      <c r="H28" s="39"/>
      <c r="I28" s="39"/>
      <c r="J28" s="39"/>
      <c r="K28" s="39"/>
      <c r="L28" s="39"/>
      <c r="M28" s="40"/>
      <c r="N28" s="41" t="e">
        <f t="shared" ca="1" si="0"/>
        <v>#NAME?</v>
      </c>
      <c r="O28" s="39"/>
      <c r="P28" s="39"/>
    </row>
    <row r="29" spans="2:16" x14ac:dyDescent="0.25">
      <c r="B29" s="39"/>
      <c r="C29" s="39"/>
      <c r="D29" s="39"/>
      <c r="E29" s="39"/>
      <c r="F29" s="39"/>
      <c r="G29" s="39"/>
      <c r="H29" s="39"/>
      <c r="I29" s="39"/>
      <c r="J29" s="39"/>
      <c r="K29" s="39"/>
      <c r="L29" s="39"/>
      <c r="M29" s="40"/>
      <c r="N29" s="41" t="e">
        <f t="shared" ca="1" si="0"/>
        <v>#NAME?</v>
      </c>
      <c r="O29" s="39"/>
      <c r="P29" s="39"/>
    </row>
    <row r="30" spans="2:16" x14ac:dyDescent="0.25">
      <c r="B30" s="39"/>
      <c r="C30" s="39"/>
      <c r="D30" s="39"/>
      <c r="E30" s="39"/>
      <c r="F30" s="39"/>
      <c r="G30" s="39"/>
      <c r="H30" s="39"/>
      <c r="I30" s="39"/>
      <c r="J30" s="39"/>
      <c r="K30" s="39"/>
      <c r="L30" s="39"/>
      <c r="M30" s="40"/>
      <c r="N30" s="41" t="e">
        <f t="shared" ca="1" si="0"/>
        <v>#NAME?</v>
      </c>
      <c r="O30" s="39"/>
      <c r="P30" s="39"/>
    </row>
    <row r="31" spans="2:16" x14ac:dyDescent="0.25">
      <c r="B31" s="39"/>
      <c r="C31" s="39"/>
      <c r="D31" s="39"/>
      <c r="E31" s="39"/>
      <c r="F31" s="39"/>
      <c r="G31" s="39"/>
      <c r="H31" s="39"/>
      <c r="I31" s="39"/>
      <c r="J31" s="39"/>
      <c r="K31" s="39"/>
      <c r="L31" s="39"/>
      <c r="M31" s="40"/>
      <c r="N31" s="41" t="e">
        <f t="shared" ca="1" si="0"/>
        <v>#NAME?</v>
      </c>
      <c r="O31" s="39"/>
      <c r="P31" s="39"/>
    </row>
    <row r="32" spans="2:16" x14ac:dyDescent="0.25">
      <c r="B32" s="39"/>
      <c r="C32" s="39"/>
      <c r="D32" s="39"/>
      <c r="E32" s="39"/>
      <c r="F32" s="39"/>
      <c r="G32" s="39"/>
      <c r="H32" s="39"/>
      <c r="I32" s="39"/>
      <c r="J32" s="39"/>
      <c r="K32" s="39"/>
      <c r="L32" s="39"/>
      <c r="M32" s="40"/>
      <c r="N32" s="41" t="e">
        <f t="shared" ca="1" si="0"/>
        <v>#NAME?</v>
      </c>
      <c r="O32" s="39"/>
      <c r="P32" s="39"/>
    </row>
    <row r="33" spans="2:16" x14ac:dyDescent="0.25">
      <c r="B33" s="39"/>
      <c r="C33" s="39"/>
      <c r="D33" s="39"/>
      <c r="E33" s="39"/>
      <c r="F33" s="39"/>
      <c r="G33" s="39"/>
      <c r="H33" s="39"/>
      <c r="I33" s="39"/>
      <c r="J33" s="39"/>
      <c r="K33" s="39"/>
      <c r="L33" s="39"/>
      <c r="M33" s="40"/>
      <c r="N33" s="41" t="e">
        <f t="shared" ca="1" si="0"/>
        <v>#NAME?</v>
      </c>
      <c r="O33" s="39"/>
      <c r="P33" s="39"/>
    </row>
    <row r="34" spans="2:16" x14ac:dyDescent="0.25">
      <c r="B34" s="39"/>
      <c r="C34" s="39"/>
      <c r="D34" s="39"/>
      <c r="E34" s="39"/>
      <c r="F34" s="39"/>
      <c r="G34" s="39"/>
      <c r="H34" s="39"/>
      <c r="I34" s="39"/>
      <c r="J34" s="39"/>
      <c r="K34" s="39"/>
      <c r="L34" s="39"/>
      <c r="M34" s="40"/>
      <c r="N34" s="41" t="e">
        <f t="shared" ca="1" si="0"/>
        <v>#NAME?</v>
      </c>
      <c r="O34" s="39"/>
      <c r="P34" s="39"/>
    </row>
    <row r="35" spans="2:16" x14ac:dyDescent="0.25">
      <c r="B35" s="39"/>
      <c r="C35" s="39"/>
      <c r="D35" s="39"/>
      <c r="E35" s="39"/>
      <c r="F35" s="39"/>
      <c r="G35" s="39"/>
      <c r="H35" s="39"/>
      <c r="I35" s="39"/>
      <c r="J35" s="39"/>
      <c r="K35" s="39"/>
      <c r="L35" s="39"/>
      <c r="M35" s="40"/>
      <c r="N35" s="41" t="e">
        <f t="shared" ca="1" si="0"/>
        <v>#NAME?</v>
      </c>
      <c r="O35" s="39"/>
      <c r="P35" s="39"/>
    </row>
    <row r="36" spans="2:16" x14ac:dyDescent="0.25">
      <c r="B36" s="39"/>
      <c r="C36" s="39"/>
      <c r="D36" s="39"/>
      <c r="E36" s="39"/>
      <c r="F36" s="39"/>
      <c r="G36" s="39"/>
      <c r="H36" s="39"/>
      <c r="I36" s="39"/>
      <c r="J36" s="39"/>
      <c r="K36" s="39"/>
      <c r="L36" s="39"/>
      <c r="M36" s="40"/>
      <c r="N36" s="41" t="e">
        <f t="shared" ca="1" si="0"/>
        <v>#NAME?</v>
      </c>
      <c r="O36" s="39"/>
      <c r="P36" s="39"/>
    </row>
    <row r="37" spans="2:16" x14ac:dyDescent="0.25">
      <c r="B37" s="39"/>
      <c r="C37" s="39"/>
      <c r="D37" s="39"/>
      <c r="E37" s="39"/>
      <c r="F37" s="39"/>
      <c r="G37" s="39"/>
      <c r="H37" s="39"/>
      <c r="I37" s="39"/>
      <c r="J37" s="39"/>
      <c r="K37" s="39"/>
      <c r="L37" s="39"/>
      <c r="M37" s="40"/>
      <c r="N37" s="41" t="e">
        <f t="shared" ca="1" si="0"/>
        <v>#NAME?</v>
      </c>
      <c r="O37" s="39"/>
      <c r="P37" s="39"/>
    </row>
    <row r="38" spans="2:16" x14ac:dyDescent="0.25">
      <c r="B38" s="39"/>
      <c r="C38" s="39"/>
      <c r="D38" s="39"/>
      <c r="E38" s="39"/>
      <c r="F38" s="39"/>
      <c r="G38" s="39"/>
      <c r="H38" s="39"/>
      <c r="I38" s="39"/>
      <c r="J38" s="39"/>
      <c r="K38" s="39"/>
      <c r="L38" s="39"/>
      <c r="M38" s="40"/>
      <c r="N38" s="41" t="e">
        <f t="shared" ca="1" si="0"/>
        <v>#NAME?</v>
      </c>
      <c r="O38" s="39"/>
      <c r="P38" s="39"/>
    </row>
    <row r="39" spans="2:16" x14ac:dyDescent="0.25">
      <c r="B39" s="39"/>
      <c r="C39" s="39"/>
      <c r="D39" s="39"/>
      <c r="E39" s="39"/>
      <c r="F39" s="39"/>
      <c r="G39" s="39"/>
      <c r="H39" s="39"/>
      <c r="I39" s="39"/>
      <c r="J39" s="39"/>
      <c r="K39" s="39"/>
      <c r="L39" s="39"/>
      <c r="M39" s="40"/>
      <c r="N39" s="41" t="e">
        <f t="shared" ca="1" si="0"/>
        <v>#NAME?</v>
      </c>
      <c r="O39" s="39"/>
      <c r="P39" s="39"/>
    </row>
    <row r="40" spans="2:16" x14ac:dyDescent="0.25">
      <c r="B40" s="39"/>
      <c r="C40" s="39"/>
      <c r="D40" s="39"/>
      <c r="E40" s="39"/>
      <c r="F40" s="39"/>
      <c r="G40" s="39"/>
      <c r="H40" s="39"/>
      <c r="I40" s="39"/>
      <c r="J40" s="39"/>
      <c r="K40" s="39"/>
      <c r="L40" s="39"/>
      <c r="M40" s="40"/>
      <c r="N40" s="41" t="e">
        <f t="shared" ca="1" si="0"/>
        <v>#NAME?</v>
      </c>
      <c r="O40" s="39"/>
      <c r="P40" s="39"/>
    </row>
    <row r="41" spans="2:16" x14ac:dyDescent="0.25">
      <c r="B41" s="39"/>
      <c r="C41" s="39"/>
      <c r="D41" s="39"/>
      <c r="E41" s="39"/>
      <c r="F41" s="39"/>
      <c r="G41" s="39"/>
      <c r="H41" s="39"/>
      <c r="I41" s="39"/>
      <c r="J41" s="39"/>
      <c r="K41" s="39"/>
      <c r="L41" s="39"/>
      <c r="M41" s="40"/>
      <c r="N41" s="41" t="e">
        <f t="shared" ca="1" si="0"/>
        <v>#NAME?</v>
      </c>
      <c r="O41" s="39"/>
      <c r="P41" s="39"/>
    </row>
    <row r="42" spans="2:16" x14ac:dyDescent="0.25">
      <c r="B42" s="39"/>
      <c r="C42" s="39"/>
      <c r="D42" s="39"/>
      <c r="E42" s="39"/>
      <c r="F42" s="39"/>
      <c r="G42" s="39"/>
      <c r="H42" s="39"/>
      <c r="I42" s="39"/>
      <c r="J42" s="39"/>
      <c r="K42" s="39"/>
      <c r="L42" s="39"/>
      <c r="M42" s="40"/>
      <c r="N42" s="41" t="e">
        <f t="shared" ca="1" si="0"/>
        <v>#NAME?</v>
      </c>
      <c r="O42" s="39"/>
      <c r="P42" s="39"/>
    </row>
    <row r="43" spans="2:16" x14ac:dyDescent="0.25">
      <c r="B43" s="39"/>
      <c r="C43" s="39"/>
      <c r="D43" s="39"/>
      <c r="E43" s="39"/>
      <c r="F43" s="39"/>
      <c r="G43" s="39"/>
      <c r="H43" s="39"/>
      <c r="I43" s="39"/>
      <c r="J43" s="39"/>
      <c r="K43" s="39"/>
      <c r="L43" s="39"/>
      <c r="M43" s="40"/>
      <c r="N43" s="41" t="e">
        <f t="shared" ca="1" si="0"/>
        <v>#NAME?</v>
      </c>
      <c r="O43" s="39"/>
      <c r="P43" s="39"/>
    </row>
    <row r="44" spans="2:16" x14ac:dyDescent="0.25">
      <c r="B44" s="39"/>
      <c r="C44" s="39"/>
      <c r="D44" s="39"/>
      <c r="E44" s="39"/>
      <c r="F44" s="39"/>
      <c r="G44" s="39"/>
      <c r="H44" s="39"/>
      <c r="I44" s="39"/>
      <c r="J44" s="39"/>
      <c r="K44" s="39"/>
      <c r="L44" s="39"/>
      <c r="M44" s="40"/>
      <c r="N44" s="41" t="e">
        <f t="shared" ca="1" si="0"/>
        <v>#NAME?</v>
      </c>
      <c r="O44" s="39"/>
      <c r="P44" s="39"/>
    </row>
    <row r="45" spans="2:16" x14ac:dyDescent="0.25">
      <c r="B45" s="39"/>
      <c r="C45" s="39"/>
      <c r="D45" s="39"/>
      <c r="E45" s="39"/>
      <c r="F45" s="39"/>
      <c r="G45" s="39"/>
      <c r="H45" s="39"/>
      <c r="I45" s="39"/>
      <c r="J45" s="39"/>
      <c r="K45" s="39"/>
      <c r="L45" s="39"/>
      <c r="M45" s="40"/>
      <c r="N45" s="41" t="e">
        <f t="shared" ca="1" si="0"/>
        <v>#NAME?</v>
      </c>
      <c r="O45" s="39"/>
      <c r="P45" s="39"/>
    </row>
    <row r="46" spans="2:16" x14ac:dyDescent="0.25">
      <c r="B46" s="39"/>
      <c r="C46" s="39"/>
      <c r="D46" s="39"/>
      <c r="E46" s="39"/>
      <c r="F46" s="39"/>
      <c r="G46" s="39"/>
      <c r="H46" s="39"/>
      <c r="I46" s="39"/>
      <c r="J46" s="39"/>
      <c r="K46" s="39"/>
      <c r="L46" s="39"/>
      <c r="M46" s="40"/>
      <c r="N46" s="41" t="e">
        <f t="shared" ca="1" si="0"/>
        <v>#NAME?</v>
      </c>
      <c r="O46" s="39"/>
      <c r="P46" s="39"/>
    </row>
    <row r="47" spans="2:16" x14ac:dyDescent="0.25">
      <c r="B47" s="39"/>
      <c r="C47" s="39"/>
      <c r="D47" s="39"/>
      <c r="E47" s="39"/>
      <c r="F47" s="39"/>
      <c r="G47" s="39"/>
      <c r="H47" s="39"/>
      <c r="I47" s="39"/>
      <c r="J47" s="39"/>
      <c r="K47" s="39"/>
      <c r="L47" s="39"/>
      <c r="M47" s="40"/>
      <c r="N47" s="41" t="e">
        <f t="shared" ca="1" si="0"/>
        <v>#NAME?</v>
      </c>
      <c r="O47" s="39"/>
      <c r="P47" s="39"/>
    </row>
    <row r="48" spans="2:16" x14ac:dyDescent="0.25">
      <c r="B48" s="39"/>
      <c r="C48" s="39"/>
      <c r="D48" s="39"/>
      <c r="E48" s="39"/>
      <c r="F48" s="39"/>
      <c r="G48" s="39"/>
      <c r="H48" s="39"/>
      <c r="I48" s="39"/>
      <c r="J48" s="39"/>
      <c r="K48" s="39"/>
      <c r="L48" s="39"/>
      <c r="M48" s="40"/>
      <c r="N48" s="41" t="e">
        <f t="shared" ca="1" si="0"/>
        <v>#NAME?</v>
      </c>
      <c r="O48" s="39"/>
      <c r="P48" s="39"/>
    </row>
    <row r="49" spans="2:16" x14ac:dyDescent="0.25">
      <c r="B49" s="39"/>
      <c r="C49" s="39"/>
      <c r="D49" s="39"/>
      <c r="E49" s="39"/>
      <c r="F49" s="39"/>
      <c r="G49" s="39"/>
      <c r="H49" s="39"/>
      <c r="I49" s="39"/>
      <c r="J49" s="39"/>
      <c r="K49" s="39"/>
      <c r="L49" s="39"/>
      <c r="M49" s="40"/>
      <c r="N49" s="41" t="e">
        <f t="shared" ca="1" si="0"/>
        <v>#NAME?</v>
      </c>
      <c r="O49" s="39"/>
      <c r="P49" s="39"/>
    </row>
    <row r="50" spans="2:16" x14ac:dyDescent="0.25">
      <c r="B50" s="39"/>
      <c r="C50" s="39"/>
      <c r="D50" s="39"/>
      <c r="E50" s="39"/>
      <c r="F50" s="39"/>
      <c r="G50" s="39"/>
      <c r="H50" s="39"/>
      <c r="I50" s="39"/>
      <c r="J50" s="39"/>
      <c r="K50" s="39"/>
      <c r="L50" s="39"/>
      <c r="M50" s="40"/>
      <c r="N50" s="41" t="e">
        <f t="shared" ca="1" si="0"/>
        <v>#NAME?</v>
      </c>
      <c r="O50" s="39"/>
      <c r="P50" s="39"/>
    </row>
    <row r="51" spans="2:16" x14ac:dyDescent="0.25">
      <c r="B51" s="39"/>
      <c r="C51" s="39"/>
      <c r="D51" s="39"/>
      <c r="E51" s="39"/>
      <c r="F51" s="39"/>
      <c r="G51" s="39"/>
      <c r="H51" s="39"/>
      <c r="I51" s="39"/>
      <c r="J51" s="39"/>
      <c r="K51" s="39"/>
      <c r="L51" s="39"/>
      <c r="M51" s="40"/>
      <c r="N51" s="41" t="e">
        <f t="shared" ca="1" si="0"/>
        <v>#NAME?</v>
      </c>
      <c r="O51" s="39"/>
      <c r="P51" s="39"/>
    </row>
    <row r="52" spans="2:16" x14ac:dyDescent="0.25">
      <c r="B52" s="39"/>
      <c r="C52" s="39"/>
      <c r="D52" s="39"/>
      <c r="E52" s="39"/>
      <c r="F52" s="39"/>
      <c r="G52" s="39"/>
      <c r="H52" s="39"/>
      <c r="I52" s="39"/>
      <c r="J52" s="39"/>
      <c r="K52" s="39"/>
      <c r="L52" s="39"/>
      <c r="M52" s="40"/>
      <c r="N52" s="41" t="e">
        <f t="shared" ca="1" si="0"/>
        <v>#NAME?</v>
      </c>
      <c r="O52" s="39"/>
      <c r="P52" s="39"/>
    </row>
    <row r="53" spans="2:16" x14ac:dyDescent="0.25">
      <c r="B53" s="39"/>
      <c r="C53" s="39"/>
      <c r="D53" s="39"/>
      <c r="E53" s="39"/>
      <c r="F53" s="39"/>
      <c r="G53" s="39"/>
      <c r="H53" s="39"/>
      <c r="I53" s="39"/>
      <c r="J53" s="39"/>
      <c r="K53" s="39"/>
      <c r="L53" s="39"/>
      <c r="M53" s="40"/>
      <c r="N53" s="41" t="e">
        <f t="shared" ca="1" si="0"/>
        <v>#NAME?</v>
      </c>
      <c r="O53" s="39"/>
      <c r="P53" s="39"/>
    </row>
    <row r="54" spans="2:16" x14ac:dyDescent="0.25">
      <c r="B54" s="39"/>
      <c r="C54" s="39"/>
      <c r="D54" s="39"/>
      <c r="E54" s="39"/>
      <c r="F54" s="39"/>
      <c r="G54" s="39"/>
      <c r="H54" s="39"/>
      <c r="I54" s="39"/>
      <c r="J54" s="39"/>
      <c r="K54" s="39"/>
      <c r="L54" s="39"/>
      <c r="M54" s="40"/>
      <c r="N54" s="41" t="e">
        <f t="shared" ca="1" si="0"/>
        <v>#NAME?</v>
      </c>
      <c r="O54" s="39"/>
      <c r="P54" s="39"/>
    </row>
    <row r="55" spans="2:16" x14ac:dyDescent="0.25">
      <c r="B55" s="39"/>
      <c r="C55" s="39"/>
      <c r="D55" s="39"/>
      <c r="E55" s="39"/>
      <c r="F55" s="39"/>
      <c r="G55" s="39"/>
      <c r="H55" s="39"/>
      <c r="I55" s="39"/>
      <c r="J55" s="39"/>
      <c r="K55" s="39"/>
      <c r="L55" s="39"/>
      <c r="M55" s="40"/>
      <c r="N55" s="41" t="e">
        <f t="shared" ca="1" si="0"/>
        <v>#NAME?</v>
      </c>
      <c r="O55" s="39"/>
      <c r="P55" s="39"/>
    </row>
    <row r="56" spans="2:16" x14ac:dyDescent="0.25">
      <c r="B56" s="39"/>
      <c r="C56" s="39"/>
      <c r="D56" s="39"/>
      <c r="E56" s="39"/>
      <c r="F56" s="39"/>
      <c r="G56" s="39"/>
      <c r="H56" s="39"/>
      <c r="I56" s="39"/>
      <c r="J56" s="39"/>
      <c r="K56" s="39"/>
      <c r="L56" s="39"/>
      <c r="M56" s="40"/>
      <c r="N56" s="41" t="e">
        <f t="shared" ca="1" si="0"/>
        <v>#NAME?</v>
      </c>
      <c r="O56" s="39"/>
      <c r="P56" s="39"/>
    </row>
    <row r="57" spans="2:16" x14ac:dyDescent="0.25">
      <c r="B57" s="39"/>
      <c r="C57" s="39"/>
      <c r="D57" s="39"/>
      <c r="E57" s="39"/>
      <c r="F57" s="39"/>
      <c r="G57" s="39"/>
      <c r="H57" s="39"/>
      <c r="I57" s="39"/>
      <c r="J57" s="39"/>
      <c r="K57" s="39"/>
      <c r="L57" s="39"/>
      <c r="M57" s="40"/>
      <c r="N57" s="41" t="e">
        <f t="shared" ca="1" si="0"/>
        <v>#NAME?</v>
      </c>
      <c r="O57" s="39"/>
      <c r="P57" s="39"/>
    </row>
  </sheetData>
  <mergeCells count="4">
    <mergeCell ref="B2:C7"/>
    <mergeCell ref="D2:H4"/>
    <mergeCell ref="I2:I7"/>
    <mergeCell ref="D5:H7"/>
  </mergeCells>
  <phoneticPr fontId="18" type="noConversion"/>
  <pageMargins left="0.7" right="0.7" top="0.75" bottom="0.75" header="0.3" footer="0.3"/>
  <pageSetup paperSize="9" orientation="portrait" horizontalDpi="4294967295" verticalDpi="4294967295"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90A4418-CB08-476B-92D6-D2E9AF237CBA}">
          <x14:formula1>
            <xm:f>Datos!$K$2:$K$6</xm:f>
          </x14:formula1>
          <xm:sqref>G11</xm:sqref>
        </x14:dataValidation>
        <x14:dataValidation type="list" allowBlank="1" showInputMessage="1" showErrorMessage="1" xr:uid="{A205A70F-A27C-415E-993F-78FF46E40087}">
          <x14:formula1>
            <xm:f>Datos!$L$2:$L$6</xm:f>
          </x14:formula1>
          <xm:sqref>L11:L57</xm:sqref>
        </x14:dataValidation>
        <x14:dataValidation type="list" allowBlank="1" showInputMessage="1" showErrorMessage="1" xr:uid="{113CB0D4-A0B5-42FA-9CE8-4DEF6B5E9C4A}">
          <x14:formula1>
            <xm:f>Datos!$M$2:$M$3</xm:f>
          </x14:formula1>
          <xm:sqref>O11:O57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6D2BB-9685-42BC-86CE-DBB0105AF489}">
  <sheetPr codeName="Hoja5"/>
  <dimension ref="A1:O90"/>
  <sheetViews>
    <sheetView workbookViewId="0">
      <selection activeCell="K93" sqref="K93"/>
    </sheetView>
  </sheetViews>
  <sheetFormatPr baseColWidth="10" defaultRowHeight="15" x14ac:dyDescent="0.25"/>
  <cols>
    <col min="1" max="16384" width="11.42578125" style="1"/>
  </cols>
  <sheetData>
    <row r="1" spans="2:15" ht="35.1" customHeight="1" x14ac:dyDescent="0.25"/>
    <row r="2" spans="2:15" x14ac:dyDescent="0.25">
      <c r="B2" s="102"/>
      <c r="C2" s="103"/>
      <c r="D2" s="104"/>
      <c r="E2" s="98" t="s">
        <v>0</v>
      </c>
      <c r="F2" s="98"/>
      <c r="G2" s="98"/>
      <c r="H2" s="98"/>
      <c r="I2" s="98"/>
      <c r="J2" s="98"/>
      <c r="K2" s="98"/>
      <c r="L2" s="99"/>
      <c r="M2" s="144" t="s">
        <v>1</v>
      </c>
      <c r="N2" s="145"/>
    </row>
    <row r="3" spans="2:15" x14ac:dyDescent="0.25">
      <c r="B3" s="105"/>
      <c r="C3" s="106"/>
      <c r="D3" s="107"/>
      <c r="E3" s="100"/>
      <c r="F3" s="100"/>
      <c r="G3" s="100"/>
      <c r="H3" s="100"/>
      <c r="I3" s="100"/>
      <c r="J3" s="100"/>
      <c r="K3" s="100"/>
      <c r="L3" s="101"/>
      <c r="M3" s="146"/>
      <c r="N3" s="147"/>
    </row>
    <row r="4" spans="2:15" x14ac:dyDescent="0.25">
      <c r="B4" s="105"/>
      <c r="C4" s="106"/>
      <c r="D4" s="107"/>
      <c r="E4" s="111" t="s">
        <v>289</v>
      </c>
      <c r="F4" s="112"/>
      <c r="G4" s="112"/>
      <c r="H4" s="112"/>
      <c r="I4" s="112"/>
      <c r="J4" s="112"/>
      <c r="K4" s="112"/>
      <c r="L4" s="113"/>
      <c r="M4" s="146"/>
      <c r="N4" s="147"/>
    </row>
    <row r="5" spans="2:15" x14ac:dyDescent="0.25">
      <c r="B5" s="105"/>
      <c r="C5" s="106"/>
      <c r="D5" s="107"/>
      <c r="E5" s="114"/>
      <c r="F5" s="115"/>
      <c r="G5" s="115"/>
      <c r="H5" s="115"/>
      <c r="I5" s="115"/>
      <c r="J5" s="115"/>
      <c r="K5" s="115"/>
      <c r="L5" s="116"/>
      <c r="M5" s="146"/>
      <c r="N5" s="147"/>
    </row>
    <row r="6" spans="2:15" x14ac:dyDescent="0.25">
      <c r="B6" s="105"/>
      <c r="C6" s="106"/>
      <c r="D6" s="107"/>
      <c r="E6" s="114"/>
      <c r="F6" s="115"/>
      <c r="G6" s="115"/>
      <c r="H6" s="115"/>
      <c r="I6" s="115"/>
      <c r="J6" s="115"/>
      <c r="K6" s="115"/>
      <c r="L6" s="116"/>
      <c r="M6" s="146"/>
      <c r="N6" s="147"/>
    </row>
    <row r="7" spans="2:15" x14ac:dyDescent="0.25">
      <c r="B7" s="108"/>
      <c r="C7" s="109"/>
      <c r="D7" s="110"/>
      <c r="E7" s="117"/>
      <c r="F7" s="118"/>
      <c r="G7" s="118"/>
      <c r="H7" s="118"/>
      <c r="I7" s="118"/>
      <c r="J7" s="118"/>
      <c r="K7" s="118"/>
      <c r="L7" s="119"/>
      <c r="M7" s="148"/>
      <c r="N7" s="149"/>
    </row>
    <row r="9" spans="2:15" x14ac:dyDescent="0.25">
      <c r="E9" s="1" t="s">
        <v>311</v>
      </c>
    </row>
    <row r="10" spans="2:15" x14ac:dyDescent="0.25">
      <c r="E10" s="2"/>
      <c r="F10" s="2"/>
      <c r="G10" s="2"/>
      <c r="J10" s="9"/>
      <c r="K10" s="9"/>
      <c r="L10" s="9"/>
      <c r="M10" s="9"/>
    </row>
    <row r="11" spans="2:15" ht="30" customHeight="1" x14ac:dyDescent="0.25">
      <c r="B11" s="216" t="s">
        <v>291</v>
      </c>
      <c r="C11" s="216"/>
      <c r="D11" s="139"/>
      <c r="E11" s="217" t="s">
        <v>289</v>
      </c>
      <c r="F11" s="218"/>
      <c r="G11" s="218"/>
      <c r="H11" s="219"/>
      <c r="I11" s="57"/>
      <c r="J11" s="220" t="s">
        <v>290</v>
      </c>
      <c r="K11" s="221"/>
      <c r="L11" s="221"/>
      <c r="M11" s="222"/>
      <c r="N11" s="58"/>
    </row>
    <row r="12" spans="2:15" x14ac:dyDescent="0.25">
      <c r="D12" s="60"/>
      <c r="E12" s="4"/>
      <c r="J12" s="4"/>
      <c r="K12" s="4"/>
      <c r="L12" s="4"/>
      <c r="M12" s="4"/>
    </row>
    <row r="13" spans="2:15" ht="30" customHeight="1" x14ac:dyDescent="0.25">
      <c r="B13" s="223" t="s">
        <v>292</v>
      </c>
      <c r="C13" s="224"/>
      <c r="D13" s="225"/>
      <c r="E13" s="226"/>
      <c r="F13" s="227"/>
      <c r="G13" s="227"/>
      <c r="H13" s="227"/>
      <c r="I13" s="227"/>
      <c r="J13" s="227"/>
      <c r="K13" s="227"/>
      <c r="L13" s="227"/>
      <c r="M13" s="227"/>
      <c r="N13" s="228"/>
      <c r="O13" s="2"/>
    </row>
    <row r="14" spans="2:15" x14ac:dyDescent="0.25">
      <c r="B14" s="2"/>
      <c r="E14" s="229"/>
      <c r="F14" s="106"/>
      <c r="G14" s="106"/>
      <c r="H14" s="106"/>
      <c r="I14" s="106"/>
      <c r="J14" s="106"/>
      <c r="K14" s="106"/>
      <c r="L14" s="106"/>
      <c r="M14" s="106"/>
      <c r="N14" s="230"/>
    </row>
    <row r="15" spans="2:15" x14ac:dyDescent="0.25">
      <c r="E15" s="229"/>
      <c r="F15" s="106"/>
      <c r="G15" s="106"/>
      <c r="H15" s="106"/>
      <c r="I15" s="106"/>
      <c r="J15" s="106"/>
      <c r="K15" s="106"/>
      <c r="L15" s="106"/>
      <c r="M15" s="106"/>
      <c r="N15" s="230"/>
    </row>
    <row r="16" spans="2:15" x14ac:dyDescent="0.25">
      <c r="E16" s="229"/>
      <c r="F16" s="106"/>
      <c r="G16" s="106"/>
      <c r="H16" s="106"/>
      <c r="I16" s="106"/>
      <c r="J16" s="106"/>
      <c r="K16" s="106"/>
      <c r="L16" s="106"/>
      <c r="M16" s="106"/>
      <c r="N16" s="230"/>
    </row>
    <row r="17" spans="2:15" x14ac:dyDescent="0.25">
      <c r="E17" s="229"/>
      <c r="F17" s="106"/>
      <c r="G17" s="106"/>
      <c r="H17" s="106"/>
      <c r="I17" s="106"/>
      <c r="J17" s="106"/>
      <c r="K17" s="106"/>
      <c r="L17" s="106"/>
      <c r="M17" s="106"/>
      <c r="N17" s="230"/>
    </row>
    <row r="18" spans="2:15" x14ac:dyDescent="0.25">
      <c r="E18" s="231"/>
      <c r="F18" s="232"/>
      <c r="G18" s="232"/>
      <c r="H18" s="232"/>
      <c r="I18" s="232"/>
      <c r="J18" s="232"/>
      <c r="K18" s="232"/>
      <c r="L18" s="232"/>
      <c r="M18" s="232"/>
      <c r="N18" s="233"/>
    </row>
    <row r="20" spans="2:15" ht="30" customHeight="1" x14ac:dyDescent="0.25">
      <c r="B20" s="223" t="s">
        <v>293</v>
      </c>
      <c r="C20" s="224"/>
      <c r="D20" s="225"/>
      <c r="E20" s="226"/>
      <c r="F20" s="227"/>
      <c r="G20" s="227"/>
      <c r="H20" s="227"/>
      <c r="I20" s="227"/>
      <c r="J20" s="227"/>
      <c r="K20" s="227"/>
      <c r="L20" s="227"/>
      <c r="M20" s="227"/>
      <c r="N20" s="228"/>
      <c r="O20" s="2"/>
    </row>
    <row r="21" spans="2:15" x14ac:dyDescent="0.25">
      <c r="B21" s="2"/>
      <c r="D21" s="59"/>
      <c r="E21" s="229"/>
      <c r="F21" s="106"/>
      <c r="G21" s="106"/>
      <c r="H21" s="106"/>
      <c r="I21" s="106"/>
      <c r="J21" s="106"/>
      <c r="K21" s="106"/>
      <c r="L21" s="106"/>
      <c r="M21" s="106"/>
      <c r="N21" s="230"/>
      <c r="O21" s="2"/>
    </row>
    <row r="22" spans="2:15" x14ac:dyDescent="0.25">
      <c r="D22" s="2"/>
      <c r="E22" s="229"/>
      <c r="F22" s="106"/>
      <c r="G22" s="106"/>
      <c r="H22" s="106"/>
      <c r="I22" s="106"/>
      <c r="J22" s="106"/>
      <c r="K22" s="106"/>
      <c r="L22" s="106"/>
      <c r="M22" s="106"/>
      <c r="N22" s="230"/>
      <c r="O22" s="2"/>
    </row>
    <row r="23" spans="2:15" x14ac:dyDescent="0.25">
      <c r="E23" s="229"/>
      <c r="F23" s="106"/>
      <c r="G23" s="106"/>
      <c r="H23" s="106"/>
      <c r="I23" s="106"/>
      <c r="J23" s="106"/>
      <c r="K23" s="106"/>
      <c r="L23" s="106"/>
      <c r="M23" s="106"/>
      <c r="N23" s="230"/>
    </row>
    <row r="24" spans="2:15" x14ac:dyDescent="0.25">
      <c r="E24" s="229"/>
      <c r="F24" s="106"/>
      <c r="G24" s="106"/>
      <c r="H24" s="106"/>
      <c r="I24" s="106"/>
      <c r="J24" s="106"/>
      <c r="K24" s="106"/>
      <c r="L24" s="106"/>
      <c r="M24" s="106"/>
      <c r="N24" s="230"/>
    </row>
    <row r="25" spans="2:15" x14ac:dyDescent="0.25">
      <c r="E25" s="229"/>
      <c r="F25" s="106"/>
      <c r="G25" s="106"/>
      <c r="H25" s="106"/>
      <c r="I25" s="106"/>
      <c r="J25" s="106"/>
      <c r="K25" s="106"/>
      <c r="L25" s="106"/>
      <c r="M25" s="106"/>
      <c r="N25" s="230"/>
    </row>
    <row r="26" spans="2:15" x14ac:dyDescent="0.25">
      <c r="E26" s="229"/>
      <c r="F26" s="106"/>
      <c r="G26" s="106"/>
      <c r="H26" s="106"/>
      <c r="I26" s="106"/>
      <c r="J26" s="106"/>
      <c r="K26" s="106"/>
      <c r="L26" s="106"/>
      <c r="M26" s="106"/>
      <c r="N26" s="230"/>
    </row>
    <row r="27" spans="2:15" x14ac:dyDescent="0.25">
      <c r="E27" s="229"/>
      <c r="F27" s="106"/>
      <c r="G27" s="106"/>
      <c r="H27" s="106"/>
      <c r="I27" s="106"/>
      <c r="J27" s="106"/>
      <c r="K27" s="106"/>
      <c r="L27" s="106"/>
      <c r="M27" s="106"/>
      <c r="N27" s="230"/>
    </row>
    <row r="28" spans="2:15" x14ac:dyDescent="0.25">
      <c r="E28" s="229"/>
      <c r="F28" s="106"/>
      <c r="G28" s="106"/>
      <c r="H28" s="106"/>
      <c r="I28" s="106"/>
      <c r="J28" s="106"/>
      <c r="K28" s="106"/>
      <c r="L28" s="106"/>
      <c r="M28" s="106"/>
      <c r="N28" s="230"/>
    </row>
    <row r="29" spans="2:15" x14ac:dyDescent="0.25">
      <c r="E29" s="231"/>
      <c r="F29" s="232"/>
      <c r="G29" s="232"/>
      <c r="H29" s="232"/>
      <c r="I29" s="232"/>
      <c r="J29" s="232"/>
      <c r="K29" s="232"/>
      <c r="L29" s="232"/>
      <c r="M29" s="232"/>
      <c r="N29" s="233"/>
    </row>
    <row r="31" spans="2:15" ht="30" customHeight="1" x14ac:dyDescent="0.25">
      <c r="B31" s="234" t="s">
        <v>294</v>
      </c>
      <c r="C31" s="235"/>
      <c r="D31" s="236"/>
      <c r="E31" s="226"/>
      <c r="F31" s="227"/>
      <c r="G31" s="227"/>
      <c r="H31" s="227"/>
      <c r="I31" s="227"/>
      <c r="J31" s="227"/>
      <c r="K31" s="227"/>
      <c r="L31" s="227"/>
      <c r="M31" s="227"/>
      <c r="N31" s="228"/>
    </row>
    <row r="32" spans="2:15" x14ac:dyDescent="0.25">
      <c r="B32" s="2"/>
      <c r="D32" s="59"/>
      <c r="E32" s="229"/>
      <c r="F32" s="106"/>
      <c r="G32" s="106"/>
      <c r="H32" s="106"/>
      <c r="I32" s="106"/>
      <c r="J32" s="106"/>
      <c r="K32" s="106"/>
      <c r="L32" s="106"/>
      <c r="M32" s="106"/>
      <c r="N32" s="230"/>
    </row>
    <row r="33" spans="1:15" x14ac:dyDescent="0.25">
      <c r="D33" s="2"/>
      <c r="E33" s="229"/>
      <c r="F33" s="106"/>
      <c r="G33" s="106"/>
      <c r="H33" s="106"/>
      <c r="I33" s="106"/>
      <c r="J33" s="106"/>
      <c r="K33" s="106"/>
      <c r="L33" s="106"/>
      <c r="M33" s="106"/>
      <c r="N33" s="230"/>
    </row>
    <row r="34" spans="1:15" x14ac:dyDescent="0.25">
      <c r="E34" s="229"/>
      <c r="F34" s="106"/>
      <c r="G34" s="106"/>
      <c r="H34" s="106"/>
      <c r="I34" s="106"/>
      <c r="J34" s="106"/>
      <c r="K34" s="106"/>
      <c r="L34" s="106"/>
      <c r="M34" s="106"/>
      <c r="N34" s="230"/>
    </row>
    <row r="35" spans="1:15" x14ac:dyDescent="0.25">
      <c r="E35" s="229"/>
      <c r="F35" s="106"/>
      <c r="G35" s="106"/>
      <c r="H35" s="106"/>
      <c r="I35" s="106"/>
      <c r="J35" s="106"/>
      <c r="K35" s="106"/>
      <c r="L35" s="106"/>
      <c r="M35" s="106"/>
      <c r="N35" s="230"/>
    </row>
    <row r="36" spans="1:15" x14ac:dyDescent="0.25">
      <c r="E36" s="229"/>
      <c r="F36" s="106"/>
      <c r="G36" s="106"/>
      <c r="H36" s="106"/>
      <c r="I36" s="106"/>
      <c r="J36" s="106"/>
      <c r="K36" s="106"/>
      <c r="L36" s="106"/>
      <c r="M36" s="106"/>
      <c r="N36" s="230"/>
    </row>
    <row r="37" spans="1:15" x14ac:dyDescent="0.25">
      <c r="E37" s="229"/>
      <c r="F37" s="106"/>
      <c r="G37" s="106"/>
      <c r="H37" s="106"/>
      <c r="I37" s="106"/>
      <c r="J37" s="106"/>
      <c r="K37" s="106"/>
      <c r="L37" s="106"/>
      <c r="M37" s="106"/>
      <c r="N37" s="230"/>
    </row>
    <row r="38" spans="1:15" x14ac:dyDescent="0.25">
      <c r="E38" s="229"/>
      <c r="F38" s="106"/>
      <c r="G38" s="106"/>
      <c r="H38" s="106"/>
      <c r="I38" s="106"/>
      <c r="J38" s="106"/>
      <c r="K38" s="106"/>
      <c r="L38" s="106"/>
      <c r="M38" s="106"/>
      <c r="N38" s="230"/>
    </row>
    <row r="39" spans="1:15" x14ac:dyDescent="0.25">
      <c r="E39" s="229"/>
      <c r="F39" s="106"/>
      <c r="G39" s="106"/>
      <c r="H39" s="106"/>
      <c r="I39" s="106"/>
      <c r="J39" s="106"/>
      <c r="K39" s="106"/>
      <c r="L39" s="106"/>
      <c r="M39" s="106"/>
      <c r="N39" s="230"/>
    </row>
    <row r="40" spans="1:15" x14ac:dyDescent="0.25">
      <c r="E40" s="231"/>
      <c r="F40" s="232"/>
      <c r="G40" s="232"/>
      <c r="H40" s="232"/>
      <c r="I40" s="232"/>
      <c r="J40" s="232"/>
      <c r="K40" s="232"/>
      <c r="L40" s="232"/>
      <c r="M40" s="232"/>
      <c r="N40" s="233"/>
    </row>
    <row r="42" spans="1:15" ht="30" customHeight="1" x14ac:dyDescent="0.25">
      <c r="A42" s="61"/>
      <c r="B42" s="234" t="s">
        <v>295</v>
      </c>
      <c r="C42" s="235"/>
      <c r="D42" s="236"/>
      <c r="E42" s="226"/>
      <c r="F42" s="227"/>
      <c r="G42" s="227"/>
      <c r="H42" s="227"/>
      <c r="I42" s="227"/>
      <c r="J42" s="227"/>
      <c r="K42" s="227"/>
      <c r="L42" s="227"/>
      <c r="M42" s="227"/>
      <c r="N42" s="228"/>
    </row>
    <row r="43" spans="1:15" x14ac:dyDescent="0.25">
      <c r="E43" s="229"/>
      <c r="F43" s="106"/>
      <c r="G43" s="106"/>
      <c r="H43" s="106"/>
      <c r="I43" s="106"/>
      <c r="J43" s="106"/>
      <c r="K43" s="106"/>
      <c r="L43" s="106"/>
      <c r="M43" s="106"/>
      <c r="N43" s="230"/>
    </row>
    <row r="44" spans="1:15" x14ac:dyDescent="0.25">
      <c r="D44" s="2"/>
      <c r="E44" s="229"/>
      <c r="F44" s="106"/>
      <c r="G44" s="106"/>
      <c r="H44" s="106"/>
      <c r="I44" s="106"/>
      <c r="J44" s="106"/>
      <c r="K44" s="106"/>
      <c r="L44" s="106"/>
      <c r="M44" s="106"/>
      <c r="N44" s="230"/>
      <c r="O44" s="2"/>
    </row>
    <row r="45" spans="1:15" x14ac:dyDescent="0.25">
      <c r="E45" s="229"/>
      <c r="F45" s="106"/>
      <c r="G45" s="106"/>
      <c r="H45" s="106"/>
      <c r="I45" s="106"/>
      <c r="J45" s="106"/>
      <c r="K45" s="106"/>
      <c r="L45" s="106"/>
      <c r="M45" s="106"/>
      <c r="N45" s="230"/>
    </row>
    <row r="46" spans="1:15" x14ac:dyDescent="0.25">
      <c r="E46" s="231"/>
      <c r="F46" s="232"/>
      <c r="G46" s="232"/>
      <c r="H46" s="232"/>
      <c r="I46" s="232"/>
      <c r="J46" s="232"/>
      <c r="K46" s="232"/>
      <c r="L46" s="232"/>
      <c r="M46" s="232"/>
      <c r="N46" s="233"/>
    </row>
    <row r="47" spans="1:15" x14ac:dyDescent="0.25">
      <c r="F47" s="4"/>
      <c r="G47" s="4"/>
    </row>
    <row r="48" spans="1:15" ht="30" customHeight="1" x14ac:dyDescent="0.25">
      <c r="B48" s="237" t="s">
        <v>296</v>
      </c>
      <c r="C48" s="238"/>
      <c r="D48" s="238"/>
      <c r="E48" s="226"/>
      <c r="F48" s="227"/>
      <c r="G48" s="227"/>
      <c r="H48" s="227"/>
      <c r="I48" s="227"/>
      <c r="J48" s="227"/>
      <c r="K48" s="227"/>
      <c r="L48" s="227"/>
      <c r="M48" s="227"/>
      <c r="N48" s="228"/>
    </row>
    <row r="49" spans="2:15" x14ac:dyDescent="0.25">
      <c r="E49" s="229"/>
      <c r="F49" s="106"/>
      <c r="G49" s="106"/>
      <c r="H49" s="106"/>
      <c r="I49" s="106"/>
      <c r="J49" s="106"/>
      <c r="K49" s="106"/>
      <c r="L49" s="106"/>
      <c r="M49" s="106"/>
      <c r="N49" s="230"/>
    </row>
    <row r="50" spans="2:15" x14ac:dyDescent="0.25">
      <c r="E50" s="229"/>
      <c r="F50" s="106"/>
      <c r="G50" s="106"/>
      <c r="H50" s="106"/>
      <c r="I50" s="106"/>
      <c r="J50" s="106"/>
      <c r="K50" s="106"/>
      <c r="L50" s="106"/>
      <c r="M50" s="106"/>
      <c r="N50" s="230"/>
    </row>
    <row r="51" spans="2:15" x14ac:dyDescent="0.25">
      <c r="E51" s="229"/>
      <c r="F51" s="106"/>
      <c r="G51" s="106"/>
      <c r="H51" s="106"/>
      <c r="I51" s="106"/>
      <c r="J51" s="106"/>
      <c r="K51" s="106"/>
      <c r="L51" s="106"/>
      <c r="M51" s="106"/>
      <c r="N51" s="230"/>
    </row>
    <row r="52" spans="2:15" x14ac:dyDescent="0.25">
      <c r="E52" s="231"/>
      <c r="F52" s="232"/>
      <c r="G52" s="232"/>
      <c r="H52" s="232"/>
      <c r="I52" s="232"/>
      <c r="J52" s="232"/>
      <c r="K52" s="232"/>
      <c r="L52" s="232"/>
      <c r="M52" s="232"/>
      <c r="N52" s="233"/>
      <c r="O52" s="2"/>
    </row>
    <row r="54" spans="2:15" ht="30" customHeight="1" x14ac:dyDescent="0.25">
      <c r="B54" s="237" t="s">
        <v>297</v>
      </c>
      <c r="C54" s="238"/>
      <c r="D54" s="238"/>
      <c r="E54" s="226"/>
      <c r="F54" s="227"/>
      <c r="G54" s="227"/>
      <c r="H54" s="227"/>
      <c r="I54" s="227"/>
      <c r="J54" s="227"/>
      <c r="K54" s="227"/>
      <c r="L54" s="227"/>
      <c r="M54" s="227"/>
      <c r="N54" s="228"/>
    </row>
    <row r="55" spans="2:15" x14ac:dyDescent="0.25">
      <c r="E55" s="229"/>
      <c r="F55" s="106"/>
      <c r="G55" s="106"/>
      <c r="H55" s="106"/>
      <c r="I55" s="106"/>
      <c r="J55" s="106"/>
      <c r="K55" s="106"/>
      <c r="L55" s="106"/>
      <c r="M55" s="106"/>
      <c r="N55" s="230"/>
    </row>
    <row r="56" spans="2:15" x14ac:dyDescent="0.25">
      <c r="E56" s="229"/>
      <c r="F56" s="106"/>
      <c r="G56" s="106"/>
      <c r="H56" s="106"/>
      <c r="I56" s="106"/>
      <c r="J56" s="106"/>
      <c r="K56" s="106"/>
      <c r="L56" s="106"/>
      <c r="M56" s="106"/>
      <c r="N56" s="230"/>
    </row>
    <row r="57" spans="2:15" x14ac:dyDescent="0.25">
      <c r="E57" s="229"/>
      <c r="F57" s="106"/>
      <c r="G57" s="106"/>
      <c r="H57" s="106"/>
      <c r="I57" s="106"/>
      <c r="J57" s="106"/>
      <c r="K57" s="106"/>
      <c r="L57" s="106"/>
      <c r="M57" s="106"/>
      <c r="N57" s="230"/>
    </row>
    <row r="58" spans="2:15" x14ac:dyDescent="0.25">
      <c r="E58" s="231"/>
      <c r="F58" s="232"/>
      <c r="G58" s="232"/>
      <c r="H58" s="232"/>
      <c r="I58" s="232"/>
      <c r="J58" s="232"/>
      <c r="K58" s="232"/>
      <c r="L58" s="232"/>
      <c r="M58" s="232"/>
      <c r="N58" s="233"/>
    </row>
    <row r="60" spans="2:15" ht="30" customHeight="1" x14ac:dyDescent="0.25">
      <c r="B60" s="237" t="s">
        <v>298</v>
      </c>
      <c r="C60" s="238"/>
      <c r="D60" s="238"/>
      <c r="E60" s="226"/>
      <c r="F60" s="227"/>
      <c r="G60" s="227"/>
      <c r="H60" s="227"/>
      <c r="I60" s="227"/>
      <c r="J60" s="227"/>
      <c r="K60" s="227"/>
      <c r="L60" s="227"/>
      <c r="M60" s="227"/>
      <c r="N60" s="228"/>
    </row>
    <row r="61" spans="2:15" x14ac:dyDescent="0.25">
      <c r="E61" s="229"/>
      <c r="F61" s="106"/>
      <c r="G61" s="106"/>
      <c r="H61" s="106"/>
      <c r="I61" s="106"/>
      <c r="J61" s="106"/>
      <c r="K61" s="106"/>
      <c r="L61" s="106"/>
      <c r="M61" s="106"/>
      <c r="N61" s="230"/>
    </row>
    <row r="62" spans="2:15" x14ac:dyDescent="0.25">
      <c r="E62" s="229"/>
      <c r="F62" s="106"/>
      <c r="G62" s="106"/>
      <c r="H62" s="106"/>
      <c r="I62" s="106"/>
      <c r="J62" s="106"/>
      <c r="K62" s="106"/>
      <c r="L62" s="106"/>
      <c r="M62" s="106"/>
      <c r="N62" s="230"/>
    </row>
    <row r="63" spans="2:15" x14ac:dyDescent="0.25">
      <c r="E63" s="229"/>
      <c r="F63" s="106"/>
      <c r="G63" s="106"/>
      <c r="H63" s="106"/>
      <c r="I63" s="106"/>
      <c r="J63" s="106"/>
      <c r="K63" s="106"/>
      <c r="L63" s="106"/>
      <c r="M63" s="106"/>
      <c r="N63" s="230"/>
    </row>
    <row r="64" spans="2:15" x14ac:dyDescent="0.25">
      <c r="E64" s="231"/>
      <c r="F64" s="232"/>
      <c r="G64" s="232"/>
      <c r="H64" s="232"/>
      <c r="I64" s="232"/>
      <c r="J64" s="232"/>
      <c r="K64" s="232"/>
      <c r="L64" s="232"/>
      <c r="M64" s="232"/>
      <c r="N64" s="233"/>
    </row>
    <row r="66" spans="2:15" ht="30" customHeight="1" x14ac:dyDescent="0.25">
      <c r="B66" s="239" t="s">
        <v>299</v>
      </c>
      <c r="C66" s="239"/>
      <c r="D66" s="239"/>
      <c r="E66" s="222" t="s">
        <v>300</v>
      </c>
      <c r="F66" s="240"/>
      <c r="G66" s="240"/>
      <c r="H66" s="240"/>
      <c r="I66" s="220" t="s">
        <v>301</v>
      </c>
      <c r="J66" s="221"/>
      <c r="K66" s="221"/>
      <c r="L66" s="222"/>
      <c r="M66" s="240" t="s">
        <v>302</v>
      </c>
      <c r="N66" s="240"/>
    </row>
    <row r="67" spans="2:15" x14ac:dyDescent="0.25">
      <c r="E67" s="241" t="s">
        <v>303</v>
      </c>
      <c r="F67" s="242"/>
      <c r="G67" s="242"/>
      <c r="H67" s="243"/>
      <c r="I67" s="241"/>
      <c r="J67" s="242"/>
      <c r="K67" s="242"/>
      <c r="L67" s="243"/>
      <c r="M67" s="247" t="s">
        <v>11</v>
      </c>
      <c r="N67" s="248"/>
    </row>
    <row r="68" spans="2:15" x14ac:dyDescent="0.25">
      <c r="E68" s="244"/>
      <c r="F68" s="245"/>
      <c r="G68" s="245"/>
      <c r="H68" s="246"/>
      <c r="I68" s="244"/>
      <c r="J68" s="245"/>
      <c r="K68" s="245"/>
      <c r="L68" s="246"/>
      <c r="M68" s="249"/>
      <c r="N68" s="250"/>
    </row>
    <row r="69" spans="2:15" x14ac:dyDescent="0.25">
      <c r="E69" s="251" t="s">
        <v>304</v>
      </c>
      <c r="F69" s="252"/>
      <c r="G69" s="252"/>
      <c r="H69" s="253"/>
      <c r="I69" s="251"/>
      <c r="J69" s="252"/>
      <c r="K69" s="252"/>
      <c r="L69" s="253"/>
      <c r="M69" s="257" t="s">
        <v>11</v>
      </c>
      <c r="N69" s="258"/>
    </row>
    <row r="70" spans="2:15" x14ac:dyDescent="0.25">
      <c r="E70" s="254"/>
      <c r="F70" s="255"/>
      <c r="G70" s="255"/>
      <c r="H70" s="256"/>
      <c r="I70" s="254"/>
      <c r="J70" s="255"/>
      <c r="K70" s="255"/>
      <c r="L70" s="256"/>
      <c r="M70" s="259"/>
      <c r="N70" s="260"/>
    </row>
    <row r="72" spans="2:15" ht="30" customHeight="1" x14ac:dyDescent="0.25">
      <c r="B72" s="239" t="s">
        <v>305</v>
      </c>
      <c r="C72" s="239"/>
      <c r="D72" s="239"/>
      <c r="E72" s="263" t="s">
        <v>306</v>
      </c>
      <c r="F72" s="221"/>
      <c r="G72" s="221"/>
      <c r="H72" s="222"/>
      <c r="I72" s="220" t="s">
        <v>301</v>
      </c>
      <c r="J72" s="221"/>
      <c r="K72" s="221"/>
      <c r="L72" s="261" t="s">
        <v>307</v>
      </c>
      <c r="M72" s="262"/>
      <c r="N72" s="263"/>
      <c r="O72" s="5"/>
    </row>
    <row r="73" spans="2:15" ht="15" customHeight="1" x14ac:dyDescent="0.25">
      <c r="E73" s="251"/>
      <c r="F73" s="252"/>
      <c r="G73" s="252"/>
      <c r="H73" s="253"/>
      <c r="I73" s="251"/>
      <c r="J73" s="252"/>
      <c r="K73" s="253"/>
      <c r="L73" s="264"/>
      <c r="M73" s="264"/>
      <c r="N73" s="264"/>
    </row>
    <row r="74" spans="2:15" x14ac:dyDescent="0.25">
      <c r="E74" s="254"/>
      <c r="F74" s="255"/>
      <c r="G74" s="255"/>
      <c r="H74" s="256"/>
      <c r="I74" s="254"/>
      <c r="J74" s="255"/>
      <c r="K74" s="256"/>
      <c r="L74" s="265"/>
      <c r="M74" s="265"/>
      <c r="N74" s="265"/>
    </row>
    <row r="75" spans="2:15" ht="15" customHeight="1" x14ac:dyDescent="0.25">
      <c r="E75" s="267"/>
      <c r="F75" s="268"/>
      <c r="G75" s="268"/>
      <c r="H75" s="269"/>
      <c r="I75" s="267"/>
      <c r="J75" s="268"/>
      <c r="K75" s="269"/>
      <c r="L75" s="266"/>
      <c r="M75" s="266"/>
      <c r="N75" s="266"/>
    </row>
    <row r="76" spans="2:15" x14ac:dyDescent="0.25">
      <c r="E76" s="244"/>
      <c r="F76" s="245"/>
      <c r="G76" s="245"/>
      <c r="H76" s="246"/>
      <c r="I76" s="244"/>
      <c r="J76" s="245"/>
      <c r="K76" s="246"/>
      <c r="L76" s="266"/>
      <c r="M76" s="266"/>
      <c r="N76" s="266"/>
    </row>
    <row r="77" spans="2:15" x14ac:dyDescent="0.25">
      <c r="E77" s="144"/>
      <c r="F77" s="270"/>
      <c r="G77" s="270"/>
      <c r="H77" s="271"/>
      <c r="I77" s="144"/>
      <c r="J77" s="270"/>
      <c r="K77" s="271"/>
      <c r="L77" s="265"/>
      <c r="M77" s="265"/>
      <c r="N77" s="265"/>
    </row>
    <row r="78" spans="2:15" x14ac:dyDescent="0.25">
      <c r="E78" s="254"/>
      <c r="F78" s="255"/>
      <c r="G78" s="255"/>
      <c r="H78" s="256"/>
      <c r="I78" s="254"/>
      <c r="J78" s="255"/>
      <c r="K78" s="256"/>
      <c r="L78" s="265"/>
      <c r="M78" s="265"/>
      <c r="N78" s="265"/>
    </row>
    <row r="79" spans="2:15" x14ac:dyDescent="0.25">
      <c r="E79" s="267"/>
      <c r="F79" s="268"/>
      <c r="G79" s="268"/>
      <c r="H79" s="269"/>
      <c r="I79" s="267"/>
      <c r="J79" s="268"/>
      <c r="K79" s="269"/>
      <c r="L79" s="266"/>
      <c r="M79" s="266"/>
      <c r="N79" s="266"/>
    </row>
    <row r="80" spans="2:15" x14ac:dyDescent="0.25">
      <c r="E80" s="244"/>
      <c r="F80" s="245"/>
      <c r="G80" s="245"/>
      <c r="H80" s="246"/>
      <c r="I80" s="244"/>
      <c r="J80" s="245"/>
      <c r="K80" s="246"/>
      <c r="L80" s="266"/>
      <c r="M80" s="266"/>
      <c r="N80" s="266"/>
    </row>
    <row r="81" spans="2:15" x14ac:dyDescent="0.25">
      <c r="E81" s="144"/>
      <c r="F81" s="270"/>
      <c r="G81" s="270"/>
      <c r="H81" s="271"/>
      <c r="I81" s="144"/>
      <c r="J81" s="270"/>
      <c r="K81" s="271"/>
      <c r="L81" s="265"/>
      <c r="M81" s="265"/>
      <c r="N81" s="265"/>
    </row>
    <row r="82" spans="2:15" x14ac:dyDescent="0.25">
      <c r="E82" s="254"/>
      <c r="F82" s="255"/>
      <c r="G82" s="255"/>
      <c r="H82" s="256"/>
      <c r="I82" s="254"/>
      <c r="J82" s="255"/>
      <c r="K82" s="256"/>
      <c r="L82" s="265"/>
      <c r="M82" s="265"/>
      <c r="N82" s="265"/>
    </row>
    <row r="86" spans="2:15" x14ac:dyDescent="0.25">
      <c r="C86" s="274"/>
      <c r="D86" s="274"/>
      <c r="E86" s="274"/>
      <c r="F86" s="274"/>
      <c r="G86" s="274"/>
      <c r="H86" s="274"/>
      <c r="J86" s="274"/>
      <c r="K86" s="274"/>
      <c r="L86" s="274"/>
      <c r="M86" s="274"/>
      <c r="N86" s="274"/>
      <c r="O86" s="274"/>
    </row>
    <row r="87" spans="2:15" x14ac:dyDescent="0.25">
      <c r="C87" s="274"/>
      <c r="D87" s="274"/>
      <c r="E87" s="274"/>
      <c r="F87" s="274"/>
      <c r="G87" s="274"/>
      <c r="H87" s="274"/>
      <c r="J87" s="274"/>
      <c r="K87" s="274"/>
      <c r="L87" s="274"/>
      <c r="M87" s="274"/>
      <c r="N87" s="274"/>
      <c r="O87" s="274"/>
    </row>
    <row r="88" spans="2:15" x14ac:dyDescent="0.25">
      <c r="C88" s="275" t="s">
        <v>308</v>
      </c>
      <c r="D88" s="275"/>
      <c r="E88" s="275"/>
      <c r="F88" s="2"/>
      <c r="J88" s="275" t="s">
        <v>310</v>
      </c>
      <c r="K88" s="275"/>
      <c r="L88" s="275"/>
      <c r="M88" s="2"/>
    </row>
    <row r="89" spans="2:15" x14ac:dyDescent="0.25">
      <c r="B89" s="62"/>
      <c r="C89" s="275" t="s">
        <v>309</v>
      </c>
      <c r="D89" s="275"/>
      <c r="E89" s="276"/>
      <c r="F89" s="272" t="s">
        <v>11</v>
      </c>
      <c r="G89" s="273"/>
      <c r="H89" s="273"/>
      <c r="J89" s="277" t="s">
        <v>309</v>
      </c>
      <c r="K89" s="277"/>
      <c r="L89" s="277"/>
      <c r="M89" s="272" t="s">
        <v>11</v>
      </c>
      <c r="N89" s="273"/>
      <c r="O89" s="273"/>
    </row>
    <row r="90" spans="2:15" x14ac:dyDescent="0.25">
      <c r="C90" s="2"/>
      <c r="E90" s="2"/>
    </row>
  </sheetData>
  <mergeCells count="58">
    <mergeCell ref="M89:O89"/>
    <mergeCell ref="E81:H82"/>
    <mergeCell ref="I81:K82"/>
    <mergeCell ref="L81:N82"/>
    <mergeCell ref="C86:H87"/>
    <mergeCell ref="C88:E88"/>
    <mergeCell ref="C89:E89"/>
    <mergeCell ref="F89:H89"/>
    <mergeCell ref="J86:O87"/>
    <mergeCell ref="J88:L88"/>
    <mergeCell ref="J89:L89"/>
    <mergeCell ref="E77:H78"/>
    <mergeCell ref="I77:K78"/>
    <mergeCell ref="L77:N78"/>
    <mergeCell ref="E79:H80"/>
    <mergeCell ref="I79:K80"/>
    <mergeCell ref="L79:N80"/>
    <mergeCell ref="L73:N74"/>
    <mergeCell ref="L75:N76"/>
    <mergeCell ref="I72:K72"/>
    <mergeCell ref="E72:H72"/>
    <mergeCell ref="E73:H74"/>
    <mergeCell ref="I73:K74"/>
    <mergeCell ref="I75:K76"/>
    <mergeCell ref="E75:H76"/>
    <mergeCell ref="B72:D72"/>
    <mergeCell ref="E67:H68"/>
    <mergeCell ref="I67:L68"/>
    <mergeCell ref="M67:N68"/>
    <mergeCell ref="E69:H70"/>
    <mergeCell ref="I69:L70"/>
    <mergeCell ref="M69:N70"/>
    <mergeCell ref="L72:N72"/>
    <mergeCell ref="B60:D60"/>
    <mergeCell ref="E60:N64"/>
    <mergeCell ref="B66:D66"/>
    <mergeCell ref="E66:H66"/>
    <mergeCell ref="I66:L66"/>
    <mergeCell ref="M66:N66"/>
    <mergeCell ref="E42:N46"/>
    <mergeCell ref="B42:D42"/>
    <mergeCell ref="B48:D48"/>
    <mergeCell ref="E48:N52"/>
    <mergeCell ref="B54:D54"/>
    <mergeCell ref="E54:N58"/>
    <mergeCell ref="B13:D13"/>
    <mergeCell ref="E13:N18"/>
    <mergeCell ref="B20:D20"/>
    <mergeCell ref="E20:N29"/>
    <mergeCell ref="B31:D31"/>
    <mergeCell ref="E31:N40"/>
    <mergeCell ref="B2:D7"/>
    <mergeCell ref="E2:L3"/>
    <mergeCell ref="M2:N7"/>
    <mergeCell ref="E4:L7"/>
    <mergeCell ref="B11:D11"/>
    <mergeCell ref="E11:H11"/>
    <mergeCell ref="J11:M11"/>
  </mergeCells>
  <pageMargins left="0.7" right="0.7" top="0.75" bottom="0.75" header="0.3" footer="0.3"/>
  <pageSetup paperSize="9" orientation="portrait" horizontalDpi="4294967295" verticalDpi="4294967295"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E332B-BF13-4DA3-82D2-88A3B7B5CF1E}">
  <sheetPr codeName="Hoja9"/>
  <dimension ref="B1:N175"/>
  <sheetViews>
    <sheetView tabSelected="1" workbookViewId="0">
      <selection activeCell="O167" sqref="O167"/>
    </sheetView>
  </sheetViews>
  <sheetFormatPr baseColWidth="10" defaultRowHeight="15" x14ac:dyDescent="0.25"/>
  <cols>
    <col min="1" max="16384" width="11.42578125" style="1"/>
  </cols>
  <sheetData>
    <row r="1" spans="2:14" ht="35.1" customHeight="1" x14ac:dyDescent="0.25"/>
    <row r="2" spans="2:14" x14ac:dyDescent="0.25">
      <c r="B2" s="102"/>
      <c r="C2" s="103"/>
      <c r="D2" s="104"/>
      <c r="E2" s="98" t="s">
        <v>0</v>
      </c>
      <c r="F2" s="98"/>
      <c r="G2" s="98"/>
      <c r="H2" s="98"/>
      <c r="I2" s="98"/>
      <c r="J2" s="98"/>
      <c r="K2" s="98"/>
      <c r="L2" s="99"/>
      <c r="M2" s="144" t="s">
        <v>1</v>
      </c>
      <c r="N2" s="145"/>
    </row>
    <row r="3" spans="2:14" x14ac:dyDescent="0.25">
      <c r="B3" s="105"/>
      <c r="C3" s="106"/>
      <c r="D3" s="107"/>
      <c r="E3" s="100"/>
      <c r="F3" s="100"/>
      <c r="G3" s="100"/>
      <c r="H3" s="100"/>
      <c r="I3" s="100"/>
      <c r="J3" s="100"/>
      <c r="K3" s="100"/>
      <c r="L3" s="101"/>
      <c r="M3" s="146"/>
      <c r="N3" s="147"/>
    </row>
    <row r="4" spans="2:14" x14ac:dyDescent="0.25">
      <c r="B4" s="105"/>
      <c r="C4" s="106"/>
      <c r="D4" s="107"/>
      <c r="E4" s="111" t="s">
        <v>288</v>
      </c>
      <c r="F4" s="112"/>
      <c r="G4" s="112"/>
      <c r="H4" s="112"/>
      <c r="I4" s="112"/>
      <c r="J4" s="112"/>
      <c r="K4" s="112"/>
      <c r="L4" s="113"/>
      <c r="M4" s="146"/>
      <c r="N4" s="147"/>
    </row>
    <row r="5" spans="2:14" x14ac:dyDescent="0.25">
      <c r="B5" s="105"/>
      <c r="C5" s="106"/>
      <c r="D5" s="107"/>
      <c r="E5" s="114"/>
      <c r="F5" s="115"/>
      <c r="G5" s="115"/>
      <c r="H5" s="115"/>
      <c r="I5" s="115"/>
      <c r="J5" s="115"/>
      <c r="K5" s="115"/>
      <c r="L5" s="116"/>
      <c r="M5" s="146"/>
      <c r="N5" s="147"/>
    </row>
    <row r="6" spans="2:14" x14ac:dyDescent="0.25">
      <c r="B6" s="105"/>
      <c r="C6" s="106"/>
      <c r="D6" s="107"/>
      <c r="E6" s="114"/>
      <c r="F6" s="115"/>
      <c r="G6" s="115"/>
      <c r="H6" s="115"/>
      <c r="I6" s="115"/>
      <c r="J6" s="115"/>
      <c r="K6" s="115"/>
      <c r="L6" s="116"/>
      <c r="M6" s="146"/>
      <c r="N6" s="147"/>
    </row>
    <row r="7" spans="2:14" x14ac:dyDescent="0.25">
      <c r="B7" s="108"/>
      <c r="C7" s="109"/>
      <c r="D7" s="110"/>
      <c r="E7" s="117"/>
      <c r="F7" s="118"/>
      <c r="G7" s="118"/>
      <c r="H7" s="118"/>
      <c r="I7" s="118"/>
      <c r="J7" s="118"/>
      <c r="K7" s="118"/>
      <c r="L7" s="119"/>
      <c r="M7" s="148"/>
      <c r="N7" s="149"/>
    </row>
    <row r="10" spans="2:14" ht="24.95" customHeight="1" x14ac:dyDescent="0.25">
      <c r="B10" s="297" t="s">
        <v>310</v>
      </c>
      <c r="C10" s="297"/>
      <c r="D10" s="297"/>
      <c r="E10" s="297"/>
      <c r="F10" s="297"/>
      <c r="G10" s="298" t="s">
        <v>321</v>
      </c>
      <c r="H10" s="298"/>
      <c r="I10" s="298"/>
      <c r="J10" s="298"/>
      <c r="K10" s="298"/>
      <c r="L10" s="298"/>
      <c r="M10" s="298"/>
      <c r="N10" s="298"/>
    </row>
    <row r="11" spans="2:14" ht="15" customHeight="1" x14ac:dyDescent="0.25">
      <c r="B11" s="73"/>
      <c r="C11" s="73"/>
      <c r="D11" s="73"/>
      <c r="E11" s="73"/>
      <c r="F11" s="73"/>
    </row>
    <row r="12" spans="2:14" ht="15" customHeight="1" x14ac:dyDescent="0.25">
      <c r="B12" s="280" t="s">
        <v>329</v>
      </c>
      <c r="C12" s="280"/>
      <c r="D12" s="281"/>
      <c r="E12" s="281"/>
      <c r="F12" s="281"/>
    </row>
    <row r="14" spans="2:14" x14ac:dyDescent="0.25">
      <c r="B14" s="289" t="s">
        <v>319</v>
      </c>
      <c r="C14" s="289"/>
      <c r="D14" s="289"/>
      <c r="E14" s="289"/>
      <c r="F14" s="289"/>
    </row>
    <row r="16" spans="2:14" x14ac:dyDescent="0.25">
      <c r="B16" s="277" t="s">
        <v>320</v>
      </c>
      <c r="C16" s="277"/>
      <c r="D16" s="277" t="s">
        <v>81</v>
      </c>
      <c r="E16" s="277"/>
      <c r="F16" s="277"/>
    </row>
    <row r="17" spans="2:6" x14ac:dyDescent="0.25">
      <c r="B17" s="277">
        <v>1</v>
      </c>
      <c r="C17" s="277"/>
      <c r="D17" s="277" t="str">
        <f>Planeacion!E21</f>
        <v>Funcionales</v>
      </c>
      <c r="E17" s="277"/>
      <c r="F17" s="277"/>
    </row>
    <row r="18" spans="2:6" x14ac:dyDescent="0.25">
      <c r="B18" s="277">
        <v>2</v>
      </c>
      <c r="C18" s="277"/>
      <c r="D18" s="277">
        <f>Planeacion!M21</f>
        <v>0</v>
      </c>
      <c r="E18" s="277"/>
      <c r="F18" s="277"/>
    </row>
    <row r="19" spans="2:6" x14ac:dyDescent="0.25">
      <c r="B19" s="277">
        <v>3</v>
      </c>
      <c r="C19" s="277"/>
      <c r="D19" s="277">
        <f>Planeacion!U21</f>
        <v>0</v>
      </c>
      <c r="E19" s="277"/>
      <c r="F19" s="277"/>
    </row>
    <row r="20" spans="2:6" x14ac:dyDescent="0.25">
      <c r="B20" s="277">
        <v>4</v>
      </c>
      <c r="C20" s="277"/>
      <c r="D20" s="277" t="str">
        <f>Planeacion!AC21</f>
        <v>Automátizadas</v>
      </c>
      <c r="E20" s="277"/>
      <c r="F20" s="277"/>
    </row>
    <row r="21" spans="2:6" x14ac:dyDescent="0.25">
      <c r="B21" s="277">
        <v>5</v>
      </c>
      <c r="C21" s="277"/>
      <c r="D21" s="277" t="str">
        <f>Planeacion!AL21</f>
        <v>Automátizadas</v>
      </c>
      <c r="E21" s="277"/>
      <c r="F21" s="277"/>
    </row>
    <row r="22" spans="2:6" x14ac:dyDescent="0.25">
      <c r="B22" s="277">
        <v>6</v>
      </c>
      <c r="C22" s="277"/>
      <c r="D22" s="277">
        <f>Planeacion!AU21</f>
        <v>0</v>
      </c>
      <c r="E22" s="277"/>
      <c r="F22" s="277"/>
    </row>
    <row r="23" spans="2:6" x14ac:dyDescent="0.25">
      <c r="B23" s="54"/>
      <c r="C23" s="54"/>
    </row>
    <row r="24" spans="2:6" x14ac:dyDescent="0.25">
      <c r="B24" s="54"/>
      <c r="C24" s="54"/>
    </row>
    <row r="25" spans="2:6" x14ac:dyDescent="0.25">
      <c r="B25" s="296"/>
      <c r="C25" s="296"/>
      <c r="D25" s="296"/>
    </row>
    <row r="27" spans="2:6" x14ac:dyDescent="0.25">
      <c r="B27" s="290" t="s">
        <v>316</v>
      </c>
      <c r="C27" s="291"/>
      <c r="D27" s="291"/>
      <c r="E27" s="291"/>
      <c r="F27" s="292"/>
    </row>
    <row r="29" spans="2:6" x14ac:dyDescent="0.25">
      <c r="B29" s="277" t="s">
        <v>81</v>
      </c>
      <c r="C29" s="277"/>
      <c r="D29" s="277"/>
      <c r="E29" s="277" t="s">
        <v>167</v>
      </c>
      <c r="F29" s="277"/>
    </row>
    <row r="30" spans="2:6" x14ac:dyDescent="0.25">
      <c r="B30" s="277" t="s">
        <v>312</v>
      </c>
      <c r="C30" s="277"/>
      <c r="D30" s="277"/>
      <c r="E30" s="277">
        <f>Diseño!F10</f>
        <v>4</v>
      </c>
      <c r="F30" s="277"/>
    </row>
    <row r="31" spans="2:6" x14ac:dyDescent="0.25">
      <c r="B31" s="277" t="s">
        <v>313</v>
      </c>
      <c r="C31" s="277"/>
      <c r="D31" s="277"/>
      <c r="E31" s="277">
        <f>Diseño!F12</f>
        <v>21</v>
      </c>
      <c r="F31" s="277"/>
    </row>
    <row r="32" spans="2:6" x14ac:dyDescent="0.25">
      <c r="B32" s="277" t="s">
        <v>314</v>
      </c>
      <c r="C32" s="277"/>
      <c r="D32" s="277"/>
      <c r="E32" s="295">
        <f>Diseño!F14</f>
        <v>1</v>
      </c>
      <c r="F32" s="295"/>
    </row>
    <row r="33" spans="2:6" x14ac:dyDescent="0.25">
      <c r="B33" s="277" t="s">
        <v>315</v>
      </c>
      <c r="C33" s="277"/>
      <c r="D33" s="277"/>
      <c r="E33" s="295">
        <f>SUM(E30:F32)</f>
        <v>26</v>
      </c>
      <c r="F33" s="295"/>
    </row>
    <row r="44" spans="2:6" x14ac:dyDescent="0.25">
      <c r="B44" s="290" t="s">
        <v>512</v>
      </c>
      <c r="C44" s="291"/>
      <c r="D44" s="291"/>
      <c r="E44" s="291"/>
      <c r="F44" s="292"/>
    </row>
    <row r="46" spans="2:6" x14ac:dyDescent="0.25">
      <c r="B46" s="277" t="s">
        <v>81</v>
      </c>
      <c r="C46" s="277"/>
      <c r="D46" s="55" t="s">
        <v>66</v>
      </c>
      <c r="E46" s="55" t="s">
        <v>67</v>
      </c>
      <c r="F46" s="55" t="s">
        <v>68</v>
      </c>
    </row>
    <row r="47" spans="2:6" x14ac:dyDescent="0.25">
      <c r="B47" s="293" t="s">
        <v>165</v>
      </c>
      <c r="C47" s="294"/>
      <c r="D47" s="55">
        <f>Diseño!N12</f>
        <v>26</v>
      </c>
      <c r="E47" s="55">
        <f>Diseño!O12</f>
        <v>0</v>
      </c>
      <c r="F47" s="55">
        <f>Diseño!P12</f>
        <v>0</v>
      </c>
    </row>
    <row r="48" spans="2:6" x14ac:dyDescent="0.25">
      <c r="B48" s="197" t="s">
        <v>104</v>
      </c>
      <c r="C48" s="198"/>
      <c r="D48" s="55">
        <f>Diseño!N13</f>
        <v>0</v>
      </c>
      <c r="E48" s="55">
        <f>Diseño!O13</f>
        <v>0</v>
      </c>
      <c r="F48" s="55">
        <f>Diseño!P13</f>
        <v>0</v>
      </c>
    </row>
    <row r="49" spans="2:9" x14ac:dyDescent="0.25">
      <c r="B49" s="197" t="s">
        <v>121</v>
      </c>
      <c r="C49" s="198"/>
      <c r="D49" s="55">
        <f>Diseño!N14</f>
        <v>0</v>
      </c>
      <c r="E49" s="55">
        <f>Diseño!O14</f>
        <v>0</v>
      </c>
      <c r="F49" s="55">
        <f>Diseño!P14</f>
        <v>0</v>
      </c>
    </row>
    <row r="50" spans="2:9" x14ac:dyDescent="0.25">
      <c r="B50" s="197" t="s">
        <v>166</v>
      </c>
      <c r="C50" s="198"/>
      <c r="D50" s="55">
        <f>Diseño!N15</f>
        <v>0</v>
      </c>
      <c r="E50" s="55">
        <f>Diseño!O15</f>
        <v>0</v>
      </c>
      <c r="F50" s="55">
        <f>Diseño!P15</f>
        <v>0</v>
      </c>
    </row>
    <row r="51" spans="2:9" x14ac:dyDescent="0.25">
      <c r="B51" s="197" t="s">
        <v>101</v>
      </c>
      <c r="C51" s="198"/>
      <c r="D51" s="55">
        <f>Diseño!N16</f>
        <v>0</v>
      </c>
      <c r="E51" s="55">
        <f>Diseño!O16</f>
        <v>0</v>
      </c>
      <c r="F51" s="55">
        <f>Diseño!P16</f>
        <v>0</v>
      </c>
      <c r="I51" s="62"/>
    </row>
    <row r="52" spans="2:9" x14ac:dyDescent="0.25">
      <c r="B52" s="197" t="s">
        <v>167</v>
      </c>
      <c r="C52" s="198"/>
      <c r="D52" s="55">
        <f>SUM(D47:D51)</f>
        <v>26</v>
      </c>
      <c r="E52" s="55">
        <f>SUM(E47:E51)</f>
        <v>0</v>
      </c>
      <c r="F52" s="55">
        <f>SUM(F47:F51)</f>
        <v>0</v>
      </c>
    </row>
    <row r="62" spans="2:9" x14ac:dyDescent="0.25">
      <c r="B62" s="289" t="s">
        <v>317</v>
      </c>
      <c r="C62" s="289"/>
      <c r="D62" s="289"/>
      <c r="E62" s="289"/>
      <c r="F62" s="289"/>
    </row>
    <row r="64" spans="2:9" x14ac:dyDescent="0.25">
      <c r="B64" s="277" t="s">
        <v>81</v>
      </c>
      <c r="C64" s="277"/>
      <c r="D64" s="277"/>
      <c r="E64" s="277" t="s">
        <v>318</v>
      </c>
      <c r="F64" s="277"/>
    </row>
    <row r="65" spans="2:6" x14ac:dyDescent="0.25">
      <c r="B65" s="277" t="s">
        <v>165</v>
      </c>
      <c r="C65" s="277"/>
      <c r="D65" s="277"/>
      <c r="E65" s="277">
        <f>Diseño!M12</f>
        <v>0</v>
      </c>
      <c r="F65" s="277"/>
    </row>
    <row r="66" spans="2:6" x14ac:dyDescent="0.25">
      <c r="B66" s="277" t="s">
        <v>104</v>
      </c>
      <c r="C66" s="277"/>
      <c r="D66" s="277"/>
      <c r="E66" s="277">
        <f>Diseño!M13</f>
        <v>0</v>
      </c>
      <c r="F66" s="277"/>
    </row>
    <row r="67" spans="2:6" x14ac:dyDescent="0.25">
      <c r="B67" s="277" t="s">
        <v>121</v>
      </c>
      <c r="C67" s="277"/>
      <c r="D67" s="277"/>
      <c r="E67" s="277">
        <f>Diseño!M14</f>
        <v>0</v>
      </c>
      <c r="F67" s="277"/>
    </row>
    <row r="68" spans="2:6" x14ac:dyDescent="0.25">
      <c r="B68" s="277" t="s">
        <v>166</v>
      </c>
      <c r="C68" s="277"/>
      <c r="D68" s="277"/>
      <c r="E68" s="277">
        <f>Diseño!M15</f>
        <v>0</v>
      </c>
      <c r="F68" s="277"/>
    </row>
    <row r="69" spans="2:6" x14ac:dyDescent="0.25">
      <c r="B69" s="277" t="s">
        <v>101</v>
      </c>
      <c r="C69" s="277"/>
      <c r="D69" s="277"/>
      <c r="E69" s="277">
        <f>Diseño!M16</f>
        <v>0</v>
      </c>
      <c r="F69" s="277"/>
    </row>
    <row r="70" spans="2:6" x14ac:dyDescent="0.25">
      <c r="B70" s="277" t="s">
        <v>167</v>
      </c>
      <c r="C70" s="277"/>
      <c r="D70" s="277"/>
      <c r="E70" s="277">
        <f>SUM(E65:F69)</f>
        <v>0</v>
      </c>
      <c r="F70" s="277"/>
    </row>
    <row r="80" spans="2:6" x14ac:dyDescent="0.25">
      <c r="B80" s="289" t="s">
        <v>513</v>
      </c>
      <c r="C80" s="289"/>
      <c r="D80" s="289"/>
      <c r="E80" s="289"/>
      <c r="F80" s="289"/>
    </row>
    <row r="82" spans="2:6" x14ac:dyDescent="0.25">
      <c r="B82" s="277" t="s">
        <v>81</v>
      </c>
      <c r="C82" s="277"/>
      <c r="D82" s="277"/>
      <c r="E82" s="277" t="s">
        <v>322</v>
      </c>
      <c r="F82" s="277"/>
    </row>
    <row r="83" spans="2:6" x14ac:dyDescent="0.25">
      <c r="B83" s="277" t="s">
        <v>99</v>
      </c>
      <c r="C83" s="277"/>
      <c r="D83" s="277"/>
      <c r="E83" s="277">
        <f>GestionBug!C12</f>
        <v>5</v>
      </c>
      <c r="F83" s="277"/>
    </row>
    <row r="84" spans="2:6" x14ac:dyDescent="0.25">
      <c r="B84" s="277" t="s">
        <v>108</v>
      </c>
      <c r="C84" s="277"/>
      <c r="D84" s="277"/>
      <c r="E84" s="277">
        <f>GestionBug!C13</f>
        <v>0</v>
      </c>
      <c r="F84" s="277"/>
    </row>
    <row r="85" spans="2:6" x14ac:dyDescent="0.25">
      <c r="B85" s="277" t="s">
        <v>116</v>
      </c>
      <c r="C85" s="277"/>
      <c r="D85" s="277"/>
      <c r="E85" s="277">
        <f>GestionBug!C14</f>
        <v>0</v>
      </c>
      <c r="F85" s="277"/>
    </row>
    <row r="86" spans="2:6" x14ac:dyDescent="0.25">
      <c r="B86" s="277" t="s">
        <v>124</v>
      </c>
      <c r="C86" s="277"/>
      <c r="D86" s="277"/>
      <c r="E86" s="277">
        <f>GestionBug!C15</f>
        <v>0</v>
      </c>
      <c r="F86" s="277"/>
    </row>
    <row r="87" spans="2:6" x14ac:dyDescent="0.25">
      <c r="B87" s="277" t="s">
        <v>131</v>
      </c>
      <c r="C87" s="277"/>
      <c r="D87" s="277"/>
      <c r="E87" s="277">
        <f>GestionBug!C16</f>
        <v>0</v>
      </c>
      <c r="F87" s="277"/>
    </row>
    <row r="88" spans="2:6" x14ac:dyDescent="0.25">
      <c r="B88" s="277" t="s">
        <v>167</v>
      </c>
      <c r="C88" s="277"/>
      <c r="D88" s="277"/>
      <c r="E88" s="277">
        <f>SUM(E83:F87)</f>
        <v>5</v>
      </c>
      <c r="F88" s="277"/>
    </row>
    <row r="98" spans="2:6" x14ac:dyDescent="0.25">
      <c r="B98" s="289" t="s">
        <v>183</v>
      </c>
      <c r="C98" s="289"/>
      <c r="D98" s="289"/>
      <c r="E98" s="289"/>
      <c r="F98" s="289"/>
    </row>
    <row r="99" spans="2:6" x14ac:dyDescent="0.25">
      <c r="B99" s="63"/>
      <c r="C99" s="63"/>
      <c r="D99" s="63"/>
      <c r="E99" s="63"/>
      <c r="F99" s="63"/>
    </row>
    <row r="100" spans="2:6" x14ac:dyDescent="0.25">
      <c r="B100" s="277" t="s">
        <v>81</v>
      </c>
      <c r="C100" s="277"/>
      <c r="D100" s="277"/>
      <c r="E100" s="277" t="s">
        <v>167</v>
      </c>
      <c r="F100" s="277"/>
    </row>
    <row r="101" spans="2:6" x14ac:dyDescent="0.25">
      <c r="B101" s="277" t="s">
        <v>101</v>
      </c>
      <c r="C101" s="277"/>
      <c r="D101" s="277"/>
      <c r="E101" s="277">
        <f>GestionBug!N12</f>
        <v>5</v>
      </c>
      <c r="F101" s="277"/>
    </row>
    <row r="102" spans="2:6" x14ac:dyDescent="0.25">
      <c r="B102" s="277" t="s">
        <v>110</v>
      </c>
      <c r="C102" s="277"/>
      <c r="D102" s="277"/>
      <c r="E102" s="277">
        <f>GestionBug!N13</f>
        <v>0</v>
      </c>
      <c r="F102" s="277"/>
    </row>
    <row r="103" spans="2:6" x14ac:dyDescent="0.25">
      <c r="B103" s="277" t="s">
        <v>118</v>
      </c>
      <c r="C103" s="277"/>
      <c r="D103" s="277"/>
      <c r="E103" s="277">
        <f>GestionBug!N14</f>
        <v>0</v>
      </c>
      <c r="F103" s="277"/>
    </row>
    <row r="104" spans="2:6" x14ac:dyDescent="0.25">
      <c r="B104" s="277" t="s">
        <v>126</v>
      </c>
      <c r="C104" s="277"/>
      <c r="D104" s="277"/>
      <c r="E104" s="277">
        <f>GestionBug!N15</f>
        <v>0</v>
      </c>
      <c r="F104" s="277"/>
    </row>
    <row r="105" spans="2:6" x14ac:dyDescent="0.25">
      <c r="B105" s="277" t="s">
        <v>133</v>
      </c>
      <c r="C105" s="277"/>
      <c r="D105" s="277"/>
      <c r="E105" s="277">
        <f>GestionBug!N16</f>
        <v>0</v>
      </c>
      <c r="F105" s="277"/>
    </row>
    <row r="106" spans="2:6" x14ac:dyDescent="0.25">
      <c r="B106" s="277" t="s">
        <v>323</v>
      </c>
      <c r="C106" s="277"/>
      <c r="D106" s="277"/>
      <c r="E106" s="277">
        <f>SUM(E101:F105)</f>
        <v>5</v>
      </c>
      <c r="F106" s="277"/>
    </row>
    <row r="115" spans="2:7" x14ac:dyDescent="0.25">
      <c r="B115" s="71"/>
      <c r="C115" s="71"/>
      <c r="D115" s="71"/>
      <c r="E115" s="71"/>
      <c r="F115" s="71"/>
    </row>
    <row r="116" spans="2:7" x14ac:dyDescent="0.25">
      <c r="B116" s="286" t="s">
        <v>325</v>
      </c>
      <c r="C116" s="287"/>
      <c r="D116" s="287"/>
      <c r="E116" s="287"/>
      <c r="F116" s="288"/>
      <c r="G116" s="72"/>
    </row>
    <row r="117" spans="2:7" x14ac:dyDescent="0.25">
      <c r="C117" s="59"/>
      <c r="E117" s="2"/>
      <c r="F117" s="2"/>
    </row>
    <row r="118" spans="2:7" x14ac:dyDescent="0.25">
      <c r="B118" s="278" t="s">
        <v>324</v>
      </c>
      <c r="C118" s="278"/>
      <c r="D118" s="278"/>
      <c r="E118" s="278" t="s">
        <v>167</v>
      </c>
      <c r="F118" s="278"/>
    </row>
    <row r="119" spans="2:7" x14ac:dyDescent="0.25">
      <c r="B119" s="278" t="s">
        <v>97</v>
      </c>
      <c r="C119" s="278"/>
      <c r="D119" s="278"/>
      <c r="E119" s="278">
        <f>GestionBug!K12</f>
        <v>0</v>
      </c>
      <c r="F119" s="278"/>
    </row>
    <row r="120" spans="2:7" x14ac:dyDescent="0.25">
      <c r="B120" s="278" t="s">
        <v>106</v>
      </c>
      <c r="C120" s="278"/>
      <c r="D120" s="278"/>
      <c r="E120" s="278">
        <f>GestionBug!K13</f>
        <v>0</v>
      </c>
      <c r="F120" s="278"/>
    </row>
    <row r="121" spans="2:7" x14ac:dyDescent="0.25">
      <c r="B121" s="278" t="s">
        <v>115</v>
      </c>
      <c r="C121" s="278"/>
      <c r="D121" s="278"/>
      <c r="E121" s="278">
        <f>GestionBug!K14</f>
        <v>0</v>
      </c>
      <c r="F121" s="278"/>
    </row>
    <row r="122" spans="2:7" x14ac:dyDescent="0.25">
      <c r="B122" s="278" t="s">
        <v>123</v>
      </c>
      <c r="C122" s="278"/>
      <c r="D122" s="278"/>
      <c r="E122" s="278">
        <f>GestionBug!K15</f>
        <v>0</v>
      </c>
      <c r="F122" s="278"/>
    </row>
    <row r="123" spans="2:7" x14ac:dyDescent="0.25">
      <c r="B123" s="278" t="s">
        <v>130</v>
      </c>
      <c r="C123" s="278"/>
      <c r="D123" s="278"/>
      <c r="E123" s="278">
        <f>GestionBug!K16</f>
        <v>5</v>
      </c>
      <c r="F123" s="278"/>
    </row>
    <row r="124" spans="2:7" x14ac:dyDescent="0.25">
      <c r="B124" s="278" t="s">
        <v>181</v>
      </c>
      <c r="C124" s="278"/>
      <c r="D124" s="278"/>
      <c r="E124" s="278">
        <f>SUM(E119:F123)</f>
        <v>5</v>
      </c>
      <c r="F124" s="278"/>
    </row>
    <row r="134" spans="2:6" x14ac:dyDescent="0.25">
      <c r="B134" s="282" t="s">
        <v>326</v>
      </c>
      <c r="C134" s="282"/>
      <c r="D134" s="282"/>
      <c r="E134" s="282"/>
      <c r="F134" s="282"/>
    </row>
    <row r="136" spans="2:6" x14ac:dyDescent="0.25">
      <c r="B136" s="283" t="s">
        <v>81</v>
      </c>
      <c r="C136" s="284"/>
      <c r="D136" s="285"/>
      <c r="E136" s="278" t="s">
        <v>167</v>
      </c>
      <c r="F136" s="278"/>
    </row>
    <row r="137" spans="2:6" x14ac:dyDescent="0.25">
      <c r="B137" s="278" t="s">
        <v>96</v>
      </c>
      <c r="C137" s="278"/>
      <c r="D137" s="278"/>
      <c r="E137" s="278">
        <f>GestionBug!F12</f>
        <v>0</v>
      </c>
      <c r="F137" s="278"/>
    </row>
    <row r="138" spans="2:6" x14ac:dyDescent="0.25">
      <c r="B138" s="278" t="s">
        <v>105</v>
      </c>
      <c r="C138" s="278"/>
      <c r="D138" s="278"/>
      <c r="E138" s="278">
        <f>GestionBug!F13</f>
        <v>5</v>
      </c>
      <c r="F138" s="278"/>
    </row>
    <row r="139" spans="2:6" x14ac:dyDescent="0.25">
      <c r="B139" s="278" t="s">
        <v>103</v>
      </c>
      <c r="C139" s="278"/>
      <c r="D139" s="278"/>
      <c r="E139" s="278">
        <f>GestionBug!F14</f>
        <v>0</v>
      </c>
      <c r="F139" s="278"/>
    </row>
    <row r="140" spans="2:6" x14ac:dyDescent="0.25">
      <c r="B140" s="278" t="s">
        <v>122</v>
      </c>
      <c r="C140" s="278"/>
      <c r="D140" s="278"/>
      <c r="E140" s="278">
        <f>GestionBug!F15</f>
        <v>0</v>
      </c>
      <c r="F140" s="278"/>
    </row>
    <row r="141" spans="2:6" x14ac:dyDescent="0.25">
      <c r="B141" s="278" t="s">
        <v>167</v>
      </c>
      <c r="C141" s="278"/>
      <c r="D141" s="278"/>
      <c r="E141" s="278">
        <f>SUM(E137:F140)</f>
        <v>5</v>
      </c>
      <c r="F141" s="278"/>
    </row>
    <row r="152" spans="2:6" x14ac:dyDescent="0.25">
      <c r="B152" s="282" t="s">
        <v>327</v>
      </c>
      <c r="C152" s="282"/>
      <c r="D152" s="282"/>
      <c r="E152" s="282"/>
      <c r="F152" s="282"/>
    </row>
    <row r="154" spans="2:6" x14ac:dyDescent="0.25">
      <c r="B154" s="278" t="s">
        <v>81</v>
      </c>
      <c r="C154" s="278"/>
      <c r="D154" s="278"/>
      <c r="E154" s="278" t="s">
        <v>167</v>
      </c>
      <c r="F154" s="278"/>
    </row>
    <row r="155" spans="2:6" x14ac:dyDescent="0.25">
      <c r="B155" s="278" t="s">
        <v>100</v>
      </c>
      <c r="C155" s="278"/>
      <c r="D155" s="278"/>
      <c r="E155" s="278">
        <f>GestionBug!Q12</f>
        <v>0</v>
      </c>
      <c r="F155" s="278"/>
    </row>
    <row r="156" spans="2:6" x14ac:dyDescent="0.25">
      <c r="B156" s="278" t="s">
        <v>109</v>
      </c>
      <c r="C156" s="278"/>
      <c r="D156" s="278"/>
      <c r="E156" s="278">
        <f>GestionBug!Q13</f>
        <v>5</v>
      </c>
      <c r="F156" s="278"/>
    </row>
    <row r="157" spans="2:6" x14ac:dyDescent="0.25">
      <c r="B157" s="278" t="s">
        <v>125</v>
      </c>
      <c r="C157" s="278"/>
      <c r="D157" s="278"/>
      <c r="E157" s="278">
        <f>GestionBug!Q14</f>
        <v>0</v>
      </c>
      <c r="F157" s="278"/>
    </row>
    <row r="158" spans="2:6" x14ac:dyDescent="0.25">
      <c r="B158" s="278" t="s">
        <v>117</v>
      </c>
      <c r="C158" s="278"/>
      <c r="D158" s="278"/>
      <c r="E158" s="278">
        <f>GestionBug!Q15</f>
        <v>0</v>
      </c>
      <c r="F158" s="278"/>
    </row>
    <row r="159" spans="2:6" x14ac:dyDescent="0.25">
      <c r="B159" s="278" t="s">
        <v>328</v>
      </c>
      <c r="C159" s="278"/>
      <c r="D159" s="278"/>
      <c r="E159" s="278">
        <f>GestionBug!Q16</f>
        <v>0</v>
      </c>
      <c r="F159" s="278"/>
    </row>
    <row r="160" spans="2:6" x14ac:dyDescent="0.25">
      <c r="B160" s="278" t="s">
        <v>119</v>
      </c>
      <c r="C160" s="278"/>
      <c r="D160" s="278"/>
      <c r="E160" s="278">
        <f>GestionBug!Q17</f>
        <v>0</v>
      </c>
      <c r="F160" s="278"/>
    </row>
    <row r="161" spans="2:6" x14ac:dyDescent="0.25">
      <c r="B161" s="278" t="s">
        <v>136</v>
      </c>
      <c r="C161" s="278"/>
      <c r="D161" s="278"/>
      <c r="E161" s="278">
        <f>GestionBug!Q17</f>
        <v>0</v>
      </c>
      <c r="F161" s="278"/>
    </row>
    <row r="162" spans="2:6" x14ac:dyDescent="0.25">
      <c r="B162" s="278" t="s">
        <v>167</v>
      </c>
      <c r="C162" s="278"/>
      <c r="D162" s="278"/>
      <c r="E162" s="278">
        <f>SUM(E155:F161)</f>
        <v>5</v>
      </c>
      <c r="F162" s="278"/>
    </row>
    <row r="170" spans="2:6" x14ac:dyDescent="0.25">
      <c r="B170" s="278" t="s">
        <v>331</v>
      </c>
      <c r="C170" s="278"/>
      <c r="D170" s="278"/>
      <c r="E170" s="278"/>
      <c r="F170" s="278"/>
    </row>
    <row r="172" spans="2:6" x14ac:dyDescent="0.25">
      <c r="B172" s="278" t="s">
        <v>330</v>
      </c>
      <c r="C172" s="278"/>
      <c r="D172" s="278"/>
      <c r="E172" s="278" t="s">
        <v>167</v>
      </c>
      <c r="F172" s="278"/>
    </row>
    <row r="173" spans="2:6" ht="24.95" customHeight="1" x14ac:dyDescent="0.25">
      <c r="B173" s="239" t="str">
        <f>GestionBug!S12</f>
        <v>Cantidad de Bug</v>
      </c>
      <c r="C173" s="239"/>
      <c r="D173" s="239"/>
      <c r="E173" s="278">
        <f>GestionBug!T12</f>
        <v>5</v>
      </c>
      <c r="F173" s="278"/>
    </row>
    <row r="174" spans="2:6" ht="24.95" customHeight="1" x14ac:dyDescent="0.25">
      <c r="B174" s="279" t="str">
        <f>GestionBug!S13</f>
        <v>0 Incidente(s) representan, esta candidad de días</v>
      </c>
      <c r="C174" s="279"/>
      <c r="D174" s="279"/>
      <c r="E174" s="278">
        <f>GestionBug!T13</f>
        <v>0</v>
      </c>
      <c r="F174" s="278"/>
    </row>
    <row r="175" spans="2:6" ht="24.95" customHeight="1" x14ac:dyDescent="0.25">
      <c r="B175" s="239" t="str">
        <f>GestionBug!S14</f>
        <v>Horas invertidas en la solución</v>
      </c>
      <c r="C175" s="239"/>
      <c r="D175" s="239"/>
      <c r="E175" s="278">
        <f>GestionBug!T14</f>
        <v>0</v>
      </c>
      <c r="F175" s="278"/>
    </row>
  </sheetData>
  <mergeCells count="144">
    <mergeCell ref="B2:D7"/>
    <mergeCell ref="E2:L3"/>
    <mergeCell ref="M2:N7"/>
    <mergeCell ref="E4:L7"/>
    <mergeCell ref="B25:D25"/>
    <mergeCell ref="D22:F22"/>
    <mergeCell ref="B10:F10"/>
    <mergeCell ref="G10:N10"/>
    <mergeCell ref="B31:D31"/>
    <mergeCell ref="E31:F31"/>
    <mergeCell ref="B32:D32"/>
    <mergeCell ref="E32:F32"/>
    <mergeCell ref="B33:D33"/>
    <mergeCell ref="E33:F33"/>
    <mergeCell ref="B27:F27"/>
    <mergeCell ref="B29:D29"/>
    <mergeCell ref="E29:F29"/>
    <mergeCell ref="B30:D30"/>
    <mergeCell ref="E30:F30"/>
    <mergeCell ref="B68:D68"/>
    <mergeCell ref="B69:D69"/>
    <mergeCell ref="B50:C50"/>
    <mergeCell ref="B51:C51"/>
    <mergeCell ref="B52:C52"/>
    <mergeCell ref="B62:F62"/>
    <mergeCell ref="B64:D64"/>
    <mergeCell ref="E64:F64"/>
    <mergeCell ref="B44:F44"/>
    <mergeCell ref="B46:C46"/>
    <mergeCell ref="B47:C47"/>
    <mergeCell ref="B48:C48"/>
    <mergeCell ref="B49:C49"/>
    <mergeCell ref="B70:D70"/>
    <mergeCell ref="E70:F70"/>
    <mergeCell ref="B14:F14"/>
    <mergeCell ref="B16:C16"/>
    <mergeCell ref="D16:F16"/>
    <mergeCell ref="B17:C17"/>
    <mergeCell ref="B19:C19"/>
    <mergeCell ref="B18:C18"/>
    <mergeCell ref="D17:F17"/>
    <mergeCell ref="D18:F18"/>
    <mergeCell ref="D19:F19"/>
    <mergeCell ref="B20:C20"/>
    <mergeCell ref="D20:F20"/>
    <mergeCell ref="B21:C21"/>
    <mergeCell ref="B22:C22"/>
    <mergeCell ref="D21:F21"/>
    <mergeCell ref="E65:F65"/>
    <mergeCell ref="E66:F66"/>
    <mergeCell ref="E67:F67"/>
    <mergeCell ref="E68:F68"/>
    <mergeCell ref="E69:F69"/>
    <mergeCell ref="B65:D65"/>
    <mergeCell ref="B66:D66"/>
    <mergeCell ref="B67:D67"/>
    <mergeCell ref="E83:F83"/>
    <mergeCell ref="E84:F84"/>
    <mergeCell ref="E85:F85"/>
    <mergeCell ref="E86:F86"/>
    <mergeCell ref="E87:F87"/>
    <mergeCell ref="E88:F88"/>
    <mergeCell ref="B80:F80"/>
    <mergeCell ref="B82:D82"/>
    <mergeCell ref="E82:F82"/>
    <mergeCell ref="B83:D83"/>
    <mergeCell ref="B84:D84"/>
    <mergeCell ref="B98:F98"/>
    <mergeCell ref="B101:D101"/>
    <mergeCell ref="B102:D102"/>
    <mergeCell ref="B103:D103"/>
    <mergeCell ref="B104:D104"/>
    <mergeCell ref="B100:D100"/>
    <mergeCell ref="E100:F100"/>
    <mergeCell ref="B85:D85"/>
    <mergeCell ref="B86:D86"/>
    <mergeCell ref="B87:D87"/>
    <mergeCell ref="B88:D88"/>
    <mergeCell ref="B116:F116"/>
    <mergeCell ref="B118:D118"/>
    <mergeCell ref="E118:F118"/>
    <mergeCell ref="B119:D119"/>
    <mergeCell ref="B120:D120"/>
    <mergeCell ref="B105:D105"/>
    <mergeCell ref="B106:D106"/>
    <mergeCell ref="E101:F101"/>
    <mergeCell ref="E102:F102"/>
    <mergeCell ref="E103:F103"/>
    <mergeCell ref="E104:F104"/>
    <mergeCell ref="E105:F105"/>
    <mergeCell ref="E106:F106"/>
    <mergeCell ref="B121:D121"/>
    <mergeCell ref="B122:D122"/>
    <mergeCell ref="B123:D123"/>
    <mergeCell ref="B124:D124"/>
    <mergeCell ref="E119:F119"/>
    <mergeCell ref="E120:F120"/>
    <mergeCell ref="E121:F121"/>
    <mergeCell ref="E122:F122"/>
    <mergeCell ref="E123:F123"/>
    <mergeCell ref="E124:F124"/>
    <mergeCell ref="E137:F137"/>
    <mergeCell ref="E138:F138"/>
    <mergeCell ref="E139:F139"/>
    <mergeCell ref="E140:F140"/>
    <mergeCell ref="E141:F141"/>
    <mergeCell ref="B134:F134"/>
    <mergeCell ref="B136:D136"/>
    <mergeCell ref="E136:F136"/>
    <mergeCell ref="B137:D137"/>
    <mergeCell ref="B138:D138"/>
    <mergeCell ref="B161:D161"/>
    <mergeCell ref="E161:F161"/>
    <mergeCell ref="B162:D162"/>
    <mergeCell ref="E162:F162"/>
    <mergeCell ref="B12:C12"/>
    <mergeCell ref="D12:F12"/>
    <mergeCell ref="B157:D157"/>
    <mergeCell ref="B158:D158"/>
    <mergeCell ref="B159:D159"/>
    <mergeCell ref="B160:D160"/>
    <mergeCell ref="E155:F155"/>
    <mergeCell ref="E156:F156"/>
    <mergeCell ref="E157:F157"/>
    <mergeCell ref="E158:F158"/>
    <mergeCell ref="E159:F159"/>
    <mergeCell ref="E160:F160"/>
    <mergeCell ref="B152:F152"/>
    <mergeCell ref="B154:D154"/>
    <mergeCell ref="E154:F154"/>
    <mergeCell ref="B155:D155"/>
    <mergeCell ref="B156:D156"/>
    <mergeCell ref="B139:D139"/>
    <mergeCell ref="B140:D140"/>
    <mergeCell ref="B141:D141"/>
    <mergeCell ref="B175:D175"/>
    <mergeCell ref="E173:F173"/>
    <mergeCell ref="E174:F174"/>
    <mergeCell ref="E175:F175"/>
    <mergeCell ref="B170:F170"/>
    <mergeCell ref="B172:D172"/>
    <mergeCell ref="E172:F172"/>
    <mergeCell ref="B173:D173"/>
    <mergeCell ref="B174:D174"/>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FA1AC-1460-4CD5-9700-8DF95BCC1C53}">
  <sheetPr codeName="Hoja6"/>
  <dimension ref="A1:P29"/>
  <sheetViews>
    <sheetView topLeftCell="A13" workbookViewId="0">
      <selection activeCell="D9" sqref="D9"/>
    </sheetView>
  </sheetViews>
  <sheetFormatPr baseColWidth="10" defaultRowHeight="15" x14ac:dyDescent="0.25"/>
  <cols>
    <col min="1" max="1" width="16.140625" bestFit="1" customWidth="1"/>
    <col min="2" max="2" width="39" bestFit="1" customWidth="1"/>
    <col min="4" max="4" width="18.85546875" bestFit="1" customWidth="1"/>
    <col min="5" max="5" width="14.42578125" customWidth="1"/>
    <col min="6" max="6" width="17.5703125" customWidth="1"/>
    <col min="8" max="8" width="16.140625" customWidth="1"/>
    <col min="9" max="9" width="22.42578125" customWidth="1"/>
    <col min="10" max="10" width="20.85546875" customWidth="1"/>
    <col min="11" max="11" width="16.140625" customWidth="1"/>
    <col min="12" max="12" width="23.5703125" customWidth="1"/>
    <col min="13" max="13" width="22.7109375" bestFit="1" customWidth="1"/>
  </cols>
  <sheetData>
    <row r="1" spans="1:16" x14ac:dyDescent="0.25">
      <c r="A1" s="16" t="s">
        <v>86</v>
      </c>
      <c r="B1" s="16" t="s">
        <v>76</v>
      </c>
      <c r="C1" s="16" t="s">
        <v>87</v>
      </c>
      <c r="D1" s="16" t="s">
        <v>84</v>
      </c>
      <c r="E1" s="16" t="s">
        <v>88</v>
      </c>
      <c r="F1" s="16" t="s">
        <v>89</v>
      </c>
      <c r="G1" s="16" t="s">
        <v>90</v>
      </c>
      <c r="H1" s="16" t="s">
        <v>91</v>
      </c>
      <c r="I1" s="16" t="s">
        <v>92</v>
      </c>
      <c r="J1" s="16" t="s">
        <v>93</v>
      </c>
      <c r="K1" s="16" t="s">
        <v>206</v>
      </c>
      <c r="L1" s="16" t="s">
        <v>217</v>
      </c>
      <c r="M1" s="16" t="s">
        <v>222</v>
      </c>
      <c r="N1" s="16" t="s">
        <v>242</v>
      </c>
      <c r="O1" s="16" t="s">
        <v>339</v>
      </c>
      <c r="P1" s="16" t="s">
        <v>340</v>
      </c>
    </row>
    <row r="2" spans="1:16" x14ac:dyDescent="0.25">
      <c r="A2" s="17" t="s">
        <v>94</v>
      </c>
      <c r="B2" s="18" t="s">
        <v>94</v>
      </c>
      <c r="C2" s="19" t="s">
        <v>95</v>
      </c>
      <c r="D2" s="20" t="s">
        <v>169</v>
      </c>
      <c r="E2" s="21" t="s">
        <v>96</v>
      </c>
      <c r="F2" s="22" t="s">
        <v>97</v>
      </c>
      <c r="G2" s="23" t="s">
        <v>98</v>
      </c>
      <c r="H2" s="24" t="s">
        <v>99</v>
      </c>
      <c r="I2" s="21" t="s">
        <v>100</v>
      </c>
      <c r="J2" s="25" t="s">
        <v>101</v>
      </c>
      <c r="K2" s="37" t="s">
        <v>207</v>
      </c>
      <c r="L2" s="38" t="s">
        <v>212</v>
      </c>
      <c r="M2" s="42" t="s">
        <v>99</v>
      </c>
      <c r="N2" s="56" t="s">
        <v>255</v>
      </c>
    </row>
    <row r="3" spans="1:16" x14ac:dyDescent="0.25">
      <c r="A3" s="26" t="s">
        <v>102</v>
      </c>
      <c r="B3" s="27" t="s">
        <v>366</v>
      </c>
      <c r="C3" s="19" t="s">
        <v>103</v>
      </c>
      <c r="D3" s="20" t="s">
        <v>104</v>
      </c>
      <c r="E3" s="21" t="s">
        <v>105</v>
      </c>
      <c r="F3" s="22" t="s">
        <v>106</v>
      </c>
      <c r="G3" s="23" t="s">
        <v>107</v>
      </c>
      <c r="H3" s="24" t="s">
        <v>108</v>
      </c>
      <c r="I3" s="21" t="s">
        <v>109</v>
      </c>
      <c r="J3" s="25" t="s">
        <v>110</v>
      </c>
      <c r="K3" s="37" t="s">
        <v>208</v>
      </c>
      <c r="L3" s="38" t="s">
        <v>213</v>
      </c>
      <c r="M3" s="42" t="s">
        <v>131</v>
      </c>
      <c r="N3" s="56" t="s">
        <v>256</v>
      </c>
    </row>
    <row r="4" spans="1:16" x14ac:dyDescent="0.25">
      <c r="A4" s="26" t="s">
        <v>111</v>
      </c>
      <c r="B4" s="27" t="s">
        <v>112</v>
      </c>
      <c r="C4" s="19" t="s">
        <v>113</v>
      </c>
      <c r="D4" s="20" t="s">
        <v>101</v>
      </c>
      <c r="E4" s="21" t="s">
        <v>114</v>
      </c>
      <c r="F4" s="22" t="s">
        <v>115</v>
      </c>
      <c r="H4" s="24" t="s">
        <v>116</v>
      </c>
      <c r="I4" s="21" t="s">
        <v>117</v>
      </c>
      <c r="J4" s="25" t="s">
        <v>118</v>
      </c>
      <c r="K4" s="37" t="s">
        <v>209</v>
      </c>
      <c r="L4" s="38" t="s">
        <v>214</v>
      </c>
      <c r="N4" s="56" t="s">
        <v>257</v>
      </c>
    </row>
    <row r="5" spans="1:16" x14ac:dyDescent="0.25">
      <c r="A5" s="26" t="s">
        <v>119</v>
      </c>
      <c r="B5" s="27" t="s">
        <v>120</v>
      </c>
      <c r="C5" s="19" t="s">
        <v>96</v>
      </c>
      <c r="D5" s="20" t="s">
        <v>121</v>
      </c>
      <c r="E5" s="21" t="s">
        <v>122</v>
      </c>
      <c r="F5" s="22" t="s">
        <v>123</v>
      </c>
      <c r="H5" s="24" t="s">
        <v>124</v>
      </c>
      <c r="I5" s="21" t="s">
        <v>125</v>
      </c>
      <c r="J5" s="25" t="s">
        <v>126</v>
      </c>
      <c r="K5" s="37" t="s">
        <v>210</v>
      </c>
      <c r="L5" s="38" t="s">
        <v>215</v>
      </c>
    </row>
    <row r="6" spans="1:16" x14ac:dyDescent="0.25">
      <c r="A6" s="26" t="s">
        <v>127</v>
      </c>
      <c r="B6" s="27" t="s">
        <v>128</v>
      </c>
      <c r="D6" s="20" t="s">
        <v>129</v>
      </c>
      <c r="F6" s="22" t="s">
        <v>130</v>
      </c>
      <c r="H6" s="24" t="s">
        <v>131</v>
      </c>
      <c r="I6" s="21" t="s">
        <v>132</v>
      </c>
      <c r="J6" s="25" t="s">
        <v>133</v>
      </c>
      <c r="K6" s="37" t="s">
        <v>211</v>
      </c>
      <c r="L6" s="38" t="s">
        <v>216</v>
      </c>
    </row>
    <row r="7" spans="1:16" x14ac:dyDescent="0.25">
      <c r="A7" s="26" t="s">
        <v>134</v>
      </c>
      <c r="B7" s="27" t="s">
        <v>135</v>
      </c>
      <c r="I7" s="21" t="s">
        <v>119</v>
      </c>
    </row>
    <row r="8" spans="1:16" x14ac:dyDescent="0.25">
      <c r="A8" s="26" t="s">
        <v>136</v>
      </c>
      <c r="B8" s="27" t="s">
        <v>137</v>
      </c>
      <c r="I8" s="21" t="s">
        <v>136</v>
      </c>
    </row>
    <row r="9" spans="1:16" x14ac:dyDescent="0.25">
      <c r="B9" s="27" t="s">
        <v>138</v>
      </c>
      <c r="O9" t="s">
        <v>341</v>
      </c>
      <c r="P9">
        <f>LEN(O9)</f>
        <v>200</v>
      </c>
    </row>
    <row r="10" spans="1:16" x14ac:dyDescent="0.25">
      <c r="B10" s="27" t="s">
        <v>139</v>
      </c>
    </row>
    <row r="11" spans="1:16" x14ac:dyDescent="0.25">
      <c r="B11" s="27" t="s">
        <v>140</v>
      </c>
    </row>
    <row r="12" spans="1:16" x14ac:dyDescent="0.25">
      <c r="B12" s="27" t="s">
        <v>141</v>
      </c>
      <c r="O12" t="s">
        <v>342</v>
      </c>
    </row>
    <row r="13" spans="1:16" x14ac:dyDescent="0.25">
      <c r="B13" s="27" t="s">
        <v>142</v>
      </c>
    </row>
    <row r="14" spans="1:16" x14ac:dyDescent="0.25">
      <c r="B14" s="27" t="s">
        <v>143</v>
      </c>
      <c r="O14" t="s">
        <v>343</v>
      </c>
      <c r="P14">
        <f>LEN(O14)</f>
        <v>134</v>
      </c>
    </row>
    <row r="15" spans="1:16" x14ac:dyDescent="0.25">
      <c r="B15" s="27" t="s">
        <v>144</v>
      </c>
    </row>
    <row r="16" spans="1:16" x14ac:dyDescent="0.25">
      <c r="B16" s="27" t="s">
        <v>145</v>
      </c>
    </row>
    <row r="17" spans="2:2" x14ac:dyDescent="0.25">
      <c r="B17" s="27" t="s">
        <v>146</v>
      </c>
    </row>
    <row r="18" spans="2:2" x14ac:dyDescent="0.25">
      <c r="B18" s="27" t="s">
        <v>147</v>
      </c>
    </row>
    <row r="19" spans="2:2" x14ac:dyDescent="0.25">
      <c r="B19" s="27" t="s">
        <v>148</v>
      </c>
    </row>
    <row r="20" spans="2:2" x14ac:dyDescent="0.25">
      <c r="B20" s="27" t="s">
        <v>149</v>
      </c>
    </row>
    <row r="21" spans="2:2" x14ac:dyDescent="0.25">
      <c r="B21" s="27" t="s">
        <v>150</v>
      </c>
    </row>
    <row r="22" spans="2:2" x14ac:dyDescent="0.25">
      <c r="B22" s="27" t="s">
        <v>151</v>
      </c>
    </row>
    <row r="23" spans="2:2" x14ac:dyDescent="0.25">
      <c r="B23" s="27" t="s">
        <v>152</v>
      </c>
    </row>
    <row r="24" spans="2:2" x14ac:dyDescent="0.25">
      <c r="B24" s="27" t="s">
        <v>153</v>
      </c>
    </row>
    <row r="25" spans="2:2" x14ac:dyDescent="0.25">
      <c r="B25" s="27" t="s">
        <v>154</v>
      </c>
    </row>
    <row r="26" spans="2:2" x14ac:dyDescent="0.25">
      <c r="B26" s="27" t="s">
        <v>155</v>
      </c>
    </row>
    <row r="27" spans="2:2" x14ac:dyDescent="0.25">
      <c r="B27" s="27" t="s">
        <v>156</v>
      </c>
    </row>
    <row r="28" spans="2:2" x14ac:dyDescent="0.25">
      <c r="B28" s="27" t="s">
        <v>157</v>
      </c>
    </row>
    <row r="29" spans="2:2" x14ac:dyDescent="0.25">
      <c r="B29" s="27" t="s">
        <v>158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9</vt:i4>
      </vt:variant>
    </vt:vector>
  </HeadingPairs>
  <TitlesOfParts>
    <vt:vector size="9" baseType="lpstr">
      <vt:lpstr>Inicio </vt:lpstr>
      <vt:lpstr>ListadodeChequeo</vt:lpstr>
      <vt:lpstr>Planeacion</vt:lpstr>
      <vt:lpstr>Diseño</vt:lpstr>
      <vt:lpstr>GestionBug</vt:lpstr>
      <vt:lpstr>MatrizdeRiesgos</vt:lpstr>
      <vt:lpstr>CartadeCertificacion</vt:lpstr>
      <vt:lpstr>ResumenSprint</vt:lpstr>
      <vt:lpstr>Datos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Edison Alberto Correa Berrio</dc:creator>
  <cp:lastModifiedBy>User</cp:lastModifiedBy>
  <dcterms:created xsi:type="dcterms:W3CDTF">2019-06-07T01:43:47Z</dcterms:created>
  <dcterms:modified xsi:type="dcterms:W3CDTF">2020-05-19T20:47:27Z</dcterms:modified>
</cp:coreProperties>
</file>